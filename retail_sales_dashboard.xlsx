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16103c4d9c1a82/Documents/Post Bootcamp Work/"/>
    </mc:Choice>
  </mc:AlternateContent>
  <xr:revisionPtr revIDLastSave="3" documentId="8_{35A545A2-1D81-44B1-8CA4-AECFF2216B76}" xr6:coauthVersionLast="47" xr6:coauthVersionMax="47" xr10:uidLastSave="{F7E6983E-AB5E-422D-9206-F8DBCFD72FD9}"/>
  <bookViews>
    <workbookView xWindow="20230" yWindow="1480" windowWidth="14400" windowHeight="7270" xr2:uid="{70A2D089-CBAC-4BDF-B0B7-7A22AD13B7FD}"/>
  </bookViews>
  <sheets>
    <sheet name="sales_data_sample" sheetId="1" r:id="rId1"/>
    <sheet name="Pivot Tables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" i="1" l="1"/>
  <c r="AB29" i="1"/>
  <c r="Z12" i="1"/>
  <c r="Z2" i="1"/>
  <c r="Z3" i="1"/>
  <c r="Z4" i="1"/>
  <c r="Z5" i="1"/>
  <c r="Z6" i="1"/>
  <c r="Z7" i="1"/>
  <c r="Z8" i="1"/>
  <c r="Z9" i="1"/>
  <c r="Z10" i="1"/>
  <c r="Z11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B3" i="3" l="1"/>
</calcChain>
</file>

<file path=xl/sharedStrings.xml><?xml version="1.0" encoding="utf-8"?>
<sst xmlns="http://schemas.openxmlformats.org/spreadsheetml/2006/main" count="35019" uniqueCount="683">
  <si>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</si>
  <si>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</si>
  <si>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</si>
  <si>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</si>
  <si>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</si>
  <si>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</si>
  <si>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</si>
  <si>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</si>
  <si>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</si>
  <si>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</si>
  <si>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</si>
  <si>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</si>
  <si>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</si>
  <si>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</si>
  <si>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</si>
  <si>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</si>
  <si>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</si>
  <si>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</si>
  <si>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</si>
  <si>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</si>
  <si>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</si>
  <si>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</si>
  <si>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</si>
  <si>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</si>
  <si>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</si>
  <si>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</si>
  <si>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</si>
  <si>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</si>
  <si>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</si>
  <si>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</si>
  <si>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</si>
  <si>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</si>
  <si>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</si>
  <si>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</si>
  <si>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</si>
  <si>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</si>
  <si>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</si>
  <si>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</si>
  <si>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</si>
  <si>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</si>
  <si>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</si>
  <si>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</si>
  <si>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</si>
  <si>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</si>
  <si>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</si>
  <si>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</si>
  <si>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</si>
  <si>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</si>
  <si>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</si>
  <si>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</si>
  <si>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</si>
  <si>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</si>
  <si>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</si>
  <si>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</si>
  <si>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</si>
  <si>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</si>
  <si>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</si>
  <si>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</si>
  <si>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</si>
  <si>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</si>
  <si>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</si>
  <si>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</si>
  <si>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</si>
  <si>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</si>
  <si>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</si>
  <si>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</si>
  <si>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</si>
  <si>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</si>
  <si>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</si>
  <si>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</si>
  <si>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</si>
  <si>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</si>
  <si>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</si>
  <si>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</si>
  <si>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</si>
  <si>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</si>
  <si>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</si>
  <si>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</si>
  <si>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</si>
  <si>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</si>
  <si>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</si>
  <si>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</si>
  <si>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</si>
  <si>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</si>
  <si>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</si>
  <si>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</si>
  <si>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</si>
  <si>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</si>
  <si>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</si>
  <si>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</si>
  <si>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</si>
  <si>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</si>
  <si>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</si>
  <si>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</si>
  <si>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</si>
  <si>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</si>
  <si>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</si>
  <si>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</si>
  <si>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</si>
  <si>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</si>
  <si>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</si>
  <si>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</si>
  <si>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</si>
  <si>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</si>
  <si>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</si>
  <si>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</si>
  <si>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</si>
  <si>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</si>
  <si>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</si>
  <si>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</si>
  <si>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</si>
  <si>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</si>
  <si>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</si>
  <si>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</si>
  <si>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</si>
  <si>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</si>
  <si>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</si>
  <si>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</si>
  <si>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</si>
  <si>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</si>
  <si>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</si>
  <si>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</si>
  <si>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</si>
  <si>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</si>
  <si>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</si>
  <si>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</si>
  <si>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</si>
  <si>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</si>
  <si>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</si>
  <si>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</si>
  <si>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</si>
  <si>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</si>
  <si>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</si>
  <si>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</si>
  <si>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</si>
  <si>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</si>
  <si>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</si>
  <si>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</si>
  <si>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</si>
  <si>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</si>
  <si>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</si>
  <si>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</si>
  <si>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</si>
  <si>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</si>
  <si>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</si>
  <si>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</si>
  <si>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</si>
  <si>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</si>
  <si>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</si>
  <si>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</si>
  <si>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</si>
  <si>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</si>
  <si>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</si>
  <si>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</si>
  <si>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</si>
  <si>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</si>
  <si>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</si>
  <si>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</si>
  <si>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</si>
  <si>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</si>
  <si>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</si>
  <si>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</si>
  <si>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</si>
  <si>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</si>
  <si>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</si>
  <si>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</si>
  <si>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</si>
  <si>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</si>
  <si>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</si>
  <si>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</si>
  <si>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</si>
  <si>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</si>
  <si>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</si>
  <si>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</si>
  <si>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</si>
  <si>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</si>
  <si>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</si>
  <si>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</si>
  <si>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</si>
  <si>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</si>
  <si>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</si>
  <si>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</si>
  <si>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</si>
  <si>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</si>
  <si>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</si>
  <si>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</si>
  <si>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</si>
  <si>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</si>
  <si>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</si>
  <si>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</si>
  <si>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</si>
  <si>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</si>
  <si>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</si>
  <si>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</si>
  <si>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</si>
  <si>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</si>
  <si>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</si>
  <si>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</si>
  <si>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</si>
  <si>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</si>
  <si>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</si>
  <si>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</si>
  <si>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</si>
  <si>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</si>
  <si>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</si>
  <si>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</si>
  <si>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</si>
  <si>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</si>
  <si>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</si>
  <si>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</si>
  <si>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</si>
  <si>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</si>
  <si>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</si>
  <si>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</si>
  <si>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</si>
  <si>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</si>
  <si>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</si>
  <si>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</si>
  <si>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</si>
  <si>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</si>
  <si>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</si>
  <si>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</si>
  <si>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</si>
  <si>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</si>
  <si>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</si>
  <si>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</si>
  <si>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</si>
  <si>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</si>
  <si>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</si>
  <si>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</si>
  <si>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</si>
  <si>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</si>
  <si>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</si>
  <si>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</si>
  <si>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</si>
  <si>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</si>
  <si>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</si>
  <si>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</si>
  <si>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</si>
  <si>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</si>
  <si>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</si>
  <si>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</si>
  <si>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</si>
  <si>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</si>
  <si>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</si>
  <si>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</si>
  <si>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</si>
  <si>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</si>
  <si>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</si>
  <si>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</si>
  <si>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</si>
  <si>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</si>
  <si>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</si>
  <si>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</si>
  <si>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</si>
  <si>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</si>
  <si>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</si>
  <si>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</si>
  <si>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</si>
  <si>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</si>
  <si>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</si>
  <si>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</si>
  <si>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</si>
  <si>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</si>
  <si>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</si>
  <si>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</si>
  <si>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</si>
  <si>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</si>
  <si>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</si>
  <si>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</si>
  <si>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</si>
  <si>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</si>
  <si>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</si>
  <si>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</si>
  <si>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</si>
  <si>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</si>
  <si>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</si>
  <si>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</si>
  <si>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</si>
  <si>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</si>
  <si>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</si>
  <si>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</si>
  <si>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</si>
  <si>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</si>
  <si>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</si>
  <si>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</si>
  <si>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</si>
  <si>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</si>
  <si>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</si>
  <si>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</si>
  <si>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</si>
  <si>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</si>
  <si>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</si>
  <si>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</si>
  <si>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</si>
  <si>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</si>
  <si>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</si>
  <si>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</si>
  <si>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</si>
  <si>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</si>
  <si>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</si>
  <si>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</si>
  <si>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</si>
  <si>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</si>
  <si>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</si>
  <si>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</si>
  <si>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</si>
  <si>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</si>
  <si>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</si>
  <si>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</si>
  <si>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</si>
  <si>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</si>
  <si>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</si>
  <si>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</si>
  <si>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</si>
  <si>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</si>
  <si>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</si>
  <si>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</si>
  <si>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</si>
  <si>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</si>
  <si>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</si>
  <si>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</si>
  <si>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</si>
  <si>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</si>
  <si>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</si>
  <si>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</si>
  <si>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</si>
  <si>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</si>
  <si>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</si>
  <si>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</si>
  <si>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</si>
  <si>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</si>
  <si>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</si>
  <si>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</si>
  <si>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</si>
  <si>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</si>
  <si>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</si>
  <si>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</si>
  <si>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</si>
  <si>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</si>
  <si>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</si>
  <si>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</si>
  <si>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</si>
  <si>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</si>
  <si>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</si>
  <si>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</si>
  <si>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</si>
  <si>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</si>
  <si>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</si>
  <si>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</si>
  <si>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</si>
  <si>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</si>
  <si>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</si>
  <si>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</si>
  <si>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</si>
  <si>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</si>
  <si>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</si>
  <si>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</si>
  <si>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</si>
  <si>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</si>
  <si>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</si>
  <si>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</si>
  <si>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</si>
  <si>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</si>
  <si>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</si>
  <si>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</si>
  <si>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</si>
  <si>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</si>
  <si>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</si>
  <si>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</si>
  <si>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</si>
  <si>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</si>
  <si>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</si>
  <si>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</si>
  <si>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</si>
  <si>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</si>
  <si>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</si>
  <si>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</si>
  <si>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</si>
  <si>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</si>
  <si>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</si>
  <si>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</si>
  <si>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</si>
  <si>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</si>
  <si>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</si>
  <si>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</si>
  <si>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</si>
  <si>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</si>
  <si>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</si>
  <si>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</si>
  <si>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</si>
  <si>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</si>
  <si>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</si>
  <si>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</si>
  <si>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</si>
  <si>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</si>
  <si>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</si>
  <si>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</si>
  <si>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</si>
  <si>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</si>
  <si>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</si>
  <si>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</si>
  <si>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</si>
  <si>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</si>
  <si>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</si>
  <si>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</si>
  <si>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</si>
  <si>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</si>
  <si>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</si>
  <si>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</si>
  <si>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</si>
  <si>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</si>
  <si>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</si>
  <si>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</si>
  <si>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</si>
  <si>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</si>
  <si>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</si>
  <si>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</si>
  <si>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</si>
  <si>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</si>
  <si>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</si>
  <si>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</si>
  <si>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</si>
  <si>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</si>
  <si>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</si>
  <si>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</si>
  <si>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</si>
  <si>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</si>
  <si>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</si>
  <si>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</si>
  <si>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</si>
  <si>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</si>
  <si>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</si>
  <si>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</si>
  <si>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</si>
  <si>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</si>
  <si>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</si>
  <si>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</si>
  <si>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</si>
  <si>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</si>
  <si>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</si>
  <si>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</si>
  <si>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</si>
  <si>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</si>
  <si>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</si>
  <si>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</si>
  <si>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</si>
  <si>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</si>
  <si>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</si>
  <si>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</si>
  <si>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</si>
  <si>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</si>
  <si>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</si>
  <si>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</si>
  <si>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</si>
  <si>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</si>
  <si>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</si>
  <si>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</si>
  <si>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</si>
  <si>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</si>
  <si>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</si>
  <si>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</si>
  <si>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</si>
  <si>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</si>
  <si>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</si>
  <si>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</si>
  <si>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</si>
  <si>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</si>
  <si>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</si>
  <si>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</si>
  <si>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</si>
  <si>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</si>
  <si>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</si>
  <si>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</si>
  <si>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</si>
  <si>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</si>
  <si>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</si>
  <si>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</si>
  <si>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</si>
  <si>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</si>
  <si>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</si>
  <si>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</si>
  <si>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</si>
  <si>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</si>
  <si>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</si>
  <si>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</si>
  <si>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</si>
  <si>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</si>
  <si>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</si>
  <si>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</si>
  <si>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</si>
  <si>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</si>
  <si>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</si>
  <si>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</si>
  <si>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</si>
  <si>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</si>
  <si>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</si>
  <si>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</si>
  <si>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</si>
  <si>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</si>
  <si>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</si>
  <si>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</si>
  <si>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</si>
  <si>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</si>
  <si>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</si>
  <si>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</si>
  <si>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</si>
  <si>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</si>
  <si>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</si>
  <si>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</si>
  <si>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</si>
  <si>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</si>
  <si>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</si>
  <si>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</si>
  <si>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</si>
  <si>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</si>
  <si>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</si>
  <si>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</si>
  <si>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</si>
  <si>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</si>
  <si>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</si>
  <si>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</si>
  <si>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</si>
  <si>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</si>
  <si>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</si>
  <si>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</si>
  <si>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</si>
  <si>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</si>
  <si>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</si>
  <si>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</si>
  <si>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</si>
  <si>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</si>
  <si>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</si>
  <si>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</si>
  <si>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</si>
  <si>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</si>
  <si>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</si>
  <si>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</si>
  <si>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</si>
  <si>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</si>
  <si>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</si>
  <si>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</si>
  <si>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</si>
  <si>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</si>
  <si>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</si>
  <si>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</si>
  <si>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</si>
  <si>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</si>
  <si>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</si>
  <si>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</si>
  <si>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</si>
  <si>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</si>
  <si>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</si>
  <si>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</si>
  <si>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</si>
  <si>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</si>
  <si>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</si>
  <si>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</si>
  <si>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</si>
  <si>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</si>
  <si>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</si>
  <si>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</si>
  <si>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</si>
  <si>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</si>
  <si>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</si>
  <si>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</si>
  <si>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</si>
  <si>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</si>
  <si>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</si>
  <si>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</si>
  <si>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</si>
  <si>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</si>
  <si>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</si>
  <si>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</si>
  <si>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</si>
  <si>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</si>
  <si>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</si>
  <si>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</si>
  <si>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</si>
  <si>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</si>
  <si>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</si>
  <si>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</si>
  <si>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</si>
  <si>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</si>
  <si>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</si>
  <si>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</si>
  <si>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</si>
  <si>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</si>
  <si>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</si>
  <si>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</si>
  <si>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</si>
  <si>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</si>
  <si>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</si>
  <si>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</si>
  <si>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</si>
  <si>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</si>
  <si>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</si>
  <si>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</si>
  <si>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</si>
  <si>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</si>
  <si>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</si>
  <si>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</si>
  <si>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</si>
  <si>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</si>
  <si>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</si>
  <si>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</si>
  <si>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</si>
  <si>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</si>
  <si>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</si>
  <si>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</si>
  <si>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</si>
  <si>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</si>
  <si>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</si>
  <si>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</si>
  <si>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</si>
  <si>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</si>
  <si>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</si>
  <si>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</si>
  <si>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</si>
  <si>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</si>
  <si>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</si>
  <si>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</si>
  <si>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</si>
  <si>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</si>
  <si>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</si>
  <si>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</si>
  <si>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</si>
  <si>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</si>
  <si>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</si>
  <si>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</si>
  <si>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</si>
  <si>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</si>
  <si>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</si>
  <si>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</si>
  <si>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</si>
  <si>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</si>
  <si>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</si>
  <si>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</si>
  <si>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</si>
  <si>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</si>
  <si>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</si>
  <si>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</si>
  <si>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</si>
  <si>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</si>
  <si>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</si>
  <si>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</si>
  <si>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</si>
  <si>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</si>
  <si>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</si>
  <si>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</si>
  <si>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</si>
  <si>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</si>
  <si>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</si>
  <si>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</si>
  <si>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</si>
  <si>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</si>
  <si>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</si>
  <si>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</si>
  <si>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</si>
  <si>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</si>
  <si>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</si>
  <si>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</si>
  <si>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</si>
  <si>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</si>
  <si>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</si>
  <si>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</si>
  <si>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</si>
  <si>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</si>
  <si>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</si>
  <si>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</si>
  <si>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</si>
  <si>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</si>
  <si>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</si>
  <si>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</si>
  <si>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</si>
  <si>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Row Labels</t>
  </si>
  <si>
    <t>Grand Total</t>
  </si>
  <si>
    <t>TOTAL SALES BY CATEGORY</t>
  </si>
  <si>
    <t>TOTAL MONTHLY SALES</t>
  </si>
  <si>
    <t>SALES OVERVIEW</t>
  </si>
  <si>
    <t>TOTAL SALES:</t>
  </si>
  <si>
    <t>TotalSales</t>
  </si>
  <si>
    <t>Sum of 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</si>
</sst>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8" fillId="0" borderId="0" xfId="0" applyFont="1" applyAlignment="1">
      <alignment horizontal="centerContinuous" vertical="center"/>
    </xf>
    <xf numFmtId="164" fontId="18" fillId="0" borderId="0" xfId="0" applyNumberFormat="1" applyFont="1" applyAlignment="1">
      <alignment horizontal="centerContinuous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.00"/>
    </dxf>
    <dxf>
      <numFmt numFmtId="164" formatCode="&quot;$&quot;#,##0.00"/>
    </dxf>
    <dxf>
      <numFmt numFmtId="27" formatCode="m/d/yyyy\ h:mm"/>
    </dxf>
    <dxf>
      <numFmt numFmtId="164" formatCode="&quot;$&quot;#,##0.00"/>
    </dxf>
    <dxf>
      <numFmt numFmtId="164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2"/>
                </a:solidFill>
              </a:rPr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 Tables'!$B$4:$B$11</c:f>
              <c:numCache>
                <c:formatCode>"$"#,##0.00</c:formatCode>
                <c:ptCount val="7"/>
                <c:pt idx="0">
                  <c:v>2968546.399999998</c:v>
                </c:pt>
                <c:pt idx="1">
                  <c:v>973957.29000000062</c:v>
                </c:pt>
                <c:pt idx="2">
                  <c:v>877942.21000000008</c:v>
                </c:pt>
                <c:pt idx="3">
                  <c:v>677940.39999999991</c:v>
                </c:pt>
                <c:pt idx="4">
                  <c:v>203804.26</c:v>
                </c:pt>
                <c:pt idx="5">
                  <c:v>947355.17999999993</c:v>
                </c:pt>
                <c:pt idx="6">
                  <c:v>1644212.05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EA-4D52-89FD-764835614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622527"/>
        <c:axId val="1562633567"/>
      </c:barChart>
      <c:catAx>
        <c:axId val="156262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33567"/>
        <c:crosses val="autoZero"/>
        <c:auto val="1"/>
        <c:lblAlgn val="ctr"/>
        <c:lblOffset val="100"/>
        <c:noMultiLvlLbl val="0"/>
      </c:catAx>
      <c:valAx>
        <c:axId val="15626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2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2"/>
                </a:solidFill>
              </a:rPr>
              <a:t>TOTAL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Tables'!$A$23:$A$35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Tables'!$B$23:$B$35</c:f>
              <c:numCache>
                <c:formatCode>"$"#,##0.00</c:formatCode>
                <c:ptCount val="12"/>
                <c:pt idx="0">
                  <c:v>659582.29000000027</c:v>
                </c:pt>
                <c:pt idx="1">
                  <c:v>671199.14999999979</c:v>
                </c:pt>
                <c:pt idx="2">
                  <c:v>626186.73000000033</c:v>
                </c:pt>
                <c:pt idx="3">
                  <c:v>560334.4600000002</c:v>
                </c:pt>
                <c:pt idx="4">
                  <c:v>756812.9099999998</c:v>
                </c:pt>
                <c:pt idx="5">
                  <c:v>384743.58999999997</c:v>
                </c:pt>
                <c:pt idx="6">
                  <c:v>420973.33999999997</c:v>
                </c:pt>
                <c:pt idx="7">
                  <c:v>552132.91000000015</c:v>
                </c:pt>
                <c:pt idx="8">
                  <c:v>474900.11999999994</c:v>
                </c:pt>
                <c:pt idx="9">
                  <c:v>919036.70000000065</c:v>
                </c:pt>
                <c:pt idx="10">
                  <c:v>1744682.4499999997</c:v>
                </c:pt>
                <c:pt idx="11">
                  <c:v>523173.13999999984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2-4B7D-B020-1908C0F3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653727"/>
        <c:axId val="1562659007"/>
      </c:lineChart>
      <c:catAx>
        <c:axId val="156265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59007"/>
        <c:crosses val="autoZero"/>
        <c:auto val="1"/>
        <c:lblAlgn val="ctr"/>
        <c:lblOffset val="100"/>
        <c:noMultiLvlLbl val="0"/>
      </c:catAx>
      <c:valAx>
        <c:axId val="156265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5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2"/>
                </a:solidFill>
              </a:rPr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 Tables'!$B$4:$B$11</c:f>
              <c:numCache>
                <c:formatCode>"$"#,##0.00</c:formatCode>
                <c:ptCount val="7"/>
                <c:pt idx="0">
                  <c:v>2968546.399999998</c:v>
                </c:pt>
                <c:pt idx="1">
                  <c:v>973957.29000000062</c:v>
                </c:pt>
                <c:pt idx="2">
                  <c:v>877942.21000000008</c:v>
                </c:pt>
                <c:pt idx="3">
                  <c:v>677940.39999999991</c:v>
                </c:pt>
                <c:pt idx="4">
                  <c:v>203804.26</c:v>
                </c:pt>
                <c:pt idx="5">
                  <c:v>947355.17999999993</c:v>
                </c:pt>
                <c:pt idx="6">
                  <c:v>1644212.05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9-418A-B2DA-6697A1E0C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622527"/>
        <c:axId val="1562633567"/>
      </c:barChart>
      <c:catAx>
        <c:axId val="156262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33567"/>
        <c:crosses val="autoZero"/>
        <c:auto val="1"/>
        <c:lblAlgn val="ctr"/>
        <c:lblOffset val="100"/>
        <c:noMultiLvlLbl val="0"/>
      </c:catAx>
      <c:valAx>
        <c:axId val="15626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2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2"/>
                </a:solidFill>
              </a:rPr>
              <a:t>TOTAL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Tables'!$A$23:$A$35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Tables'!$B$23:$B$35</c:f>
              <c:numCache>
                <c:formatCode>"$"#,##0.00</c:formatCode>
                <c:ptCount val="12"/>
                <c:pt idx="0">
                  <c:v>659582.29000000027</c:v>
                </c:pt>
                <c:pt idx="1">
                  <c:v>671199.14999999979</c:v>
                </c:pt>
                <c:pt idx="2">
                  <c:v>626186.73000000033</c:v>
                </c:pt>
                <c:pt idx="3">
                  <c:v>560334.4600000002</c:v>
                </c:pt>
                <c:pt idx="4">
                  <c:v>756812.9099999998</c:v>
                </c:pt>
                <c:pt idx="5">
                  <c:v>384743.58999999997</c:v>
                </c:pt>
                <c:pt idx="6">
                  <c:v>420973.33999999997</c:v>
                </c:pt>
                <c:pt idx="7">
                  <c:v>552132.91000000015</c:v>
                </c:pt>
                <c:pt idx="8">
                  <c:v>474900.11999999994</c:v>
                </c:pt>
                <c:pt idx="9">
                  <c:v>919036.70000000065</c:v>
                </c:pt>
                <c:pt idx="10">
                  <c:v>1744682.4499999997</c:v>
                </c:pt>
                <c:pt idx="11">
                  <c:v>523173.13999999984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6-4FA3-96FC-A98D60CB9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653727"/>
        <c:axId val="1562659007"/>
      </c:lineChart>
      <c:catAx>
        <c:axId val="156265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59007"/>
        <c:crosses val="autoZero"/>
        <c:auto val="1"/>
        <c:lblAlgn val="ctr"/>
        <c:lblOffset val="100"/>
        <c:noMultiLvlLbl val="0"/>
      </c:catAx>
      <c:valAx>
        <c:axId val="156265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5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31750</xdr:rowOff>
    </xdr:from>
    <xdr:to>
      <xdr:col>7</xdr:col>
      <xdr:colOff>882650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5ACEA-E89F-5BF1-04F9-12CE4DB6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158750</xdr:colOff>
      <xdr:row>20</xdr:row>
      <xdr:rowOff>0</xdr:rowOff>
    </xdr:from>
    <xdr:to>
      <xdr:col>8</xdr:col>
      <xdr:colOff>6350</xdr:colOff>
      <xdr:row>34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A3E8CB-DD8E-A9C8-1A03-1C74098D0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127000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B093C-4A32-4B8F-BC95-B5D81B43D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406400</xdr:colOff>
      <xdr:row>3</xdr:row>
      <xdr:rowOff>177800</xdr:rowOff>
    </xdr:from>
    <xdr:to>
      <xdr:col>11</xdr:col>
      <xdr:colOff>44450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7A430-ED5E-4C3F-8EB1-55A57537D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 celio" refreshedDate="46027.871069328707" createdVersion="8" refreshedVersion="8" minRefreshableVersion="3" recordCount="2823" xr:uid="{A3F8056A-AAB7-481C-A71B-84504C45DB94}">
  <cacheSource type="worksheet">
    <worksheetSource name="Table1"/>
  </cacheSource>
  <cacheFields count="26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164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164">
      <sharedItems containsSemiMixedTypes="0" containsString="0" containsNumber="1" minValue="482.13" maxValue="14082.8"/>
    </cacheField>
    <cacheField name="ORDERDATE" numFmtId="0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164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TotalSales" numFmtId="164">
      <sharedItems containsSemiMixedTypes="0" containsString="0" containsNumber="1" minValue="482.13" maxValue="9048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60"/>
    <n v="95.7"/>
    <n v="2"/>
    <n v="2871"/>
    <d v="2003-02-24T00:00:00"/>
    <s v="Shipped"/>
    <n v="1"/>
    <x v="0"/>
    <n v="2003"/>
    <x v="0"/>
    <n v="95"/>
    <s v="S10_1678"/>
    <s v="Land of Toys Inc."/>
    <n v="2125557818"/>
    <s v="897 Long Airport Avenue"/>
    <m/>
    <s v="NYC"/>
    <s v="NY"/>
    <n v="10022"/>
    <s v="USA"/>
    <s v="NA"/>
    <s v="Yu"/>
    <s v="Kwai"/>
    <s v="Small"/>
    <n v="5742"/>
  </r>
  <r>
    <n v="10121"/>
    <n v="34"/>
    <n v="81.349999999999994"/>
    <n v="5"/>
    <n v="2765.9"/>
    <d v="2003-05-07T00:00:00"/>
    <s v="Shipped"/>
    <n v="2"/>
    <x v="1"/>
    <n v="2003"/>
    <x v="0"/>
    <n v="95"/>
    <s v="S10_1678"/>
    <s v="Reims Collectables"/>
    <s v="26.47.1555"/>
    <s v="59 rue de l'Abbaye"/>
    <m/>
    <s v="Reims"/>
    <m/>
    <n v="51100"/>
    <s v="France"/>
    <s v="EMEA"/>
    <s v="Henriot"/>
    <s v="Paul"/>
    <s v="Small"/>
    <n v="2765.8999999999996"/>
  </r>
  <r>
    <n v="10134"/>
    <n v="41"/>
    <n v="94.74"/>
    <n v="2"/>
    <n v="3884.34"/>
    <d v="2003-07-01T00:00:00"/>
    <s v="Shipped"/>
    <n v="3"/>
    <x v="2"/>
    <n v="2003"/>
    <x v="0"/>
    <n v="95"/>
    <s v="S10_1678"/>
    <s v="Lyon Souveniers"/>
    <s v="+33 1 46 62 7555"/>
    <s v="27 rue du Colonel Pierre Avia"/>
    <m/>
    <s v="Paris"/>
    <m/>
    <n v="75508"/>
    <s v="France"/>
    <s v="EMEA"/>
    <s v="Da Cunha"/>
    <s v="Daniel"/>
    <s v="Medium"/>
    <n v="3884.3399999999997"/>
  </r>
  <r>
    <n v="10145"/>
    <n v="45"/>
    <n v="83.26"/>
    <n v="6"/>
    <n v="3746.7"/>
    <d v="2003-08-25T00:00:00"/>
    <s v="Shipped"/>
    <n v="3"/>
    <x v="3"/>
    <n v="2003"/>
    <x v="0"/>
    <n v="95"/>
    <s v="S10_1678"/>
    <s v="Toys4GrownUps.com"/>
    <n v="6265557265"/>
    <s v="78934 Hillside Dr."/>
    <m/>
    <s v="Pasadena"/>
    <s v="CA"/>
    <n v="90003"/>
    <s v="USA"/>
    <s v="NA"/>
    <s v="Young"/>
    <s v="Julie"/>
    <s v="Medium"/>
    <n v="3746.7000000000003"/>
  </r>
  <r>
    <n v="10159"/>
    <n v="49"/>
    <n v="100"/>
    <n v="14"/>
    <n v="5205.2700000000004"/>
    <d v="2003-10-10T00:00:00"/>
    <s v="Shipped"/>
    <n v="4"/>
    <x v="4"/>
    <n v="2003"/>
    <x v="0"/>
    <n v="95"/>
    <s v="S10_1678"/>
    <s v="Corporate Gift Ideas Co."/>
    <n v="6505551386"/>
    <s v="7734 Strong St."/>
    <m/>
    <s v="San Francisco"/>
    <s v="CA"/>
    <m/>
    <s v="USA"/>
    <s v="NA"/>
    <s v="Brown"/>
    <s v="Julie"/>
    <s v="Medium"/>
    <n v="4900"/>
  </r>
  <r>
    <n v="10168"/>
    <n v="36"/>
    <n v="96.66"/>
    <n v="1"/>
    <n v="3479.76"/>
    <d v="2003-10-28T00:00:00"/>
    <s v="Shipped"/>
    <n v="4"/>
    <x v="4"/>
    <n v="2003"/>
    <x v="0"/>
    <n v="95"/>
    <s v="S10_1678"/>
    <s v="Technics Stores Inc."/>
    <n v="6505556809"/>
    <s v="9408 Furth Circle"/>
    <m/>
    <s v="Burlingame"/>
    <s v="CA"/>
    <n v="94217"/>
    <s v="USA"/>
    <s v="NA"/>
    <s v="Hirano"/>
    <s v="Juri"/>
    <s v="Medium"/>
    <n v="3479.7599999999998"/>
  </r>
  <r>
    <n v="10180"/>
    <n v="29"/>
    <n v="86.13"/>
    <n v="9"/>
    <n v="2497.77"/>
    <d v="2003-11-11T00:00:00"/>
    <s v="Shipped"/>
    <n v="4"/>
    <x v="5"/>
    <n v="2003"/>
    <x v="0"/>
    <n v="95"/>
    <s v="S10_1678"/>
    <s v="Daedalus Designs Imports"/>
    <s v="20.16.1555"/>
    <s v="184, chausse de Tournai"/>
    <m/>
    <s v="Lille"/>
    <m/>
    <n v="59000"/>
    <s v="France"/>
    <s v="EMEA"/>
    <s v="Rance"/>
    <s v="Martine"/>
    <s v="Small"/>
    <n v="2497.77"/>
  </r>
  <r>
    <n v="10188"/>
    <n v="48"/>
    <n v="100"/>
    <n v="1"/>
    <n v="5512.32"/>
    <d v="2003-11-18T00:00:00"/>
    <s v="Shipped"/>
    <n v="4"/>
    <x v="5"/>
    <n v="2003"/>
    <x v="0"/>
    <n v="95"/>
    <s v="S10_1678"/>
    <s v="Herkku Gifts"/>
    <s v="+47 2267 3215"/>
    <s v="Drammen 121, PR 744 Sentrum"/>
    <m/>
    <s v="Bergen"/>
    <m/>
    <s v="N 5804"/>
    <s v="Norway"/>
    <s v="EMEA"/>
    <s v="Oeztan"/>
    <s v="Veysel"/>
    <s v="Medium"/>
    <n v="4800"/>
  </r>
  <r>
    <n v="10201"/>
    <n v="22"/>
    <n v="98.57"/>
    <n v="2"/>
    <n v="2168.54"/>
    <d v="2003-12-01T00:00:00"/>
    <s v="Shipped"/>
    <n v="4"/>
    <x v="6"/>
    <n v="2003"/>
    <x v="0"/>
    <n v="95"/>
    <s v="S10_1678"/>
    <s v="Mini Wheels Co."/>
    <n v="6505555787"/>
    <s v="5557 North Pendale Street"/>
    <m/>
    <s v="San Francisco"/>
    <s v="CA"/>
    <m/>
    <s v="USA"/>
    <s v="NA"/>
    <s v="Murphy"/>
    <s v="Julie"/>
    <s v="Small"/>
    <n v="2168.54"/>
  </r>
  <r>
    <n v="10211"/>
    <n v="41"/>
    <n v="100"/>
    <n v="14"/>
    <n v="4708.4399999999996"/>
    <d v="2004-01-15T00:00:00"/>
    <s v="Shipped"/>
    <n v="1"/>
    <x v="7"/>
    <n v="2004"/>
    <x v="0"/>
    <n v="95"/>
    <s v="S10_1678"/>
    <s v="Auto Canal Petit"/>
    <s v="(1) 47.55.6555"/>
    <s v="25, rue Lauriston"/>
    <m/>
    <s v="Paris"/>
    <m/>
    <n v="75016"/>
    <s v="France"/>
    <s v="EMEA"/>
    <s v="Perrier"/>
    <s v="Dominique"/>
    <s v="Medium"/>
    <n v="4100"/>
  </r>
  <r>
    <n v="10223"/>
    <n v="37"/>
    <n v="100"/>
    <n v="1"/>
    <n v="3965.66"/>
    <d v="2004-02-20T00:00:00"/>
    <s v="Shipped"/>
    <n v="1"/>
    <x v="0"/>
    <n v="2004"/>
    <x v="0"/>
    <n v="95"/>
    <s v="S10_1678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700"/>
  </r>
  <r>
    <n v="10237"/>
    <n v="23"/>
    <n v="100"/>
    <n v="7"/>
    <n v="2333.12"/>
    <d v="2004-04-05T00:00:00"/>
    <s v="Shipped"/>
    <n v="2"/>
    <x v="8"/>
    <n v="2004"/>
    <x v="0"/>
    <n v="95"/>
    <s v="S10_1678"/>
    <s v="Vitachrome Inc."/>
    <n v="2125551500"/>
    <s v="2678 Kingston Rd."/>
    <s v="Suite 101"/>
    <s v="NYC"/>
    <s v="NY"/>
    <n v="10022"/>
    <s v="USA"/>
    <s v="NA"/>
    <s v="Frick"/>
    <s v="Michael"/>
    <s v="Small"/>
    <n v="2300"/>
  </r>
  <r>
    <n v="10251"/>
    <n v="28"/>
    <n v="100"/>
    <n v="2"/>
    <n v="3188.64"/>
    <d v="2004-05-18T00:00:00"/>
    <s v="Shipped"/>
    <n v="2"/>
    <x v="1"/>
    <n v="2004"/>
    <x v="0"/>
    <n v="95"/>
    <s v="S10_1678"/>
    <s v="Tekni Collectables Inc."/>
    <n v="2015559350"/>
    <s v="7476 Moss Rd."/>
    <m/>
    <s v="Newark"/>
    <s v="NJ"/>
    <n v="94019"/>
    <s v="USA"/>
    <s v="NA"/>
    <s v="Brown"/>
    <s v="William"/>
    <s v="Medium"/>
    <n v="2800"/>
  </r>
  <r>
    <n v="10263"/>
    <n v="34"/>
    <n v="100"/>
    <n v="2"/>
    <n v="3676.76"/>
    <d v="2004-06-28T00:00:00"/>
    <s v="Shipped"/>
    <n v="2"/>
    <x v="9"/>
    <n v="2004"/>
    <x v="0"/>
    <n v="95"/>
    <s v="S10_1678"/>
    <s v="Gift Depot Inc."/>
    <n v="2035552570"/>
    <s v="25593 South Bay Ln."/>
    <m/>
    <s v="Bridgewater"/>
    <s v="CT"/>
    <n v="97562"/>
    <s v="USA"/>
    <s v="NA"/>
    <s v="King"/>
    <s v="Julie"/>
    <s v="Medium"/>
    <n v="3400"/>
  </r>
  <r>
    <n v="10275"/>
    <n v="45"/>
    <n v="92.83"/>
    <n v="1"/>
    <n v="4177.3500000000004"/>
    <d v="2004-07-23T00:00:00"/>
    <s v="Shipped"/>
    <n v="3"/>
    <x v="2"/>
    <n v="2004"/>
    <x v="0"/>
    <n v="95"/>
    <s v="S10_1678"/>
    <s v="La Rochelle Gifts"/>
    <s v="40.67.8555"/>
    <s v="67, rue des Cinquante Otages"/>
    <m/>
    <s v="Nantes"/>
    <m/>
    <n v="44000"/>
    <s v="France"/>
    <s v="EMEA"/>
    <s v="Labrune"/>
    <s v="Janine"/>
    <s v="Medium"/>
    <n v="4177.3500000000004"/>
  </r>
  <r>
    <n v="10285"/>
    <n v="36"/>
    <n v="100"/>
    <n v="6"/>
    <n v="4099.68"/>
    <d v="2004-08-27T00:00:00"/>
    <s v="Shipped"/>
    <n v="3"/>
    <x v="3"/>
    <n v="2004"/>
    <x v="0"/>
    <n v="95"/>
    <s v="S10_1678"/>
    <s v="Marta's Replicas Co."/>
    <n v="6175558555"/>
    <s v="39323 Spinnaker Dr."/>
    <m/>
    <s v="Cambridge"/>
    <s v="MA"/>
    <n v="51247"/>
    <s v="USA"/>
    <s v="NA"/>
    <s v="Hernandez"/>
    <s v="Marta"/>
    <s v="Medium"/>
    <n v="3600"/>
  </r>
  <r>
    <n v="10299"/>
    <n v="23"/>
    <n v="100"/>
    <n v="9"/>
    <n v="2597.39"/>
    <d v="2004-09-30T00:00:00"/>
    <s v="Shipped"/>
    <n v="3"/>
    <x v="10"/>
    <n v="2004"/>
    <x v="0"/>
    <n v="95"/>
    <s v="S10_1678"/>
    <s v="Toys of Finland, Co."/>
    <s v="90-224 8555"/>
    <s v="Keskuskatu 45"/>
    <m/>
    <s v="Helsinki"/>
    <m/>
    <n v="21240"/>
    <s v="Finland"/>
    <s v="EMEA"/>
    <s v="Karttunen"/>
    <s v="Matti"/>
    <s v="Small"/>
    <n v="2300"/>
  </r>
  <r>
    <n v="10309"/>
    <n v="41"/>
    <n v="100"/>
    <n v="5"/>
    <n v="4394.38"/>
    <d v="2004-10-15T00:00:00"/>
    <s v="Shipped"/>
    <n v="4"/>
    <x v="4"/>
    <n v="2004"/>
    <x v="0"/>
    <n v="95"/>
    <s v="S10_1678"/>
    <s v="Baane Mini Imports"/>
    <s v="07-98 9555"/>
    <s v="Erling Skakkes gate 78"/>
    <m/>
    <s v="Stavern"/>
    <m/>
    <n v="4110"/>
    <s v="Norway"/>
    <s v="EMEA"/>
    <s v="Bergulfsen"/>
    <s v="Jonas"/>
    <s v="Medium"/>
    <n v="4100"/>
  </r>
  <r>
    <n v="10318"/>
    <n v="46"/>
    <n v="94.74"/>
    <n v="1"/>
    <n v="4358.04"/>
    <d v="2004-11-02T00:00:00"/>
    <s v="Shipped"/>
    <n v="4"/>
    <x v="5"/>
    <n v="2004"/>
    <x v="0"/>
    <n v="95"/>
    <s v="S10_1678"/>
    <s v="Diecast Classics Inc."/>
    <n v="2155551555"/>
    <s v="7586 Pompton St."/>
    <m/>
    <s v="Allentown"/>
    <s v="PA"/>
    <n v="70267"/>
    <s v="USA"/>
    <s v="NA"/>
    <s v="Yu"/>
    <s v="Kyung"/>
    <s v="Medium"/>
    <n v="4358.04"/>
  </r>
  <r>
    <n v="10329"/>
    <n v="42"/>
    <n v="100"/>
    <n v="1"/>
    <n v="4396.1400000000003"/>
    <d v="2004-11-15T00:00:00"/>
    <s v="Shipped"/>
    <n v="4"/>
    <x v="5"/>
    <n v="2004"/>
    <x v="0"/>
    <n v="95"/>
    <s v="S10_1678"/>
    <s v="Land of Toys Inc."/>
    <n v="2125557818"/>
    <s v="897 Long Airport Avenue"/>
    <m/>
    <s v="NYC"/>
    <s v="NY"/>
    <n v="10022"/>
    <s v="USA"/>
    <s v="NA"/>
    <s v="Yu"/>
    <s v="Kwai"/>
    <s v="Medium"/>
    <n v="4200"/>
  </r>
  <r>
    <n v="10341"/>
    <n v="41"/>
    <n v="100"/>
    <n v="9"/>
    <n v="7737.93"/>
    <d v="2004-11-24T00:00:00"/>
    <s v="Shipped"/>
    <n v="4"/>
    <x v="5"/>
    <n v="2004"/>
    <x v="0"/>
    <n v="95"/>
    <s v="S10_1678"/>
    <s v="Salzburg Collectables"/>
    <s v="6562-9555"/>
    <s v="Geislweg 14"/>
    <m/>
    <s v="Salzburg"/>
    <m/>
    <n v="5020"/>
    <s v="Austria"/>
    <s v="EMEA"/>
    <s v="Pipps"/>
    <s v="Georg"/>
    <s v="Large"/>
    <n v="4100"/>
  </r>
  <r>
    <n v="10361"/>
    <n v="20"/>
    <n v="72.55"/>
    <n v="13"/>
    <n v="1451"/>
    <d v="2004-12-17T00:00:00"/>
    <s v="Shipped"/>
    <n v="4"/>
    <x v="6"/>
    <n v="2004"/>
    <x v="0"/>
    <n v="95"/>
    <s v="S10_167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451"/>
  </r>
  <r>
    <n v="10375"/>
    <n v="21"/>
    <n v="34.909999999999997"/>
    <n v="12"/>
    <n v="733.11"/>
    <d v="2005-02-03T00:00:00"/>
    <s v="Shipped"/>
    <n v="1"/>
    <x v="0"/>
    <n v="2005"/>
    <x v="0"/>
    <n v="95"/>
    <s v="S10_1678"/>
    <s v="La Rochelle Gifts"/>
    <s v="40.67.8555"/>
    <s v="67, rue des Cinquante Otages"/>
    <m/>
    <s v="Nantes"/>
    <m/>
    <n v="44000"/>
    <s v="France"/>
    <s v="EMEA"/>
    <s v="Labrune"/>
    <s v="Janine"/>
    <s v="Small"/>
    <n v="733.1099999999999"/>
  </r>
  <r>
    <n v="10388"/>
    <n v="42"/>
    <n v="76.36"/>
    <n v="4"/>
    <n v="3207.12"/>
    <d v="2005-03-03T00:00:00"/>
    <s v="Shipped"/>
    <n v="1"/>
    <x v="11"/>
    <n v="2005"/>
    <x v="0"/>
    <n v="95"/>
    <s v="S10_1678"/>
    <s v="FunGiftIdeas.com"/>
    <n v="5085552555"/>
    <s v="1785 First Street"/>
    <m/>
    <s v="New Bedford"/>
    <s v="MA"/>
    <n v="50553"/>
    <s v="USA"/>
    <s v="NA"/>
    <s v="Benitez"/>
    <s v="Violeta"/>
    <s v="Medium"/>
    <n v="3207.12"/>
  </r>
  <r>
    <n v="10403"/>
    <n v="24"/>
    <n v="100"/>
    <n v="7"/>
    <n v="2434.56"/>
    <d v="2005-04-08T00:00:00"/>
    <s v="Shipped"/>
    <n v="2"/>
    <x v="8"/>
    <n v="2005"/>
    <x v="0"/>
    <n v="95"/>
    <s v="S10_1678"/>
    <s v="UK Collectables, Ltd."/>
    <s v="(171) 555-2282"/>
    <s v="Berkeley Gardens 12  Brewery"/>
    <m/>
    <s v="Liverpool"/>
    <m/>
    <s v="WX1 6LT"/>
    <s v="UK"/>
    <s v="EMEA"/>
    <s v="Devon"/>
    <s v="Elizabeth"/>
    <s v="Small"/>
    <n v="2400"/>
  </r>
  <r>
    <n v="10417"/>
    <n v="66"/>
    <n v="100"/>
    <n v="2"/>
    <n v="7516.08"/>
    <d v="2005-05-13T00:00:00"/>
    <s v="Disputed"/>
    <n v="2"/>
    <x v="1"/>
    <n v="2005"/>
    <x v="0"/>
    <n v="95"/>
    <s v="S10_1678"/>
    <s v="Euro Shopping Channel"/>
    <s v="(91) 555 94 44"/>
    <s v="C/ Moralzarzal, 86"/>
    <m/>
    <s v="Madrid"/>
    <m/>
    <n v="28034"/>
    <s v="Spain"/>
    <s v="EMEA"/>
    <s v="Freyre"/>
    <s v="Diego"/>
    <s v="Large"/>
    <n v="6600"/>
  </r>
  <r>
    <n v="10103"/>
    <n v="26"/>
    <n v="100"/>
    <n v="11"/>
    <n v="5404.62"/>
    <d v="2003-01-29T00:00:00"/>
    <s v="Shipped"/>
    <n v="1"/>
    <x v="7"/>
    <n v="2003"/>
    <x v="1"/>
    <n v="214"/>
    <s v="S10_1949"/>
    <s v="Baane Mini Imports"/>
    <s v="07-98 9555"/>
    <s v="Erling Skakkes gate 78"/>
    <m/>
    <s v="Stavern"/>
    <m/>
    <n v="4110"/>
    <s v="Norway"/>
    <s v="EMEA"/>
    <s v="Bergulfsen"/>
    <s v="Jonas"/>
    <s v="Medium"/>
    <n v="2600"/>
  </r>
  <r>
    <n v="10112"/>
    <n v="29"/>
    <n v="100"/>
    <n v="1"/>
    <n v="7209.11"/>
    <d v="2003-03-24T00:00:00"/>
    <s v="Shipped"/>
    <n v="1"/>
    <x v="11"/>
    <n v="2003"/>
    <x v="1"/>
    <n v="214"/>
    <s v="S10_1949"/>
    <s v="Volvo Model Replicas, Co"/>
    <s v="0921-12 3555"/>
    <s v="Berguvsv„gen  8"/>
    <m/>
    <s v="Lule"/>
    <m/>
    <s v="S-958 22"/>
    <s v="Sweden"/>
    <s v="EMEA"/>
    <s v="Berglund"/>
    <s v="Christina"/>
    <s v="Large"/>
    <n v="2900"/>
  </r>
  <r>
    <n v="10126"/>
    <n v="38"/>
    <n v="100"/>
    <n v="11"/>
    <n v="7329.06"/>
    <d v="2003-05-28T00:00:00"/>
    <s v="Shipped"/>
    <n v="2"/>
    <x v="1"/>
    <n v="2003"/>
    <x v="1"/>
    <n v="214"/>
    <s v="S10_1949"/>
    <s v="Corrida Auto Replicas, Ltd"/>
    <s v="(91) 555 22 82"/>
    <s v="C/ Araquil, 67"/>
    <m/>
    <s v="Madrid"/>
    <m/>
    <n v="28023"/>
    <s v="Spain"/>
    <s v="EMEA"/>
    <s v="Sommer"/>
    <s v="Mart¡n"/>
    <s v="Large"/>
    <n v="3800"/>
  </r>
  <r>
    <n v="10140"/>
    <n v="37"/>
    <n v="100"/>
    <n v="11"/>
    <n v="7374.1"/>
    <d v="2003-07-24T00:00:00"/>
    <s v="Shipped"/>
    <n v="3"/>
    <x v="2"/>
    <n v="2003"/>
    <x v="1"/>
    <n v="214"/>
    <s v="S10_1949"/>
    <s v="Technics Stores Inc."/>
    <n v="6505556809"/>
    <s v="9408 Furth Circle"/>
    <m/>
    <s v="Burlingame"/>
    <s v="CA"/>
    <n v="94217"/>
    <s v="USA"/>
    <s v="NA"/>
    <s v="Hirano"/>
    <s v="Juri"/>
    <s v="Large"/>
    <n v="3700"/>
  </r>
  <r>
    <n v="10150"/>
    <n v="45"/>
    <n v="100"/>
    <n v="8"/>
    <n v="10993.5"/>
    <d v="2003-09-19T00:00:00"/>
    <s v="Shipped"/>
    <n v="3"/>
    <x v="10"/>
    <n v="2003"/>
    <x v="1"/>
    <n v="214"/>
    <s v="S10_1949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  <n v="4500"/>
  </r>
  <r>
    <n v="10163"/>
    <n v="21"/>
    <n v="100"/>
    <n v="1"/>
    <n v="4860.24"/>
    <d v="2003-10-20T00:00:00"/>
    <s v="Shipped"/>
    <n v="4"/>
    <x v="4"/>
    <n v="2003"/>
    <x v="1"/>
    <n v="214"/>
    <s v="S10_1949"/>
    <s v="Classic Legends Inc."/>
    <n v="2125558493"/>
    <s v="5905 Pompton St."/>
    <s v="Suite 750"/>
    <s v="NYC"/>
    <s v="NY"/>
    <n v="10022"/>
    <s v="USA"/>
    <s v="NA"/>
    <s v="Hernandez"/>
    <s v="Maria"/>
    <s v="Medium"/>
    <n v="2100"/>
  </r>
  <r>
    <n v="10174"/>
    <n v="34"/>
    <n v="100"/>
    <n v="4"/>
    <n v="8014.82"/>
    <d v="2003-11-06T00:00:00"/>
    <s v="Shipped"/>
    <n v="4"/>
    <x v="5"/>
    <n v="2003"/>
    <x v="1"/>
    <n v="214"/>
    <s v="S10_1949"/>
    <s v="Australian Gift Network, Co"/>
    <s v="61-7-3844-6555"/>
    <s v="31 Duncan St. West End"/>
    <m/>
    <s v="South Brisbane"/>
    <s v="Queensland"/>
    <n v="4101"/>
    <s v="Australia"/>
    <s v="APAC"/>
    <s v="Calaghan"/>
    <s v="Tony"/>
    <s v="Large"/>
    <n v="3400"/>
  </r>
  <r>
    <n v="10183"/>
    <n v="23"/>
    <n v="100"/>
    <n v="8"/>
    <n v="5372.57"/>
    <d v="2003-11-13T00:00:00"/>
    <s v="Shipped"/>
    <n v="4"/>
    <x v="5"/>
    <n v="2003"/>
    <x v="1"/>
    <n v="214"/>
    <s v="S10_1949"/>
    <s v="Classic Gift Ideas, Inc"/>
    <n v="2155554695"/>
    <s v="782 First Street"/>
    <m/>
    <s v="Philadelphia"/>
    <s v="PA"/>
    <n v="71270"/>
    <s v="USA"/>
    <s v="NA"/>
    <s v="Cervantes"/>
    <s v="Francisca"/>
    <s v="Medium"/>
    <n v="2300"/>
  </r>
  <r>
    <n v="10194"/>
    <n v="42"/>
    <n v="100"/>
    <n v="11"/>
    <n v="7290.36"/>
    <d v="2003-11-25T00:00:00"/>
    <s v="Shipped"/>
    <n v="4"/>
    <x v="5"/>
    <n v="2003"/>
    <x v="1"/>
    <n v="214"/>
    <s v="S10_1949"/>
    <s v="Saveley &amp; Henriot, Co."/>
    <s v="78.32.5555"/>
    <s v="2, rue du Commerce"/>
    <m/>
    <s v="Lyon"/>
    <m/>
    <n v="69004"/>
    <s v="France"/>
    <s v="EMEA"/>
    <s v="Saveley"/>
    <s v="Mary"/>
    <s v="Large"/>
    <n v="4200"/>
  </r>
  <r>
    <n v="10206"/>
    <n v="47"/>
    <n v="100"/>
    <n v="6"/>
    <n v="9064.89"/>
    <d v="2003-12-05T00:00:00"/>
    <s v="Shipped"/>
    <n v="4"/>
    <x v="6"/>
    <n v="2003"/>
    <x v="1"/>
    <n v="214"/>
    <s v="S10_1949"/>
    <s v="Canadian Gift Exchange Network"/>
    <s v="(604) 555-3392"/>
    <s v="1900 Oak St."/>
    <m/>
    <s v="Vancouver"/>
    <s v="BC"/>
    <s v="V3F 2K1"/>
    <s v="Canada"/>
    <s v="NA"/>
    <s v="Tannamuri"/>
    <s v="Yoshi"/>
    <s v="Large"/>
    <n v="4700"/>
  </r>
  <r>
    <n v="10215"/>
    <n v="35"/>
    <n v="100"/>
    <n v="3"/>
    <n v="6075.3"/>
    <d v="2004-01-29T00:00:00"/>
    <s v="Shipped"/>
    <n v="1"/>
    <x v="7"/>
    <n v="2004"/>
    <x v="1"/>
    <n v="214"/>
    <s v="S10_1949"/>
    <s v="West Coast Collectables Co."/>
    <n v="3105553722"/>
    <s v="3675 Furth Circle"/>
    <m/>
    <s v="Burbank"/>
    <s v="CA"/>
    <n v="94019"/>
    <s v="USA"/>
    <s v="NA"/>
    <s v="Thompson"/>
    <s v="Steve"/>
    <s v="Medium"/>
    <n v="3500"/>
  </r>
  <r>
    <n v="10228"/>
    <n v="29"/>
    <n v="100"/>
    <n v="2"/>
    <n v="6463.23"/>
    <d v="2004-03-10T00:00:00"/>
    <s v="Shipped"/>
    <n v="1"/>
    <x v="11"/>
    <n v="2004"/>
    <x v="1"/>
    <n v="214"/>
    <s v="S10_1949"/>
    <s v="Cambridge Collectables Co."/>
    <n v="6175555555"/>
    <s v="4658 Baden Av."/>
    <m/>
    <s v="Cambridge"/>
    <s v="MA"/>
    <n v="51247"/>
    <s v="USA"/>
    <s v="NA"/>
    <s v="Tseng"/>
    <s v="Kyung"/>
    <s v="Medium"/>
    <n v="2900"/>
  </r>
  <r>
    <n v="10245"/>
    <n v="34"/>
    <n v="100"/>
    <n v="9"/>
    <n v="6120.34"/>
    <d v="2004-05-04T00:00:00"/>
    <s v="Shipped"/>
    <n v="2"/>
    <x v="1"/>
    <n v="2004"/>
    <x v="1"/>
    <n v="214"/>
    <s v="S10_1949"/>
    <s v="Super Scale Inc."/>
    <n v="2035559545"/>
    <s v="567 North Pendale Street"/>
    <m/>
    <s v="New Haven"/>
    <s v="CT"/>
    <n v="97823"/>
    <s v="USA"/>
    <s v="NA"/>
    <s v="Murphy"/>
    <s v="Leslie"/>
    <s v="Medium"/>
    <n v="3400"/>
  </r>
  <r>
    <n v="10258"/>
    <n v="32"/>
    <n v="100"/>
    <n v="6"/>
    <n v="7680.64"/>
    <d v="2004-06-15T00:00:00"/>
    <s v="Shipped"/>
    <n v="2"/>
    <x v="9"/>
    <n v="2004"/>
    <x v="1"/>
    <n v="214"/>
    <s v="S10_1949"/>
    <s v="Tokyo Collectables, Ltd"/>
    <s v="+81 3 3584 0555"/>
    <s v="2-2-8 Roppongi"/>
    <m/>
    <s v="Minato-ku"/>
    <s v="Tokyo"/>
    <s v="106-0032"/>
    <s v="Japan"/>
    <s v="Japan"/>
    <s v="Shimamura"/>
    <s v="Akiko"/>
    <s v="Large"/>
    <n v="3200"/>
  </r>
  <r>
    <n v="10270"/>
    <n v="21"/>
    <n v="100"/>
    <n v="9"/>
    <n v="4905.3900000000003"/>
    <d v="2004-07-19T00:00:00"/>
    <s v="Shipped"/>
    <n v="3"/>
    <x v="2"/>
    <n v="2004"/>
    <x v="1"/>
    <n v="214"/>
    <s v="S10_1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2100"/>
  </r>
  <r>
    <n v="10280"/>
    <n v="34"/>
    <n v="100"/>
    <n v="2"/>
    <n v="8014.82"/>
    <d v="2004-08-17T00:00:00"/>
    <s v="Shipped"/>
    <n v="3"/>
    <x v="3"/>
    <n v="2004"/>
    <x v="1"/>
    <n v="214"/>
    <s v="S10_1949"/>
    <s v="Amica Models &amp; Co."/>
    <s v="011-4988555"/>
    <s v="Via Monte Bianco 34"/>
    <m/>
    <s v="Torino"/>
    <m/>
    <n v="10100"/>
    <s v="Italy"/>
    <s v="EMEA"/>
    <s v="Accorti"/>
    <s v="Paolo"/>
    <s v="Large"/>
    <n v="3400"/>
  </r>
  <r>
    <n v="10291"/>
    <n v="37"/>
    <n v="100"/>
    <n v="11"/>
    <n v="7136.19"/>
    <d v="2004-09-08T00:00:00"/>
    <s v="Shipped"/>
    <n v="3"/>
    <x v="10"/>
    <n v="2004"/>
    <x v="1"/>
    <n v="214"/>
    <s v="S10_1949"/>
    <s v="Scandinavian Gift Ideas"/>
    <s v="0695-34 6555"/>
    <s v="?kergatan 24"/>
    <m/>
    <s v="Boras"/>
    <m/>
    <s v="S-844 67"/>
    <s v="Sweden"/>
    <s v="EMEA"/>
    <s v="Larsson"/>
    <s v="Maria"/>
    <s v="Large"/>
    <n v="3700"/>
  </r>
  <r>
    <n v="10304"/>
    <n v="47"/>
    <n v="100"/>
    <n v="6"/>
    <n v="10172.700000000001"/>
    <d v="2004-10-11T00:00:00"/>
    <s v="Shipped"/>
    <n v="4"/>
    <x v="4"/>
    <n v="2004"/>
    <x v="1"/>
    <n v="214"/>
    <s v="S10_1949"/>
    <s v="Auto Assoc. &amp; Cie."/>
    <s v="30.59.8555"/>
    <s v="67, avenue de l'Europe"/>
    <m/>
    <s v="Versailles"/>
    <m/>
    <n v="78000"/>
    <s v="France"/>
    <s v="EMEA"/>
    <s v="Tonini"/>
    <s v="Daniel"/>
    <s v="Large"/>
    <n v="4700"/>
  </r>
  <r>
    <n v="10312"/>
    <n v="48"/>
    <n v="100"/>
    <n v="3"/>
    <n v="11623.7"/>
    <d v="2004-10-21T00:00:00"/>
    <s v="Shipped"/>
    <n v="4"/>
    <x v="4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Nelson"/>
    <s v="Valarie"/>
    <s v="Large"/>
    <n v="4800"/>
  </r>
  <r>
    <n v="10322"/>
    <n v="40"/>
    <n v="100"/>
    <n v="1"/>
    <n v="6000.4"/>
    <d v="2004-11-04T00:00:00"/>
    <s v="Shipped"/>
    <n v="4"/>
    <x v="5"/>
    <n v="2004"/>
    <x v="1"/>
    <n v="214"/>
    <s v="S10_1949"/>
    <s v="Online Diecast Creations Co."/>
    <n v="6035558647"/>
    <s v="2304 Long Airport Avenue"/>
    <m/>
    <s v="Nashua"/>
    <s v="NH"/>
    <n v="62005"/>
    <s v="USA"/>
    <s v="NA"/>
    <s v="Young"/>
    <s v="Valarie"/>
    <s v="Medium"/>
    <n v="4000"/>
  </r>
  <r>
    <n v="10333"/>
    <n v="26"/>
    <n v="100"/>
    <n v="3"/>
    <n v="3003"/>
    <d v="2004-11-18T00:00:00"/>
    <s v="Shipped"/>
    <n v="4"/>
    <x v="5"/>
    <n v="2004"/>
    <x v="1"/>
    <n v="214"/>
    <s v="S10_1949"/>
    <s v="Mini Wheels Co."/>
    <n v="6505555787"/>
    <s v="5557 North Pendale Street"/>
    <m/>
    <s v="San Francisco"/>
    <s v="CA"/>
    <m/>
    <s v="USA"/>
    <s v="NA"/>
    <s v="Murphy"/>
    <s v="Julie"/>
    <s v="Medium"/>
    <n v="2600"/>
  </r>
  <r>
    <n v="10347"/>
    <n v="30"/>
    <n v="100"/>
    <n v="1"/>
    <n v="3944.7"/>
    <d v="2004-11-29T00:00:00"/>
    <s v="Shipped"/>
    <n v="4"/>
    <x v="5"/>
    <n v="2004"/>
    <x v="1"/>
    <n v="214"/>
    <s v="S10_194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000"/>
  </r>
  <r>
    <n v="10357"/>
    <n v="32"/>
    <n v="100"/>
    <n v="10"/>
    <n v="5691.84"/>
    <d v="2004-12-10T00:00:00"/>
    <s v="Shipped"/>
    <n v="4"/>
    <x v="6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Nelson"/>
    <s v="Valarie"/>
    <s v="Medium"/>
    <n v="3200"/>
  </r>
  <r>
    <n v="10369"/>
    <n v="41"/>
    <n v="100"/>
    <n v="2"/>
    <n v="4514.92"/>
    <d v="2005-01-20T00:00:00"/>
    <s v="Shipped"/>
    <n v="1"/>
    <x v="7"/>
    <n v="2005"/>
    <x v="1"/>
    <n v="214"/>
    <s v="S10_1949"/>
    <s v="Collectables For Less Inc."/>
    <n v="6175558555"/>
    <s v="7825 Douglas Av."/>
    <m/>
    <s v="Brickhaven"/>
    <s v="MA"/>
    <n v="58339"/>
    <s v="USA"/>
    <s v="NA"/>
    <s v="Nelson"/>
    <s v="Allen"/>
    <s v="Medium"/>
    <n v="4100"/>
  </r>
  <r>
    <n v="10381"/>
    <n v="36"/>
    <n v="100"/>
    <n v="3"/>
    <n v="8254.7999999999993"/>
    <d v="2005-02-17T00:00:00"/>
    <s v="Shipped"/>
    <n v="1"/>
    <x v="0"/>
    <n v="2005"/>
    <x v="1"/>
    <n v="214"/>
    <s v="S10_1949"/>
    <s v="Corporate Gift Ideas Co."/>
    <n v="6505551386"/>
    <s v="7734 Strong St."/>
    <m/>
    <s v="San Francisco"/>
    <s v="CA"/>
    <m/>
    <s v="USA"/>
    <s v="NA"/>
    <s v="Brown"/>
    <s v="Julie"/>
    <s v="Large"/>
    <n v="3600"/>
  </r>
  <r>
    <n v="10391"/>
    <n v="24"/>
    <n v="100"/>
    <n v="4"/>
    <n v="2416.56"/>
    <d v="2005-03-09T00:00:00"/>
    <s v="Shipped"/>
    <n v="1"/>
    <x v="11"/>
    <n v="2005"/>
    <x v="1"/>
    <n v="214"/>
    <s v="S10_194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400"/>
  </r>
  <r>
    <n v="10411"/>
    <n v="23"/>
    <n v="100"/>
    <n v="9"/>
    <n v="4140.2299999999996"/>
    <d v="2005-05-01T00:00:00"/>
    <s v="Shipped"/>
    <n v="2"/>
    <x v="1"/>
    <n v="2005"/>
    <x v="1"/>
    <n v="214"/>
    <s v="S10_1949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2300"/>
  </r>
  <r>
    <n v="10424"/>
    <n v="50"/>
    <n v="100"/>
    <n v="6"/>
    <n v="12001"/>
    <d v="2005-05-31T00:00:00"/>
    <s v="In Process"/>
    <n v="2"/>
    <x v="1"/>
    <n v="2005"/>
    <x v="1"/>
    <n v="214"/>
    <s v="S10_1949"/>
    <s v="Euro Shopping Channel"/>
    <s v="(91) 555 94 44"/>
    <s v="C/ Moralzarzal, 86"/>
    <m/>
    <s v="Madrid"/>
    <m/>
    <n v="28034"/>
    <s v="Spain"/>
    <s v="EMEA"/>
    <s v="Freyre"/>
    <s v="Diego"/>
    <s v="Large"/>
    <n v="5000"/>
  </r>
  <r>
    <n v="10107"/>
    <n v="39"/>
    <n v="99.91"/>
    <n v="5"/>
    <n v="3896.49"/>
    <d v="2003-02-24T00:00:00"/>
    <s v="Shipped"/>
    <n v="1"/>
    <x v="0"/>
    <n v="2003"/>
    <x v="0"/>
    <n v="118"/>
    <s v="S10_2016"/>
    <s v="Land of Toys Inc."/>
    <n v="2125557818"/>
    <s v="897 Long Airport Avenue"/>
    <m/>
    <s v="NYC"/>
    <s v="NY"/>
    <n v="10022"/>
    <s v="USA"/>
    <s v="NA"/>
    <s v="Yu"/>
    <s v="Kwai"/>
    <s v="Medium"/>
    <n v="3896.49"/>
  </r>
  <r>
    <n v="10120"/>
    <n v="29"/>
    <n v="96.34"/>
    <n v="3"/>
    <n v="2793.86"/>
    <d v="2003-04-29T00:00:00"/>
    <s v="Shipped"/>
    <n v="2"/>
    <x v="8"/>
    <n v="2003"/>
    <x v="0"/>
    <n v="118"/>
    <s v="S10_2016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793.86"/>
  </r>
  <r>
    <n v="10134"/>
    <n v="27"/>
    <n v="100"/>
    <n v="5"/>
    <n v="3307.77"/>
    <d v="2003-07-01T00:00:00"/>
    <s v="Shipped"/>
    <n v="3"/>
    <x v="2"/>
    <n v="2003"/>
    <x v="0"/>
    <n v="118"/>
    <s v="S10_2016"/>
    <s v="Lyon Souveniers"/>
    <s v="+33 1 46 62 7555"/>
    <s v="27 rue du Colonel Pierre Avia"/>
    <m/>
    <s v="Paris"/>
    <m/>
    <n v="75508"/>
    <s v="France"/>
    <s v="EMEA"/>
    <s v="Da Cunha"/>
    <s v="Daniel"/>
    <s v="Medium"/>
    <n v="2700"/>
  </r>
  <r>
    <n v="10145"/>
    <n v="37"/>
    <n v="100"/>
    <n v="9"/>
    <n v="5192.95"/>
    <d v="2003-08-25T00:00:00"/>
    <s v="Shipped"/>
    <n v="3"/>
    <x v="3"/>
    <n v="2003"/>
    <x v="0"/>
    <n v="118"/>
    <s v="S10_2016"/>
    <s v="Toys4GrownUps.com"/>
    <n v="6265557265"/>
    <s v="78934 Hillside Dr."/>
    <m/>
    <s v="Pasadena"/>
    <s v="CA"/>
    <n v="90003"/>
    <s v="USA"/>
    <s v="NA"/>
    <s v="Young"/>
    <s v="Julie"/>
    <s v="Medium"/>
    <n v="3700"/>
  </r>
  <r>
    <n v="10159"/>
    <n v="37"/>
    <n v="100"/>
    <n v="17"/>
    <n v="5016.83"/>
    <d v="2003-10-10T00:00:00"/>
    <s v="Shipped"/>
    <n v="4"/>
    <x v="4"/>
    <n v="2003"/>
    <x v="0"/>
    <n v="118"/>
    <s v="S10_2016"/>
    <s v="Corporate Gift Ideas Co."/>
    <n v="6505551386"/>
    <s v="7734 Strong St."/>
    <m/>
    <s v="San Francisco"/>
    <s v="CA"/>
    <m/>
    <s v="USA"/>
    <s v="NA"/>
    <s v="Brown"/>
    <s v="Julie"/>
    <s v="Medium"/>
    <n v="3700"/>
  </r>
  <r>
    <n v="10168"/>
    <n v="27"/>
    <n v="100"/>
    <n v="4"/>
    <n v="3660.93"/>
    <d v="2003-10-28T00:00:00"/>
    <s v="Shipped"/>
    <n v="4"/>
    <x v="4"/>
    <n v="2003"/>
    <x v="0"/>
    <n v="118"/>
    <s v="S10_2016"/>
    <s v="Technics Stores Inc."/>
    <n v="6505556809"/>
    <s v="9408 Furth Circle"/>
    <m/>
    <s v="Burlingame"/>
    <s v="CA"/>
    <n v="94217"/>
    <s v="USA"/>
    <s v="NA"/>
    <s v="Hirano"/>
    <s v="Juri"/>
    <s v="Medium"/>
    <n v="2700"/>
  </r>
  <r>
    <n v="10180"/>
    <n v="42"/>
    <n v="100"/>
    <n v="12"/>
    <n v="4695.6000000000004"/>
    <d v="2003-11-11T00:00:00"/>
    <s v="Shipped"/>
    <n v="4"/>
    <x v="5"/>
    <n v="2003"/>
    <x v="0"/>
    <n v="118"/>
    <s v="S10_2016"/>
    <s v="Daedalus Designs Imports"/>
    <s v="20.16.1555"/>
    <s v="184, chausse de Tournai"/>
    <m/>
    <s v="Lille"/>
    <m/>
    <n v="59000"/>
    <s v="France"/>
    <s v="EMEA"/>
    <s v="Rance"/>
    <s v="Martine"/>
    <s v="Medium"/>
    <n v="4200"/>
  </r>
  <r>
    <n v="10188"/>
    <n v="38"/>
    <n v="96.34"/>
    <n v="4"/>
    <n v="3660.92"/>
    <d v="2003-11-18T00:00:00"/>
    <s v="Shipped"/>
    <n v="4"/>
    <x v="5"/>
    <n v="2003"/>
    <x v="0"/>
    <n v="118"/>
    <s v="S10_2016"/>
    <s v="Herkku Gifts"/>
    <s v="+47 2267 3215"/>
    <s v="Drammen 121, PR 744 Sentrum"/>
    <m/>
    <s v="Bergen"/>
    <m/>
    <s v="N 5804"/>
    <s v="Norway"/>
    <s v="EMEA"/>
    <s v="Oeztan"/>
    <s v="Veysel"/>
    <s v="Medium"/>
    <n v="3660.92"/>
  </r>
  <r>
    <n v="10201"/>
    <n v="24"/>
    <n v="100"/>
    <n v="5"/>
    <n v="3025.92"/>
    <d v="2003-12-01T00:00:00"/>
    <s v="Shipped"/>
    <n v="4"/>
    <x v="6"/>
    <n v="2003"/>
    <x v="0"/>
    <n v="118"/>
    <s v="S10_2016"/>
    <s v="Mini Wheels Co."/>
    <n v="6505555787"/>
    <s v="5557 North Pendale Street"/>
    <m/>
    <s v="San Francisco"/>
    <s v="CA"/>
    <m/>
    <s v="USA"/>
    <s v="NA"/>
    <s v="Murphy"/>
    <s v="Julie"/>
    <s v="Medium"/>
    <n v="2400"/>
  </r>
  <r>
    <n v="10210"/>
    <n v="23"/>
    <n v="100"/>
    <n v="2"/>
    <n v="3009.09"/>
    <d v="2004-01-12T00:00:00"/>
    <s v="Shipped"/>
    <n v="1"/>
    <x v="7"/>
    <n v="2004"/>
    <x v="0"/>
    <n v="118"/>
    <s v="S10_2016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n v="2300"/>
  </r>
  <r>
    <n v="10223"/>
    <n v="47"/>
    <n v="100"/>
    <n v="4"/>
    <n v="5422.39"/>
    <d v="2004-02-20T00:00:00"/>
    <s v="Shipped"/>
    <n v="1"/>
    <x v="0"/>
    <n v="2004"/>
    <x v="0"/>
    <n v="118"/>
    <s v="S10_201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4700"/>
  </r>
  <r>
    <n v="10236"/>
    <n v="22"/>
    <n v="100"/>
    <n v="1"/>
    <n v="2852.08"/>
    <d v="2004-04-03T00:00:00"/>
    <s v="Shipped"/>
    <n v="2"/>
    <x v="8"/>
    <n v="2004"/>
    <x v="0"/>
    <n v="118"/>
    <s v="S10_2016"/>
    <s v="Motor Mint Distributors Inc."/>
    <n v="2155559857"/>
    <s v="11328 Douglas Av."/>
    <m/>
    <s v="Philadelphia"/>
    <s v="PA"/>
    <n v="71270"/>
    <s v="USA"/>
    <s v="NA"/>
    <s v="Hernandez"/>
    <s v="Rosa"/>
    <s v="Small"/>
    <n v="2200"/>
  </r>
  <r>
    <n v="10251"/>
    <n v="44"/>
    <n v="100"/>
    <n v="5"/>
    <n v="5756.52"/>
    <d v="2004-05-18T00:00:00"/>
    <s v="Shipped"/>
    <n v="2"/>
    <x v="1"/>
    <n v="2004"/>
    <x v="0"/>
    <n v="118"/>
    <s v="S10_2016"/>
    <s v="Tekni Collectables Inc."/>
    <n v="2015559350"/>
    <s v="7476 Moss Rd."/>
    <m/>
    <s v="Newark"/>
    <s v="NJ"/>
    <n v="94019"/>
    <s v="USA"/>
    <s v="NA"/>
    <s v="Brown"/>
    <s v="William"/>
    <s v="Medium"/>
    <n v="4400"/>
  </r>
  <r>
    <n v="10263"/>
    <n v="40"/>
    <n v="100"/>
    <n v="5"/>
    <n v="4472"/>
    <d v="2004-06-28T00:00:00"/>
    <s v="Shipped"/>
    <n v="2"/>
    <x v="9"/>
    <n v="2004"/>
    <x v="0"/>
    <n v="118"/>
    <s v="S10_2016"/>
    <s v="Gift Depot Inc."/>
    <n v="2035552570"/>
    <s v="25593 South Bay Ln."/>
    <m/>
    <s v="Bridgewater"/>
    <s v="CT"/>
    <n v="97562"/>
    <s v="USA"/>
    <s v="NA"/>
    <s v="King"/>
    <s v="Julie"/>
    <s v="Medium"/>
    <n v="4000"/>
  </r>
  <r>
    <n v="10275"/>
    <n v="22"/>
    <n v="100"/>
    <n v="4"/>
    <n v="2904.44"/>
    <d v="2004-07-23T00:00:00"/>
    <s v="Shipped"/>
    <n v="3"/>
    <x v="2"/>
    <n v="2004"/>
    <x v="0"/>
    <n v="118"/>
    <s v="S10_2016"/>
    <s v="La Rochelle Gifts"/>
    <s v="40.67.8555"/>
    <s v="67, rue des Cinquante Otages"/>
    <m/>
    <s v="Nantes"/>
    <m/>
    <n v="44000"/>
    <s v="France"/>
    <s v="EMEA"/>
    <s v="Labrune"/>
    <s v="Janine"/>
    <s v="Small"/>
    <n v="2200"/>
  </r>
  <r>
    <n v="10285"/>
    <n v="47"/>
    <n v="100"/>
    <n v="9"/>
    <n v="6484.59"/>
    <d v="2004-08-27T00:00:00"/>
    <s v="Shipped"/>
    <n v="3"/>
    <x v="3"/>
    <n v="2004"/>
    <x v="0"/>
    <n v="118"/>
    <s v="S10_2016"/>
    <s v="Marta's Replicas Co."/>
    <n v="6175558555"/>
    <s v="39323 Spinnaker Dr."/>
    <m/>
    <s v="Cambridge"/>
    <s v="MA"/>
    <n v="51247"/>
    <s v="USA"/>
    <s v="NA"/>
    <s v="Hernandez"/>
    <s v="Marta"/>
    <s v="Medium"/>
    <n v="4700"/>
  </r>
  <r>
    <n v="10298"/>
    <n v="39"/>
    <n v="96.34"/>
    <n v="1"/>
    <n v="3757.26"/>
    <d v="2004-09-27T00:00:00"/>
    <s v="Shipped"/>
    <n v="3"/>
    <x v="10"/>
    <n v="2004"/>
    <x v="0"/>
    <n v="118"/>
    <s v="S10_2016"/>
    <s v="Atelier graphique"/>
    <s v="40.32.2555"/>
    <s v="54, rue Royale"/>
    <m/>
    <s v="Nantes"/>
    <m/>
    <n v="44000"/>
    <s v="France"/>
    <s v="EMEA"/>
    <s v="Schmitt"/>
    <s v="Carine"/>
    <s v="Medium"/>
    <n v="3757.26"/>
  </r>
  <r>
    <n v="10308"/>
    <n v="34"/>
    <n v="100"/>
    <n v="2"/>
    <n v="4043.96"/>
    <d v="2004-10-15T00:00:00"/>
    <s v="Shipped"/>
    <n v="4"/>
    <x v="4"/>
    <n v="2004"/>
    <x v="0"/>
    <n v="118"/>
    <s v="S10_2016"/>
    <s v="Mini Classics"/>
    <n v="9145554562"/>
    <s v="3758 North Pendale Street"/>
    <m/>
    <s v="White Plains"/>
    <s v="NY"/>
    <n v="24067"/>
    <s v="USA"/>
    <s v="NA"/>
    <s v="Frick"/>
    <s v="Steve"/>
    <s v="Medium"/>
    <n v="3400"/>
  </r>
  <r>
    <n v="10318"/>
    <n v="45"/>
    <n v="100"/>
    <n v="4"/>
    <n v="5566.5"/>
    <d v="2004-11-02T00:00:00"/>
    <s v="Shipped"/>
    <n v="4"/>
    <x v="5"/>
    <n v="2004"/>
    <x v="0"/>
    <n v="118"/>
    <s v="S10_2016"/>
    <s v="Diecast Classics Inc."/>
    <n v="2155551555"/>
    <s v="7586 Pompton St."/>
    <m/>
    <s v="Allentown"/>
    <s v="PA"/>
    <n v="70267"/>
    <s v="USA"/>
    <s v="NA"/>
    <s v="Yu"/>
    <s v="Kyung"/>
    <s v="Medium"/>
    <n v="4500"/>
  </r>
  <r>
    <n v="10329"/>
    <n v="20"/>
    <n v="100"/>
    <n v="2"/>
    <n v="3176"/>
    <d v="2004-11-15T00:00:00"/>
    <s v="Shipped"/>
    <n v="4"/>
    <x v="5"/>
    <n v="2004"/>
    <x v="0"/>
    <n v="118"/>
    <s v="S10_2016"/>
    <s v="Land of Toys Inc."/>
    <n v="2125557818"/>
    <s v="897 Long Airport Avenue"/>
    <m/>
    <s v="NYC"/>
    <s v="NY"/>
    <n v="10022"/>
    <s v="USA"/>
    <s v="NA"/>
    <s v="Yu"/>
    <s v="Kwai"/>
    <s v="Medium"/>
    <n v="2000"/>
  </r>
  <r>
    <n v="10339"/>
    <n v="40"/>
    <n v="68.92"/>
    <n v="4"/>
    <n v="2756.8"/>
    <d v="2004-11-23T00:00:00"/>
    <s v="Shipped"/>
    <n v="4"/>
    <x v="5"/>
    <n v="2004"/>
    <x v="0"/>
    <n v="118"/>
    <s v="S10_2016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756.8"/>
  </r>
  <r>
    <n v="10361"/>
    <n v="26"/>
    <n v="51.15"/>
    <n v="8"/>
    <n v="1329.9"/>
    <d v="2004-12-17T00:00:00"/>
    <s v="Shipped"/>
    <n v="4"/>
    <x v="6"/>
    <n v="2004"/>
    <x v="0"/>
    <n v="118"/>
    <s v="S10_201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329.8999999999999"/>
  </r>
  <r>
    <n v="10374"/>
    <n v="39"/>
    <n v="100"/>
    <n v="5"/>
    <n v="5288.01"/>
    <d v="2005-02-02T00:00:00"/>
    <s v="Shipped"/>
    <n v="1"/>
    <x v="0"/>
    <n v="2005"/>
    <x v="0"/>
    <n v="118"/>
    <s v="S10_2016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n v="3900"/>
  </r>
  <r>
    <n v="10388"/>
    <n v="50"/>
    <n v="44.51"/>
    <n v="5"/>
    <n v="2225.5"/>
    <d v="2005-03-03T00:00:00"/>
    <s v="Shipped"/>
    <n v="1"/>
    <x v="11"/>
    <n v="2005"/>
    <x v="0"/>
    <n v="118"/>
    <s v="S10_2016"/>
    <s v="FunGiftIdeas.com"/>
    <n v="5085552555"/>
    <s v="1785 First Street"/>
    <m/>
    <s v="New Bedford"/>
    <s v="MA"/>
    <n v="50553"/>
    <s v="USA"/>
    <s v="NA"/>
    <s v="Benitez"/>
    <s v="Violeta"/>
    <s v="Small"/>
    <n v="2225.5"/>
  </r>
  <r>
    <n v="10402"/>
    <n v="45"/>
    <n v="100"/>
    <n v="1"/>
    <n v="5833.8"/>
    <d v="2005-04-07T00:00:00"/>
    <s v="Shipped"/>
    <n v="2"/>
    <x v="8"/>
    <n v="2005"/>
    <x v="0"/>
    <n v="118"/>
    <s v="S10_2016"/>
    <s v="Auto Canal Petit"/>
    <s v="(1) 47.55.6555"/>
    <s v="25, rue Lauriston"/>
    <m/>
    <s v="Paris"/>
    <m/>
    <n v="75016"/>
    <s v="France"/>
    <s v="EMEA"/>
    <s v="Perrier"/>
    <s v="Dominique"/>
    <s v="Medium"/>
    <n v="4500"/>
  </r>
  <r>
    <n v="10417"/>
    <n v="45"/>
    <n v="100"/>
    <n v="5"/>
    <n v="5887.35"/>
    <d v="2005-05-13T00:00:00"/>
    <s v="Disputed"/>
    <n v="2"/>
    <x v="1"/>
    <n v="2005"/>
    <x v="0"/>
    <n v="118"/>
    <s v="S10_2016"/>
    <s v="Euro Shopping Channel"/>
    <s v="(91) 555 94 44"/>
    <s v="C/ Moralzarzal, 86"/>
    <m/>
    <s v="Madrid"/>
    <m/>
    <n v="28034"/>
    <s v="Spain"/>
    <s v="EMEA"/>
    <s v="Freyre"/>
    <s v="Diego"/>
    <s v="Medium"/>
    <n v="4500"/>
  </r>
  <r>
    <n v="10107"/>
    <n v="27"/>
    <n v="100"/>
    <n v="4"/>
    <n v="6065.55"/>
    <d v="2003-02-24T00:00:00"/>
    <s v="Shipped"/>
    <n v="1"/>
    <x v="0"/>
    <n v="2003"/>
    <x v="0"/>
    <n v="193"/>
    <s v="S10_4698"/>
    <s v="Land of Toys Inc."/>
    <n v="2125557818"/>
    <s v="897 Long Airport Avenue"/>
    <m/>
    <s v="NYC"/>
    <s v="NY"/>
    <n v="10022"/>
    <s v="USA"/>
    <s v="NA"/>
    <s v="Yu"/>
    <s v="Kwai"/>
    <s v="Medium"/>
    <n v="2700"/>
  </r>
  <r>
    <n v="10120"/>
    <n v="46"/>
    <n v="100"/>
    <n v="2"/>
    <n v="9264.86"/>
    <d v="2003-04-29T00:00:00"/>
    <s v="Shipped"/>
    <n v="2"/>
    <x v="8"/>
    <n v="2003"/>
    <x v="0"/>
    <n v="193"/>
    <s v="S10_4698"/>
    <s v="Australian Collectors, Co."/>
    <s v="03 9520 4555"/>
    <s v="636 St Kilda Road"/>
    <s v="Level 3"/>
    <s v="Melbourne"/>
    <s v="Victoria"/>
    <n v="3004"/>
    <s v="Australia"/>
    <s v="APAC"/>
    <s v="Ferguson"/>
    <s v="Peter"/>
    <s v="Large"/>
    <n v="4600"/>
  </r>
  <r>
    <n v="10134"/>
    <n v="31"/>
    <n v="100"/>
    <n v="4"/>
    <n v="7023.98"/>
    <d v="2003-07-01T00:00:00"/>
    <s v="Shipped"/>
    <n v="3"/>
    <x v="2"/>
    <n v="2003"/>
    <x v="0"/>
    <n v="193"/>
    <s v="S10_4698"/>
    <s v="Lyon Souveniers"/>
    <s v="+33 1 46 62 7555"/>
    <s v="27 rue du Colonel Pierre Avia"/>
    <m/>
    <s v="Paris"/>
    <m/>
    <n v="75508"/>
    <s v="France"/>
    <s v="EMEA"/>
    <s v="Da Cunha"/>
    <s v="Daniel"/>
    <s v="Large"/>
    <n v="3100"/>
  </r>
  <r>
    <n v="10145"/>
    <n v="33"/>
    <n v="100"/>
    <n v="8"/>
    <n v="5176.38"/>
    <d v="2003-08-25T00:00:00"/>
    <s v="Shipped"/>
    <n v="3"/>
    <x v="3"/>
    <n v="2003"/>
    <x v="0"/>
    <n v="193"/>
    <s v="S10_4698"/>
    <s v="Toys4GrownUps.com"/>
    <n v="6265557265"/>
    <s v="78934 Hillside Dr."/>
    <m/>
    <s v="Pasadena"/>
    <s v="CA"/>
    <n v="90003"/>
    <s v="USA"/>
    <s v="NA"/>
    <s v="Young"/>
    <s v="Julie"/>
    <s v="Medium"/>
    <n v="3300"/>
  </r>
  <r>
    <n v="10159"/>
    <n v="22"/>
    <n v="100"/>
    <n v="16"/>
    <n v="4132.7"/>
    <d v="2003-10-10T00:00:00"/>
    <s v="Shipped"/>
    <n v="4"/>
    <x v="4"/>
    <n v="2003"/>
    <x v="0"/>
    <n v="193"/>
    <s v="S10_4698"/>
    <s v="Corporate Gift Ideas Co."/>
    <n v="6505551386"/>
    <s v="7734 Strong St."/>
    <m/>
    <s v="San Francisco"/>
    <s v="CA"/>
    <m/>
    <s v="USA"/>
    <s v="NA"/>
    <s v="Brown"/>
    <s v="Julie"/>
    <s v="Medium"/>
    <n v="2200"/>
  </r>
  <r>
    <n v="10168"/>
    <n v="20"/>
    <n v="100"/>
    <n v="3"/>
    <n v="4183"/>
    <d v="2003-10-28T00:00:00"/>
    <s v="Shipped"/>
    <n v="4"/>
    <x v="4"/>
    <n v="2003"/>
    <x v="0"/>
    <n v="193"/>
    <s v="S10_4698"/>
    <s v="Technics Stores Inc."/>
    <n v="6505556809"/>
    <s v="9408 Furth Circle"/>
    <m/>
    <s v="Burlingame"/>
    <s v="CA"/>
    <n v="94217"/>
    <s v="USA"/>
    <s v="NA"/>
    <s v="Hirano"/>
    <s v="Juri"/>
    <s v="Medium"/>
    <n v="2000"/>
  </r>
  <r>
    <n v="10180"/>
    <n v="41"/>
    <n v="100"/>
    <n v="11"/>
    <n v="8892.9"/>
    <d v="2003-11-11T00:00:00"/>
    <s v="Shipped"/>
    <n v="4"/>
    <x v="5"/>
    <n v="2003"/>
    <x v="0"/>
    <n v="193"/>
    <s v="S10_4698"/>
    <s v="Daedalus Designs Imports"/>
    <s v="20.16.1555"/>
    <s v="184, chausse de Tournai"/>
    <m/>
    <s v="Lille"/>
    <m/>
    <n v="59000"/>
    <s v="France"/>
    <s v="EMEA"/>
    <s v="Rance"/>
    <s v="Martine"/>
    <s v="Large"/>
    <n v="4100"/>
  </r>
  <r>
    <n v="10188"/>
    <n v="45"/>
    <n v="100"/>
    <n v="3"/>
    <n v="8714.7000000000007"/>
    <d v="2003-11-18T00:00:00"/>
    <s v="Shipped"/>
    <n v="4"/>
    <x v="5"/>
    <n v="2003"/>
    <x v="0"/>
    <n v="193"/>
    <s v="S10_4698"/>
    <s v="Herkku Gifts"/>
    <s v="+47 2267 3215"/>
    <s v="Drammen 121, PR 744 Sentrum"/>
    <m/>
    <s v="Bergen"/>
    <m/>
    <s v="N 5804"/>
    <s v="Norway"/>
    <s v="EMEA"/>
    <s v="Oeztan"/>
    <s v="Veysel"/>
    <s v="Large"/>
    <n v="4500"/>
  </r>
  <r>
    <n v="10201"/>
    <n v="49"/>
    <n v="100"/>
    <n v="4"/>
    <n v="8065.89"/>
    <d v="2003-12-01T00:00:00"/>
    <s v="Shipped"/>
    <n v="4"/>
    <x v="6"/>
    <n v="2003"/>
    <x v="0"/>
    <n v="193"/>
    <s v="S10_4698"/>
    <s v="Mini Wheels Co."/>
    <n v="6505555787"/>
    <s v="5557 North Pendale Street"/>
    <m/>
    <s v="San Francisco"/>
    <s v="CA"/>
    <m/>
    <s v="USA"/>
    <s v="NA"/>
    <s v="Murphy"/>
    <s v="Julie"/>
    <s v="Large"/>
    <n v="4900"/>
  </r>
  <r>
    <n v="10210"/>
    <n v="34"/>
    <n v="100"/>
    <n v="1"/>
    <n v="6123.4"/>
    <d v="2004-01-12T00:00:00"/>
    <s v="Shipped"/>
    <n v="1"/>
    <x v="7"/>
    <n v="2004"/>
    <x v="0"/>
    <n v="193"/>
    <s v="S10_4698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n v="3400"/>
  </r>
  <r>
    <n v="10223"/>
    <n v="49"/>
    <n v="100"/>
    <n v="3"/>
    <n v="9774.0300000000007"/>
    <d v="2004-02-20T00:00:00"/>
    <s v="Shipped"/>
    <n v="1"/>
    <x v="0"/>
    <n v="2004"/>
    <x v="0"/>
    <n v="193"/>
    <s v="S10_4698"/>
    <s v="Australian Collectors, Co."/>
    <s v="03 9520 4555"/>
    <s v="636 St Kilda Road"/>
    <s v="Level 3"/>
    <s v="Melbourne"/>
    <s v="Victoria"/>
    <n v="3004"/>
    <s v="Australia"/>
    <s v="APAC"/>
    <s v="Ferguson"/>
    <s v="Peter"/>
    <s v="Large"/>
    <n v="4900"/>
  </r>
  <r>
    <n v="10237"/>
    <n v="39"/>
    <n v="100"/>
    <n v="9"/>
    <n v="7023.9"/>
    <d v="2004-04-05T00:00:00"/>
    <s v="Shipped"/>
    <n v="2"/>
    <x v="8"/>
    <n v="2004"/>
    <x v="0"/>
    <n v="193"/>
    <s v="S10_4698"/>
    <s v="Vitachrome Inc."/>
    <n v="2125551500"/>
    <s v="2678 Kingston Rd."/>
    <s v="Suite 101"/>
    <s v="NYC"/>
    <s v="NY"/>
    <n v="10022"/>
    <s v="USA"/>
    <s v="NA"/>
    <s v="Frick"/>
    <s v="Michael"/>
    <s v="Large"/>
    <n v="3900"/>
  </r>
  <r>
    <n v="10251"/>
    <n v="43"/>
    <n v="100"/>
    <n v="4"/>
    <n v="7078.23"/>
    <d v="2004-05-18T00:00:00"/>
    <s v="Shipped"/>
    <n v="2"/>
    <x v="1"/>
    <n v="2004"/>
    <x v="0"/>
    <n v="193"/>
    <s v="S10_4698"/>
    <s v="Tekni Collectables Inc."/>
    <n v="2015559350"/>
    <s v="7476 Moss Rd."/>
    <m/>
    <s v="Newark"/>
    <s v="NJ"/>
    <n v="94019"/>
    <s v="USA"/>
    <s v="NA"/>
    <s v="Brown"/>
    <s v="William"/>
    <s v="Large"/>
    <n v="4300"/>
  </r>
  <r>
    <n v="10263"/>
    <n v="41"/>
    <n v="100"/>
    <n v="4"/>
    <n v="8336.94"/>
    <d v="2004-06-28T00:00:00"/>
    <s v="Shipped"/>
    <n v="2"/>
    <x v="9"/>
    <n v="2004"/>
    <x v="0"/>
    <n v="193"/>
    <s v="S10_4698"/>
    <s v="Gift Depot Inc."/>
    <n v="2035552570"/>
    <s v="25593 South Bay Ln."/>
    <m/>
    <s v="Bridgewater"/>
    <s v="CT"/>
    <n v="97562"/>
    <s v="USA"/>
    <s v="NA"/>
    <s v="King"/>
    <s v="Julie"/>
    <s v="Large"/>
    <n v="4100"/>
  </r>
  <r>
    <n v="10275"/>
    <n v="36"/>
    <n v="100"/>
    <n v="3"/>
    <n v="6901.92"/>
    <d v="2004-07-23T00:00:00"/>
    <s v="Shipped"/>
    <n v="3"/>
    <x v="2"/>
    <n v="2004"/>
    <x v="0"/>
    <n v="193"/>
    <s v="S10_4698"/>
    <s v="La Rochelle Gifts"/>
    <s v="40.67.8555"/>
    <s v="67, rue des Cinquante Otages"/>
    <m/>
    <s v="Nantes"/>
    <m/>
    <n v="44000"/>
    <s v="France"/>
    <s v="EMEA"/>
    <s v="Labrune"/>
    <s v="Janine"/>
    <s v="Medium"/>
    <n v="3600"/>
  </r>
  <r>
    <n v="10285"/>
    <n v="27"/>
    <n v="100"/>
    <n v="8"/>
    <n v="5438.07"/>
    <d v="2004-08-27T00:00:00"/>
    <s v="Shipped"/>
    <n v="3"/>
    <x v="3"/>
    <n v="2004"/>
    <x v="0"/>
    <n v="193"/>
    <s v="S10_4698"/>
    <s v="Marta's Replicas Co."/>
    <n v="6175558555"/>
    <s v="39323 Spinnaker Dr."/>
    <m/>
    <s v="Cambridge"/>
    <s v="MA"/>
    <n v="51247"/>
    <s v="USA"/>
    <s v="NA"/>
    <s v="Hernandez"/>
    <s v="Marta"/>
    <s v="Medium"/>
    <n v="2700"/>
  </r>
  <r>
    <n v="10299"/>
    <n v="29"/>
    <n v="100"/>
    <n v="11"/>
    <n v="6683.34"/>
    <d v="2004-09-30T00:00:00"/>
    <s v="Shipped"/>
    <n v="3"/>
    <x v="10"/>
    <n v="2004"/>
    <x v="0"/>
    <n v="193"/>
    <s v="S10_4698"/>
    <s v="Toys of Finland, Co."/>
    <s v="90-224 8555"/>
    <s v="Keskuskatu 45"/>
    <m/>
    <s v="Helsinki"/>
    <m/>
    <n v="21240"/>
    <s v="Finland"/>
    <s v="EMEA"/>
    <s v="Karttunen"/>
    <s v="Matti"/>
    <s v="Medium"/>
    <n v="2900"/>
  </r>
  <r>
    <n v="10308"/>
    <n v="20"/>
    <n v="100"/>
    <n v="1"/>
    <n v="4570.3999999999996"/>
    <d v="2004-10-15T00:00:00"/>
    <s v="Shipped"/>
    <n v="4"/>
    <x v="4"/>
    <n v="2004"/>
    <x v="0"/>
    <n v="193"/>
    <s v="S10_4698"/>
    <s v="Mini Classics"/>
    <n v="9145554562"/>
    <s v="3758 North Pendale Street"/>
    <m/>
    <s v="White Plains"/>
    <s v="NY"/>
    <n v="24067"/>
    <s v="USA"/>
    <s v="NA"/>
    <s v="Frick"/>
    <s v="Steve"/>
    <s v="Medium"/>
    <n v="2000"/>
  </r>
  <r>
    <n v="10318"/>
    <n v="37"/>
    <n v="100"/>
    <n v="3"/>
    <n v="7667.14"/>
    <d v="2004-11-02T00:00:00"/>
    <s v="Shipped"/>
    <n v="4"/>
    <x v="5"/>
    <n v="2004"/>
    <x v="0"/>
    <n v="193"/>
    <s v="S10_4698"/>
    <s v="Diecast Classics Inc."/>
    <n v="2155551555"/>
    <s v="7586 Pompton St."/>
    <m/>
    <s v="Allentown"/>
    <s v="PA"/>
    <n v="70267"/>
    <s v="USA"/>
    <s v="NA"/>
    <s v="Yu"/>
    <s v="Kyung"/>
    <s v="Large"/>
    <n v="3700"/>
  </r>
  <r>
    <n v="10329"/>
    <n v="26"/>
    <n v="100"/>
    <n v="3"/>
    <n v="5868.2"/>
    <d v="2004-11-15T00:00:00"/>
    <s v="Shipped"/>
    <n v="4"/>
    <x v="5"/>
    <n v="2004"/>
    <x v="0"/>
    <n v="193"/>
    <s v="S10_4698"/>
    <s v="Land of Toys Inc."/>
    <n v="2125557818"/>
    <s v="897 Long Airport Avenue"/>
    <m/>
    <s v="NYC"/>
    <s v="NY"/>
    <n v="10022"/>
    <s v="USA"/>
    <s v="NA"/>
    <s v="Yu"/>
    <s v="Kwai"/>
    <s v="Medium"/>
    <n v="2600"/>
  </r>
  <r>
    <n v="10339"/>
    <n v="39"/>
    <n v="76.67"/>
    <n v="3"/>
    <n v="2990.13"/>
    <d v="2004-11-23T00:00:00"/>
    <s v="Shipped"/>
    <n v="4"/>
    <x v="5"/>
    <n v="2004"/>
    <x v="0"/>
    <n v="193"/>
    <s v="S10_4698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990.13"/>
  </r>
  <r>
    <n v="10362"/>
    <n v="22"/>
    <n v="100"/>
    <n v="4"/>
    <n v="3664.1"/>
    <d v="2005-01-05T00:00:00"/>
    <s v="Shipped"/>
    <n v="1"/>
    <x v="7"/>
    <n v="2005"/>
    <x v="0"/>
    <n v="193"/>
    <s v="S10_4698"/>
    <s v="Technics Stores Inc."/>
    <n v="6505556809"/>
    <s v="9408 Furth Circle"/>
    <m/>
    <s v="Burlingame"/>
    <s v="CA"/>
    <n v="94217"/>
    <s v="USA"/>
    <s v="NA"/>
    <s v="Hirano"/>
    <s v="Juri"/>
    <s v="Medium"/>
    <n v="2200"/>
  </r>
  <r>
    <n v="10374"/>
    <n v="22"/>
    <n v="100"/>
    <n v="1"/>
    <n v="3834.38"/>
    <d v="2005-02-02T00:00:00"/>
    <s v="Shipped"/>
    <n v="1"/>
    <x v="0"/>
    <n v="2005"/>
    <x v="0"/>
    <n v="193"/>
    <s v="S10_469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n v="2200"/>
  </r>
  <r>
    <n v="10388"/>
    <n v="21"/>
    <n v="86.77"/>
    <n v="7"/>
    <n v="1822.17"/>
    <d v="2005-03-03T00:00:00"/>
    <s v="Shipped"/>
    <n v="1"/>
    <x v="11"/>
    <n v="2005"/>
    <x v="0"/>
    <n v="193"/>
    <s v="S10_4698"/>
    <s v="FunGiftIdeas.com"/>
    <n v="5085552555"/>
    <s v="1785 First Street"/>
    <m/>
    <s v="New Bedford"/>
    <s v="MA"/>
    <n v="50553"/>
    <s v="USA"/>
    <s v="NA"/>
    <s v="Benitez"/>
    <s v="Violeta"/>
    <s v="Small"/>
    <n v="1822.1699999999998"/>
  </r>
  <r>
    <n v="10403"/>
    <n v="66"/>
    <n v="100"/>
    <n v="9"/>
    <n v="11886.6"/>
    <d v="2005-04-08T00:00:00"/>
    <s v="Shipped"/>
    <n v="2"/>
    <x v="8"/>
    <n v="2005"/>
    <x v="0"/>
    <n v="193"/>
    <s v="S10_4698"/>
    <s v="UK Collectables, Ltd."/>
    <s v="(171) 555-2282"/>
    <s v="Berkeley Gardens 12  Brewery"/>
    <m/>
    <s v="Liverpool"/>
    <m/>
    <s v="WX1 6LT"/>
    <s v="UK"/>
    <s v="EMEA"/>
    <s v="Devon"/>
    <s v="Elizabeth"/>
    <s v="Large"/>
    <n v="6600"/>
  </r>
  <r>
    <n v="10417"/>
    <n v="56"/>
    <n v="100"/>
    <n v="4"/>
    <n v="9218.16"/>
    <d v="2005-05-13T00:00:00"/>
    <s v="Disputed"/>
    <n v="2"/>
    <x v="1"/>
    <n v="2005"/>
    <x v="0"/>
    <n v="193"/>
    <s v="S10_4698"/>
    <s v="Euro Shopping Channel"/>
    <s v="(91) 555 94 44"/>
    <s v="C/ Moralzarzal, 86"/>
    <m/>
    <s v="Madrid"/>
    <m/>
    <n v="28034"/>
    <s v="Spain"/>
    <s v="EMEA"/>
    <s v="Freyre"/>
    <s v="Diego"/>
    <s v="Large"/>
    <n v="5600"/>
  </r>
  <r>
    <n v="10105"/>
    <n v="50"/>
    <n v="100"/>
    <n v="2"/>
    <n v="7208"/>
    <d v="2003-02-11T00:00:00"/>
    <s v="Shipped"/>
    <n v="1"/>
    <x v="0"/>
    <n v="2003"/>
    <x v="1"/>
    <n v="136"/>
    <s v="S10_4757"/>
    <s v="Danish Wholesale Imports"/>
    <s v="31 12 3555"/>
    <s v="Vinb'ltet 34"/>
    <m/>
    <s v="Kobenhavn"/>
    <m/>
    <n v="1734"/>
    <s v="Denmark"/>
    <s v="EMEA"/>
    <s v="Petersen"/>
    <s v="Jytte"/>
    <s v="Large"/>
    <n v="5000"/>
  </r>
  <r>
    <n v="10119"/>
    <n v="46"/>
    <n v="100"/>
    <n v="11"/>
    <n v="5004.8"/>
    <d v="2003-04-28T00:00:00"/>
    <s v="Shipped"/>
    <n v="2"/>
    <x v="8"/>
    <n v="2003"/>
    <x v="1"/>
    <n v="136"/>
    <s v="S10_4757"/>
    <s v="Salzburg Collectables"/>
    <s v="6562-9555"/>
    <s v="Geislweg 14"/>
    <m/>
    <s v="Salzburg"/>
    <m/>
    <n v="5020"/>
    <s v="Austria"/>
    <s v="EMEA"/>
    <s v="Pipps"/>
    <s v="Georg"/>
    <s v="Medium"/>
    <n v="4600"/>
  </r>
  <r>
    <n v="10129"/>
    <n v="33"/>
    <n v="100"/>
    <n v="2"/>
    <n v="4398.24"/>
    <d v="2003-06-12T00:00:00"/>
    <s v="Shipped"/>
    <n v="2"/>
    <x v="9"/>
    <n v="2003"/>
    <x v="1"/>
    <n v="136"/>
    <s v="S10_4757"/>
    <s v="Stylish Desk Decors, Co."/>
    <s v="(171) 555-0297"/>
    <s v="35 King George"/>
    <m/>
    <s v="London"/>
    <m/>
    <s v="WX3 6FW"/>
    <s v="UK"/>
    <s v="EMEA"/>
    <s v="Brown"/>
    <s v="Ann"/>
    <s v="Medium"/>
    <n v="3300"/>
  </r>
  <r>
    <n v="10143"/>
    <n v="49"/>
    <n v="100"/>
    <n v="15"/>
    <n v="5597.76"/>
    <d v="2003-08-10T00:00:00"/>
    <s v="Shipped"/>
    <n v="3"/>
    <x v="3"/>
    <n v="2003"/>
    <x v="1"/>
    <n v="136"/>
    <s v="S10_4757"/>
    <s v="Mini Creations Ltd."/>
    <n v="5085559555"/>
    <s v="4575 Hillside Dr."/>
    <m/>
    <s v="New Bedford"/>
    <s v="MA"/>
    <n v="50553"/>
    <s v="USA"/>
    <s v="NA"/>
    <s v="Tam"/>
    <s v="Wing C"/>
    <s v="Medium"/>
    <n v="4900"/>
  </r>
  <r>
    <n v="10155"/>
    <n v="32"/>
    <n v="100"/>
    <n v="13"/>
    <n v="4526.08"/>
    <d v="2003-10-06T00:00:00"/>
    <s v="Shipped"/>
    <n v="4"/>
    <x v="4"/>
    <n v="2003"/>
    <x v="1"/>
    <n v="136"/>
    <s v="S10_4757"/>
    <s v="Toys of Finland, Co."/>
    <s v="90-224 8555"/>
    <s v="Keskuskatu 45"/>
    <m/>
    <s v="Helsinki"/>
    <m/>
    <n v="21240"/>
    <s v="Finland"/>
    <s v="EMEA"/>
    <s v="Karttunen"/>
    <s v="Matti"/>
    <s v="Medium"/>
    <n v="3200"/>
  </r>
  <r>
    <n v="10167"/>
    <n v="44"/>
    <n v="100"/>
    <n v="9"/>
    <n v="5924.16"/>
    <d v="2003-10-23T00:00:00"/>
    <s v="Cancelled"/>
    <n v="4"/>
    <x v="4"/>
    <n v="2003"/>
    <x v="1"/>
    <n v="136"/>
    <s v="S10_4757"/>
    <s v="Scandinavian Gift Ideas"/>
    <s v="0695-34 6555"/>
    <s v="?kergatan 24"/>
    <m/>
    <s v="Boras"/>
    <m/>
    <s v="S-844 67"/>
    <s v="Sweden"/>
    <s v="EMEA"/>
    <s v="Larsson"/>
    <s v="Maria"/>
    <s v="Medium"/>
    <n v="4400"/>
  </r>
  <r>
    <n v="10178"/>
    <n v="24"/>
    <n v="100"/>
    <n v="12"/>
    <n v="3492.48"/>
    <d v="2003-11-08T00:00:00"/>
    <s v="Shipped"/>
    <n v="4"/>
    <x v="5"/>
    <n v="2003"/>
    <x v="1"/>
    <n v="136"/>
    <s v="S10_4757"/>
    <s v="Alpha Cognac"/>
    <s v="61.77.6555"/>
    <s v="1 rue Alsace-Lorraine"/>
    <m/>
    <s v="Toulouse"/>
    <m/>
    <n v="31000"/>
    <s v="France"/>
    <s v="EMEA"/>
    <s v="Roulet"/>
    <s v="Annette"/>
    <s v="Medium"/>
    <n v="2400"/>
  </r>
  <r>
    <n v="10186"/>
    <n v="26"/>
    <n v="100"/>
    <n v="9"/>
    <n v="3854.24"/>
    <d v="2003-11-14T00:00:00"/>
    <s v="Shipped"/>
    <n v="4"/>
    <x v="5"/>
    <n v="2003"/>
    <x v="1"/>
    <n v="136"/>
    <s v="S10_4757"/>
    <s v="Double Decker Gift Stores, Ltd"/>
    <s v="(171) 555-7555"/>
    <s v="120 Hanover Sq."/>
    <m/>
    <s v="London"/>
    <m/>
    <s v="WA1 1DP"/>
    <s v="UK"/>
    <s v="EMEA"/>
    <s v="Hardy"/>
    <s v="Thomas"/>
    <s v="Medium"/>
    <n v="2600"/>
  </r>
  <r>
    <n v="10197"/>
    <n v="45"/>
    <n v="100"/>
    <n v="6"/>
    <n v="5324.4"/>
    <d v="2003-11-26T00:00:00"/>
    <s v="Shipped"/>
    <n v="4"/>
    <x v="5"/>
    <n v="2003"/>
    <x v="1"/>
    <n v="136"/>
    <s v="S10_4757"/>
    <s v="Enaco Distributors"/>
    <s v="(93) 203 4555"/>
    <s v="Rambla de Catalu¤a, 23"/>
    <m/>
    <s v="Barcelona"/>
    <m/>
    <n v="8022"/>
    <s v="Spain"/>
    <s v="EMEA"/>
    <s v="Saavedra"/>
    <s v="Eduardo"/>
    <s v="Medium"/>
    <n v="4500"/>
  </r>
  <r>
    <n v="10209"/>
    <n v="39"/>
    <n v="100"/>
    <n v="8"/>
    <n v="5197.92"/>
    <d v="2004-01-09T00:00:00"/>
    <s v="Shipped"/>
    <n v="1"/>
    <x v="7"/>
    <n v="2004"/>
    <x v="1"/>
    <n v="136"/>
    <s v="S10_4757"/>
    <s v="Men 'R' US Retailers, Ltd."/>
    <n v="2155554369"/>
    <s v="6047 Douglas Av."/>
    <m/>
    <s v="Los Angeles"/>
    <s v="CA"/>
    <m/>
    <s v="USA"/>
    <s v="NA"/>
    <s v="Chandler"/>
    <s v="Michael"/>
    <s v="Medium"/>
    <n v="3900"/>
  </r>
  <r>
    <n v="10222"/>
    <n v="49"/>
    <n v="100"/>
    <n v="12"/>
    <n v="5997.6"/>
    <d v="2004-02-19T00:00:00"/>
    <s v="Shipped"/>
    <n v="1"/>
    <x v="0"/>
    <n v="2004"/>
    <x v="1"/>
    <n v="136"/>
    <s v="S10_4757"/>
    <s v="Collectable Mini Designs Co."/>
    <n v="7605558146"/>
    <s v="361 Furth Circle"/>
    <m/>
    <s v="San Diego"/>
    <s v="CA"/>
    <n v="91217"/>
    <s v="USA"/>
    <s v="NA"/>
    <s v="Thompson"/>
    <s v="Valarie"/>
    <s v="Medium"/>
    <n v="4900"/>
  </r>
  <r>
    <n v="10248"/>
    <n v="20"/>
    <n v="100"/>
    <n v="3"/>
    <n v="2910.4"/>
    <d v="2004-05-07T00:00:00"/>
    <s v="Cancelled"/>
    <n v="2"/>
    <x v="1"/>
    <n v="2004"/>
    <x v="1"/>
    <n v="136"/>
    <s v="S10_4757"/>
    <s v="Land of Toys Inc."/>
    <n v="2125557818"/>
    <s v="897 Long Airport Avenue"/>
    <m/>
    <s v="NYC"/>
    <s v="NY"/>
    <n v="10022"/>
    <s v="USA"/>
    <s v="NA"/>
    <s v="Yu"/>
    <s v="Kwai"/>
    <s v="Small"/>
    <n v="2000"/>
  </r>
  <r>
    <n v="10261"/>
    <n v="27"/>
    <n v="100"/>
    <n v="1"/>
    <n v="3378.24"/>
    <d v="2004-06-17T00:00:00"/>
    <s v="Shipped"/>
    <n v="2"/>
    <x v="9"/>
    <n v="2004"/>
    <x v="1"/>
    <n v="136"/>
    <s v="S10_4757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2700"/>
  </r>
  <r>
    <n v="10273"/>
    <n v="30"/>
    <n v="100"/>
    <n v="4"/>
    <n v="3508.8"/>
    <d v="2004-07-21T00:00:00"/>
    <s v="Shipped"/>
    <n v="3"/>
    <x v="2"/>
    <n v="2004"/>
    <x v="1"/>
    <n v="136"/>
    <s v="S10_4757"/>
    <s v="Petit Auto"/>
    <s v="(02) 5554 67"/>
    <s v="Rue Joseph-Bens 532"/>
    <m/>
    <s v="Bruxelles"/>
    <m/>
    <s v="B-1180"/>
    <s v="Belgium"/>
    <s v="EMEA"/>
    <s v="Dewey"/>
    <s v="Catherine"/>
    <s v="Medium"/>
    <n v="3000"/>
  </r>
  <r>
    <n v="10283"/>
    <n v="25"/>
    <n v="100"/>
    <n v="6"/>
    <n v="2992"/>
    <d v="2004-08-20T00:00:00"/>
    <s v="Shipped"/>
    <n v="3"/>
    <x v="3"/>
    <n v="2004"/>
    <x v="1"/>
    <n v="136"/>
    <s v="S10_475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500"/>
  </r>
  <r>
    <n v="10295"/>
    <n v="24"/>
    <n v="100"/>
    <n v="1"/>
    <n v="3427.2"/>
    <d v="2004-09-10T00:00:00"/>
    <s v="Shipped"/>
    <n v="3"/>
    <x v="10"/>
    <n v="2004"/>
    <x v="1"/>
    <n v="136"/>
    <s v="S10_4757"/>
    <s v="Gifts4AllAges.com"/>
    <n v="6175559555"/>
    <s v="8616 Spinnaker Dr."/>
    <m/>
    <s v="Boston"/>
    <s v="MA"/>
    <n v="51003"/>
    <s v="USA"/>
    <s v="NA"/>
    <s v="Yoshido"/>
    <s v="Juri"/>
    <s v="Medium"/>
    <n v="2400"/>
  </r>
  <r>
    <n v="10307"/>
    <n v="22"/>
    <n v="100"/>
    <n v="9"/>
    <n v="2692.8"/>
    <d v="2004-10-14T00:00:00"/>
    <s v="Shipped"/>
    <n v="4"/>
    <x v="4"/>
    <n v="2004"/>
    <x v="1"/>
    <n v="136"/>
    <s v="S10_4757"/>
    <s v="Classic Gift Ideas, Inc"/>
    <n v="2155554695"/>
    <s v="782 First Street"/>
    <m/>
    <s v="Philadelphia"/>
    <s v="PA"/>
    <n v="71270"/>
    <s v="USA"/>
    <s v="NA"/>
    <s v="Cervantes"/>
    <s v="Francisca"/>
    <s v="Small"/>
    <n v="2200"/>
  </r>
  <r>
    <n v="10316"/>
    <n v="33"/>
    <n v="100"/>
    <n v="17"/>
    <n v="4128.96"/>
    <d v="2004-11-01T00:00:00"/>
    <s v="Shipped"/>
    <n v="4"/>
    <x v="5"/>
    <n v="2004"/>
    <x v="1"/>
    <n v="136"/>
    <s v="S10_4757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3300"/>
  </r>
  <r>
    <n v="10325"/>
    <n v="47"/>
    <n v="64.930000000000007"/>
    <n v="6"/>
    <n v="3051.71"/>
    <d v="2004-11-05T00:00:00"/>
    <s v="Shipped"/>
    <n v="4"/>
    <x v="5"/>
    <n v="2004"/>
    <x v="1"/>
    <n v="136"/>
    <s v="S10_4757"/>
    <s v="Baane Mini Imports"/>
    <s v="07-98 9555"/>
    <s v="Erling Skakkes gate 78"/>
    <m/>
    <s v="Stavern"/>
    <m/>
    <n v="4110"/>
    <s v="Norway"/>
    <s v="EMEA"/>
    <s v="Bergulfsen"/>
    <s v="Jonas"/>
    <s v="Medium"/>
    <n v="3051.7100000000005"/>
  </r>
  <r>
    <n v="10337"/>
    <n v="25"/>
    <n v="48.05"/>
    <n v="8"/>
    <n v="1201.25"/>
    <d v="2004-11-21T00:00:00"/>
    <s v="Shipped"/>
    <n v="4"/>
    <x v="5"/>
    <n v="2004"/>
    <x v="1"/>
    <n v="136"/>
    <s v="S10_4757"/>
    <s v="Classic Legends Inc."/>
    <n v="2125558493"/>
    <s v="5905 Pompton St."/>
    <s v="Suite 750"/>
    <s v="NYC"/>
    <s v="NY"/>
    <n v="10022"/>
    <s v="USA"/>
    <s v="NA"/>
    <s v="Hernandez"/>
    <s v="Maria"/>
    <s v="Small"/>
    <n v="1201.25"/>
  </r>
  <r>
    <n v="10350"/>
    <n v="26"/>
    <n v="75.47"/>
    <n v="5"/>
    <n v="1962.22"/>
    <d v="2004-12-02T00:00:00"/>
    <s v="Shipped"/>
    <n v="4"/>
    <x v="6"/>
    <n v="2004"/>
    <x v="1"/>
    <n v="136"/>
    <s v="S10_4757"/>
    <s v="Euro Shopping Channel"/>
    <s v="(91) 555 94 44"/>
    <s v="C/ Moralzarzal, 86"/>
    <m/>
    <s v="Madrid"/>
    <m/>
    <n v="28034"/>
    <s v="Spain"/>
    <s v="EMEA"/>
    <s v="Freyre"/>
    <s v="Diego"/>
    <s v="Small"/>
    <n v="1962.22"/>
  </r>
  <r>
    <n v="10359"/>
    <n v="48"/>
    <n v="54.68"/>
    <n v="6"/>
    <n v="2624.64"/>
    <d v="2004-12-15T00:00:00"/>
    <s v="Shipped"/>
    <n v="4"/>
    <x v="6"/>
    <n v="2004"/>
    <x v="1"/>
    <n v="136"/>
    <s v="S10_4757"/>
    <s v="Reims Collectables"/>
    <s v="26.47.1555"/>
    <s v="59 rue de l'Abbaye"/>
    <m/>
    <s v="Reims"/>
    <m/>
    <n v="51100"/>
    <s v="France"/>
    <s v="EMEA"/>
    <s v="Henriot"/>
    <s v="Paul"/>
    <s v="Small"/>
    <n v="2624.64"/>
  </r>
  <r>
    <n v="10373"/>
    <n v="39"/>
    <n v="100"/>
    <n v="3"/>
    <n v="4046.25"/>
    <d v="2005-01-31T00:00:00"/>
    <s v="Shipped"/>
    <n v="1"/>
    <x v="7"/>
    <n v="2005"/>
    <x v="1"/>
    <n v="136"/>
    <s v="S10_4757"/>
    <s v="Oulu Toy Supplies, Inc."/>
    <s v="981-443655"/>
    <s v="Torikatu 38"/>
    <m/>
    <s v="Oulu"/>
    <m/>
    <n v="90110"/>
    <s v="Finland"/>
    <s v="EMEA"/>
    <s v="Koskitalo"/>
    <s v="Pirkko"/>
    <s v="Medium"/>
    <n v="3900"/>
  </r>
  <r>
    <n v="10384"/>
    <n v="34"/>
    <n v="100"/>
    <n v="4"/>
    <n v="4846.7"/>
    <d v="2005-02-23T00:00:00"/>
    <s v="Shipped"/>
    <n v="1"/>
    <x v="0"/>
    <n v="2005"/>
    <x v="1"/>
    <n v="136"/>
    <s v="S10_4757"/>
    <s v="Corporate Gift Ideas Co."/>
    <n v="6505551386"/>
    <s v="7734 Strong St."/>
    <m/>
    <s v="San Francisco"/>
    <s v="CA"/>
    <m/>
    <s v="USA"/>
    <s v="NA"/>
    <s v="Brown"/>
    <s v="Julie"/>
    <s v="Medium"/>
    <n v="3400"/>
  </r>
  <r>
    <n v="10395"/>
    <n v="32"/>
    <n v="100"/>
    <n v="2"/>
    <n v="3370.56"/>
    <d v="2005-03-17T00:00:00"/>
    <s v="Shipped"/>
    <n v="1"/>
    <x v="11"/>
    <n v="2005"/>
    <x v="1"/>
    <n v="136"/>
    <s v="S10_4757"/>
    <s v="Lyon Souveniers"/>
    <s v="+33 1 46 62 7555"/>
    <s v="27 rue du Colonel Pierre Avia"/>
    <m/>
    <s v="Paris"/>
    <m/>
    <n v="75508"/>
    <s v="France"/>
    <s v="EMEA"/>
    <s v="Da Cunha"/>
    <s v="Daniel"/>
    <s v="Medium"/>
    <n v="3200"/>
  </r>
  <r>
    <n v="10400"/>
    <n v="64"/>
    <n v="100"/>
    <n v="9"/>
    <n v="9661.44"/>
    <d v="2005-04-01T00:00:00"/>
    <s v="Shipped"/>
    <n v="2"/>
    <x v="8"/>
    <n v="2005"/>
    <x v="1"/>
    <n v="136"/>
    <s v="S10_4757"/>
    <s v="The Sharp Gifts Warehouse"/>
    <n v="4085553659"/>
    <s v="3086 Ingle Ln."/>
    <m/>
    <s v="San Jose"/>
    <s v="CA"/>
    <n v="94217"/>
    <s v="USA"/>
    <s v="NA"/>
    <s v="Frick"/>
    <s v="Sue"/>
    <s v="Large"/>
    <n v="6400"/>
  </r>
  <r>
    <n v="10414"/>
    <n v="19"/>
    <n v="100"/>
    <n v="3"/>
    <n v="2764.88"/>
    <d v="2005-05-06T00:00:00"/>
    <s v="On Hold"/>
    <n v="2"/>
    <x v="1"/>
    <n v="2005"/>
    <x v="1"/>
    <n v="136"/>
    <s v="S10_4757"/>
    <s v="Gifts4AllAges.com"/>
    <n v="6175559555"/>
    <s v="8616 Spinnaker Dr."/>
    <m/>
    <s v="Boston"/>
    <s v="MA"/>
    <n v="51003"/>
    <s v="USA"/>
    <s v="NA"/>
    <s v="Yoshido"/>
    <s v="Juri"/>
    <s v="Small"/>
    <n v="1900"/>
  </r>
  <r>
    <n v="10103"/>
    <n v="42"/>
    <n v="100"/>
    <n v="4"/>
    <n v="5398.26"/>
    <d v="2003-01-29T00:00:00"/>
    <s v="Shipped"/>
    <n v="1"/>
    <x v="7"/>
    <n v="2003"/>
    <x v="1"/>
    <n v="147"/>
    <s v="S10_4962"/>
    <s v="Baane Mini Imports"/>
    <s v="07-98 9555"/>
    <s v="Erling Skakkes gate 78"/>
    <m/>
    <s v="Stavern"/>
    <m/>
    <n v="4110"/>
    <s v="Norway"/>
    <s v="EMEA"/>
    <s v="Bergulfsen"/>
    <s v="Jonas"/>
    <s v="Medium"/>
    <n v="4200"/>
  </r>
  <r>
    <n v="10114"/>
    <n v="31"/>
    <n v="100"/>
    <n v="8"/>
    <n v="4305.28"/>
    <d v="2003-04-01T00:00:00"/>
    <s v="Shipped"/>
    <n v="2"/>
    <x v="8"/>
    <n v="2003"/>
    <x v="1"/>
    <n v="147"/>
    <s v="S10_4962"/>
    <s v="La Corne D'abondance, Co."/>
    <s v="(1) 42.34.2555"/>
    <s v="265, boulevard Charonne"/>
    <m/>
    <s v="Paris"/>
    <m/>
    <n v="75012"/>
    <s v="France"/>
    <s v="EMEA"/>
    <s v="Bertrand"/>
    <s v="Marie"/>
    <s v="Medium"/>
    <n v="3100"/>
  </r>
  <r>
    <n v="10126"/>
    <n v="22"/>
    <n v="100"/>
    <n v="4"/>
    <n v="3347.74"/>
    <d v="2003-05-28T00:00:00"/>
    <s v="Shipped"/>
    <n v="2"/>
    <x v="1"/>
    <n v="2003"/>
    <x v="1"/>
    <n v="147"/>
    <s v="S10_4962"/>
    <s v="Corrida Auto Replicas, Ltd"/>
    <s v="(91) 555 22 82"/>
    <s v="C/ Araquil, 67"/>
    <m/>
    <s v="Madrid"/>
    <m/>
    <n v="28023"/>
    <s v="Spain"/>
    <s v="EMEA"/>
    <s v="Sommer"/>
    <s v="Mart¡n"/>
    <s v="Medium"/>
    <n v="2200"/>
  </r>
  <r>
    <n v="10140"/>
    <n v="26"/>
    <n v="100"/>
    <n v="4"/>
    <n v="3188.12"/>
    <d v="2003-07-24T00:00:00"/>
    <s v="Shipped"/>
    <n v="3"/>
    <x v="2"/>
    <n v="2003"/>
    <x v="1"/>
    <n v="147"/>
    <s v="S10_4962"/>
    <s v="Technics Stores Inc."/>
    <n v="6505556809"/>
    <s v="9408 Furth Circle"/>
    <m/>
    <s v="Burlingame"/>
    <s v="CA"/>
    <n v="94217"/>
    <s v="USA"/>
    <s v="NA"/>
    <s v="Hirano"/>
    <s v="Juri"/>
    <s v="Medium"/>
    <n v="2600"/>
  </r>
  <r>
    <n v="10150"/>
    <n v="20"/>
    <n v="100"/>
    <n v="1"/>
    <n v="3191.2"/>
    <d v="2003-09-19T00:00:00"/>
    <s v="Shipped"/>
    <n v="3"/>
    <x v="10"/>
    <n v="2003"/>
    <x v="1"/>
    <n v="147"/>
    <s v="S10_496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2000"/>
  </r>
  <r>
    <n v="10164"/>
    <n v="21"/>
    <n v="100"/>
    <n v="2"/>
    <n v="3536.82"/>
    <d v="2003-10-21T00:00:00"/>
    <s v="Resolved"/>
    <n v="4"/>
    <x v="4"/>
    <n v="2003"/>
    <x v="1"/>
    <n v="147"/>
    <s v="S10_4962"/>
    <s v="Mini Auto Werke"/>
    <s v="7675-3555"/>
    <s v="Kirchgasse 6"/>
    <m/>
    <s v="Graz"/>
    <m/>
    <n v="8010"/>
    <s v="Austria"/>
    <s v="EMEA"/>
    <s v="Mendel"/>
    <s v="Roland"/>
    <s v="Medium"/>
    <n v="2100"/>
  </r>
  <r>
    <n v="10175"/>
    <n v="33"/>
    <n v="100"/>
    <n v="9"/>
    <n v="5362.83"/>
    <d v="2003-11-06T00:00:00"/>
    <s v="Shipped"/>
    <n v="4"/>
    <x v="5"/>
    <n v="2003"/>
    <x v="1"/>
    <n v="147"/>
    <s v="S10_4962"/>
    <s v="Stylish Desk Decors, Co."/>
    <s v="(171) 555-0297"/>
    <s v="35 King George"/>
    <m/>
    <s v="London"/>
    <m/>
    <s v="WX3 6FW"/>
    <s v="UK"/>
    <s v="EMEA"/>
    <s v="Brown"/>
    <s v="Ann"/>
    <s v="Medium"/>
    <n v="3300"/>
  </r>
  <r>
    <n v="10183"/>
    <n v="28"/>
    <n v="100"/>
    <n v="1"/>
    <n v="3433.36"/>
    <d v="2003-11-13T00:00:00"/>
    <s v="Shipped"/>
    <n v="4"/>
    <x v="5"/>
    <n v="2003"/>
    <x v="1"/>
    <n v="147"/>
    <s v="S10_4962"/>
    <s v="Classic Gift Ideas, Inc"/>
    <n v="2155554695"/>
    <s v="782 First Street"/>
    <m/>
    <s v="Philadelphia"/>
    <s v="PA"/>
    <n v="71270"/>
    <s v="USA"/>
    <s v="NA"/>
    <s v="Cervantes"/>
    <s v="Francisca"/>
    <s v="Medium"/>
    <n v="2800"/>
  </r>
  <r>
    <n v="10194"/>
    <n v="26"/>
    <n v="100"/>
    <n v="4"/>
    <n v="4263.74"/>
    <d v="2003-11-25T00:00:00"/>
    <s v="Shipped"/>
    <n v="4"/>
    <x v="5"/>
    <n v="2003"/>
    <x v="1"/>
    <n v="147"/>
    <s v="S10_4962"/>
    <s v="Saveley &amp; Henriot, Co."/>
    <s v="78.32.5555"/>
    <s v="2, rue du Commerce"/>
    <m/>
    <s v="Lyon"/>
    <m/>
    <n v="69004"/>
    <s v="France"/>
    <s v="EMEA"/>
    <s v="Saveley"/>
    <s v="Mary"/>
    <s v="Medium"/>
    <n v="2600"/>
  </r>
  <r>
    <n v="10207"/>
    <n v="31"/>
    <n v="100"/>
    <n v="15"/>
    <n v="4076.19"/>
    <d v="2003-12-09T00:00:00"/>
    <s v="Shipped"/>
    <n v="4"/>
    <x v="6"/>
    <n v="2003"/>
    <x v="1"/>
    <n v="147"/>
    <s v="S10_4962"/>
    <s v="Diecast Collectables"/>
    <n v="6175552555"/>
    <s v="6251 Ingle Ln."/>
    <m/>
    <s v="Boston"/>
    <s v="MA"/>
    <n v="51003"/>
    <s v="USA"/>
    <s v="NA"/>
    <s v="Franco"/>
    <s v="Valarie"/>
    <s v="Medium"/>
    <n v="3100"/>
  </r>
  <r>
    <n v="10217"/>
    <n v="48"/>
    <n v="100"/>
    <n v="4"/>
    <n v="7020.48"/>
    <d v="2004-02-04T00:00:00"/>
    <s v="Shipped"/>
    <n v="1"/>
    <x v="0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Large"/>
    <n v="4800"/>
  </r>
  <r>
    <n v="10229"/>
    <n v="50"/>
    <n v="100"/>
    <n v="9"/>
    <n v="6426.5"/>
    <d v="2004-03-11T00:00:00"/>
    <s v="Shipped"/>
    <n v="1"/>
    <x v="11"/>
    <n v="2004"/>
    <x v="1"/>
    <n v="147"/>
    <s v="S10_4962"/>
    <s v="Mini Gifts Distributors Ltd."/>
    <n v="4155551450"/>
    <s v="5677 Strong St."/>
    <m/>
    <s v="San Rafael"/>
    <s v="CA"/>
    <n v="97562"/>
    <s v="USA"/>
    <s v="NA"/>
    <s v="Nelson"/>
    <s v="Valarie"/>
    <s v="Medium"/>
    <n v="5000"/>
  </r>
  <r>
    <n v="10245"/>
    <n v="28"/>
    <n v="100"/>
    <n v="2"/>
    <n v="4591.72"/>
    <d v="2004-05-04T00:00:00"/>
    <s v="Shipped"/>
    <n v="2"/>
    <x v="1"/>
    <n v="2004"/>
    <x v="1"/>
    <n v="147"/>
    <s v="S10_4962"/>
    <s v="Super Scale Inc."/>
    <n v="2035559545"/>
    <s v="567 North Pendale Street"/>
    <m/>
    <s v="New Haven"/>
    <s v="CT"/>
    <n v="97823"/>
    <s v="USA"/>
    <s v="NA"/>
    <s v="Murphy"/>
    <s v="Leslie"/>
    <s v="Medium"/>
    <n v="2800"/>
  </r>
  <r>
    <n v="10259"/>
    <n v="26"/>
    <n v="100"/>
    <n v="12"/>
    <n v="4033.38"/>
    <d v="2004-06-15T00:00:00"/>
    <s v="Shipped"/>
    <n v="2"/>
    <x v="9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2600"/>
  </r>
  <r>
    <n v="10270"/>
    <n v="32"/>
    <n v="100"/>
    <n v="2"/>
    <n v="4302.08"/>
    <d v="2004-07-19T00:00:00"/>
    <s v="Shipped"/>
    <n v="3"/>
    <x v="2"/>
    <n v="2004"/>
    <x v="1"/>
    <n v="147"/>
    <s v="S10_496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200"/>
  </r>
  <r>
    <n v="10281"/>
    <n v="44"/>
    <n v="100"/>
    <n v="9"/>
    <n v="7020.64"/>
    <d v="2004-08-19T00:00:00"/>
    <s v="Shipped"/>
    <n v="3"/>
    <x v="3"/>
    <n v="2004"/>
    <x v="1"/>
    <n v="147"/>
    <s v="S10_4962"/>
    <s v="Diecast Classics Inc."/>
    <n v="2155551555"/>
    <s v="7586 Pompton St."/>
    <m/>
    <s v="Allentown"/>
    <s v="PA"/>
    <n v="70267"/>
    <s v="USA"/>
    <s v="NA"/>
    <s v="Yu"/>
    <s v="Kyung"/>
    <s v="Large"/>
    <n v="4400"/>
  </r>
  <r>
    <n v="10291"/>
    <n v="30"/>
    <n v="100"/>
    <n v="4"/>
    <n v="3855.9"/>
    <d v="2004-09-08T00:00:00"/>
    <s v="Shipped"/>
    <n v="3"/>
    <x v="10"/>
    <n v="2004"/>
    <x v="1"/>
    <n v="147"/>
    <s v="S10_4962"/>
    <s v="Scandinavian Gift Ideas"/>
    <s v="0695-34 6555"/>
    <s v="?kergatan 24"/>
    <m/>
    <s v="Boras"/>
    <m/>
    <s v="S-844 67"/>
    <s v="Sweden"/>
    <s v="EMEA"/>
    <s v="Larsson"/>
    <s v="Maria"/>
    <s v="Medium"/>
    <n v="3000"/>
  </r>
  <r>
    <n v="10305"/>
    <n v="38"/>
    <n v="100"/>
    <n v="13"/>
    <n v="6680.78"/>
    <d v="2004-10-13T00:00:00"/>
    <s v="Shipped"/>
    <n v="4"/>
    <x v="4"/>
    <n v="2004"/>
    <x v="1"/>
    <n v="147"/>
    <s v="S10_4962"/>
    <s v="Marta's Replicas Co."/>
    <n v="6175558555"/>
    <s v="39323 Spinnaker Dr."/>
    <m/>
    <s v="Cambridge"/>
    <s v="MA"/>
    <n v="51247"/>
    <s v="USA"/>
    <s v="NA"/>
    <s v="Hernandez"/>
    <s v="Marta"/>
    <s v="Medium"/>
    <n v="3800"/>
  </r>
  <r>
    <n v="10313"/>
    <n v="40"/>
    <n v="100"/>
    <n v="7"/>
    <n v="6678"/>
    <d v="2004-10-22T00:00:00"/>
    <s v="Shipped"/>
    <n v="4"/>
    <x v="4"/>
    <n v="2004"/>
    <x v="1"/>
    <n v="147"/>
    <s v="S10_4962"/>
    <s v="Canadian Gift Exchange Network"/>
    <s v="(604) 555-3392"/>
    <s v="1900 Oak St."/>
    <m/>
    <s v="Vancouver"/>
    <s v="BC"/>
    <s v="V3F 2K1"/>
    <s v="Canada"/>
    <s v="NA"/>
    <s v="Tannamuri"/>
    <s v="Yoshi"/>
    <s v="Medium"/>
    <n v="4000"/>
  </r>
  <r>
    <n v="10322"/>
    <n v="46"/>
    <n v="61.99"/>
    <n v="8"/>
    <n v="2851.54"/>
    <d v="2004-11-04T00:00:00"/>
    <s v="Shipped"/>
    <n v="4"/>
    <x v="5"/>
    <n v="2004"/>
    <x v="1"/>
    <n v="147"/>
    <s v="S10_4962"/>
    <s v="Online Diecast Creations Co."/>
    <n v="6035558647"/>
    <s v="2304 Long Airport Avenue"/>
    <m/>
    <s v="Nashua"/>
    <s v="NH"/>
    <n v="62005"/>
    <s v="USA"/>
    <s v="NA"/>
    <s v="Young"/>
    <s v="Valarie"/>
    <s v="Small"/>
    <n v="2851.54"/>
  </r>
  <r>
    <n v="10334"/>
    <n v="26"/>
    <n v="100"/>
    <n v="2"/>
    <n v="3188.12"/>
    <d v="2004-11-19T00:00:00"/>
    <s v="On Hold"/>
    <n v="4"/>
    <x v="5"/>
    <n v="2004"/>
    <x v="1"/>
    <n v="147"/>
    <s v="S10_4962"/>
    <s v="Volvo Model Replicas, Co"/>
    <s v="0921-12 3555"/>
    <s v="Berguvsv„gen  8"/>
    <m/>
    <s v="Lule"/>
    <m/>
    <s v="S-958 22"/>
    <s v="Sweden"/>
    <s v="EMEA"/>
    <s v="Berglund"/>
    <s v="Christina"/>
    <s v="Medium"/>
    <n v="2600"/>
  </r>
  <r>
    <n v="10347"/>
    <n v="27"/>
    <n v="100"/>
    <n v="2"/>
    <n v="4428"/>
    <d v="2004-11-29T00:00:00"/>
    <s v="Shipped"/>
    <n v="4"/>
    <x v="5"/>
    <n v="2004"/>
    <x v="1"/>
    <n v="147"/>
    <s v="S10_496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2700"/>
  </r>
  <r>
    <n v="10357"/>
    <n v="43"/>
    <n v="100"/>
    <n v="9"/>
    <n v="5780.92"/>
    <d v="2004-12-10T00:00:00"/>
    <s v="Shipped"/>
    <n v="4"/>
    <x v="6"/>
    <n v="2004"/>
    <x v="1"/>
    <n v="147"/>
    <s v="S10_4962"/>
    <s v="Mini Gifts Distributors Ltd."/>
    <n v="4155551450"/>
    <s v="5677 Strong St."/>
    <m/>
    <s v="San Rafael"/>
    <s v="CA"/>
    <n v="97562"/>
    <s v="USA"/>
    <s v="NA"/>
    <s v="Nelson"/>
    <s v="Valarie"/>
    <s v="Medium"/>
    <n v="4300"/>
  </r>
  <r>
    <n v="10370"/>
    <n v="35"/>
    <n v="65.63"/>
    <n v="4"/>
    <n v="2297.0500000000002"/>
    <d v="2005-01-20T00:00:00"/>
    <s v="Shipped"/>
    <n v="1"/>
    <x v="7"/>
    <n v="2005"/>
    <x v="1"/>
    <n v="147"/>
    <s v="S10_496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297.0499999999997"/>
  </r>
  <r>
    <n v="10381"/>
    <n v="37"/>
    <n v="100"/>
    <n v="6"/>
    <n v="6231.54"/>
    <d v="2005-02-17T00:00:00"/>
    <s v="Shipped"/>
    <n v="1"/>
    <x v="0"/>
    <n v="2005"/>
    <x v="1"/>
    <n v="147"/>
    <s v="S10_4962"/>
    <s v="Corporate Gift Ideas Co."/>
    <n v="6505551386"/>
    <s v="7734 Strong St."/>
    <m/>
    <s v="San Francisco"/>
    <s v="CA"/>
    <m/>
    <s v="USA"/>
    <s v="NA"/>
    <s v="Brown"/>
    <s v="Julie"/>
    <s v="Medium"/>
    <n v="3700"/>
  </r>
  <r>
    <n v="10391"/>
    <n v="37"/>
    <n v="46.9"/>
    <n v="7"/>
    <n v="1735.3"/>
    <d v="2005-03-09T00:00:00"/>
    <s v="Shipped"/>
    <n v="1"/>
    <x v="11"/>
    <n v="2005"/>
    <x v="1"/>
    <n v="147"/>
    <s v="S10_496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735.3"/>
  </r>
  <r>
    <n v="10411"/>
    <n v="27"/>
    <n v="100"/>
    <n v="2"/>
    <n v="4427.7299999999996"/>
    <d v="2005-05-01T00:00:00"/>
    <s v="Shipped"/>
    <n v="2"/>
    <x v="1"/>
    <n v="2005"/>
    <x v="1"/>
    <n v="147"/>
    <s v="S10_4962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2700"/>
  </r>
  <r>
    <n v="10425"/>
    <n v="38"/>
    <n v="100"/>
    <n v="12"/>
    <n v="5894.94"/>
    <d v="2005-05-31T00:00:00"/>
    <s v="In Process"/>
    <n v="2"/>
    <x v="1"/>
    <n v="2005"/>
    <x v="1"/>
    <n v="147"/>
    <s v="S10_4962"/>
    <s v="La Rochelle Gifts"/>
    <s v="40.67.8555"/>
    <s v="67, rue des Cinquante Otages"/>
    <m/>
    <s v="Nantes"/>
    <m/>
    <n v="44000"/>
    <s v="France"/>
    <s v="EMEA"/>
    <s v="Labrune"/>
    <s v="Janine"/>
    <s v="Medium"/>
    <n v="3800"/>
  </r>
  <r>
    <n v="10108"/>
    <n v="33"/>
    <n v="100"/>
    <n v="6"/>
    <n v="5265.15"/>
    <d v="2003-03-03T00:00:00"/>
    <s v="Shipped"/>
    <n v="1"/>
    <x v="11"/>
    <n v="2003"/>
    <x v="1"/>
    <n v="194"/>
    <s v="S12_1099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3300"/>
  </r>
  <r>
    <n v="10122"/>
    <n v="42"/>
    <n v="100"/>
    <n v="10"/>
    <n v="7599.9"/>
    <d v="2003-05-08T00:00:00"/>
    <s v="Shipped"/>
    <n v="2"/>
    <x v="1"/>
    <n v="2003"/>
    <x v="1"/>
    <n v="194"/>
    <s v="S12_1099"/>
    <s v="Marseille Mini Autos"/>
    <s v="91.24.4555"/>
    <s v="12, rue des Bouchers"/>
    <m/>
    <s v="Marseille"/>
    <m/>
    <n v="13008"/>
    <s v="France"/>
    <s v="EMEA"/>
    <s v="Lebihan"/>
    <s v="Laurence"/>
    <s v="Large"/>
    <n v="4200"/>
  </r>
  <r>
    <n v="10135"/>
    <n v="42"/>
    <n v="100"/>
    <n v="7"/>
    <n v="8008.56"/>
    <d v="2003-07-02T00:00:00"/>
    <s v="Shipped"/>
    <n v="3"/>
    <x v="2"/>
    <n v="2003"/>
    <x v="1"/>
    <n v="194"/>
    <s v="S12_1099"/>
    <s v="Mini Gifts Distributors Ltd."/>
    <n v="4155551450"/>
    <s v="5677 Strong St."/>
    <m/>
    <s v="San Rafael"/>
    <s v="CA"/>
    <n v="97562"/>
    <s v="USA"/>
    <s v="NA"/>
    <s v="Nelson"/>
    <s v="Valarie"/>
    <s v="Large"/>
    <n v="4200"/>
  </r>
  <r>
    <n v="10147"/>
    <n v="48"/>
    <n v="100"/>
    <n v="7"/>
    <n v="9245.76"/>
    <d v="2003-09-05T00:00:00"/>
    <s v="Shipped"/>
    <n v="3"/>
    <x v="10"/>
    <n v="2003"/>
    <x v="1"/>
    <n v="194"/>
    <s v="S12_1099"/>
    <s v="Collectables For Less Inc."/>
    <n v="6175558555"/>
    <s v="7825 Douglas Av."/>
    <m/>
    <s v="Brickhaven"/>
    <s v="MA"/>
    <n v="58339"/>
    <s v="USA"/>
    <s v="NA"/>
    <s v="Nelson"/>
    <s v="Allen"/>
    <s v="Large"/>
    <n v="4800"/>
  </r>
  <r>
    <n v="10159"/>
    <n v="41"/>
    <n v="100"/>
    <n v="2"/>
    <n v="8296.35"/>
    <d v="2003-10-10T00:00:00"/>
    <s v="Shipped"/>
    <n v="4"/>
    <x v="4"/>
    <n v="2003"/>
    <x v="1"/>
    <n v="194"/>
    <s v="S12_1099"/>
    <s v="Corporate Gift Ideas Co."/>
    <n v="6505551386"/>
    <s v="7734 Strong St."/>
    <m/>
    <s v="San Francisco"/>
    <s v="CA"/>
    <m/>
    <s v="USA"/>
    <s v="NA"/>
    <s v="Brown"/>
    <s v="Julie"/>
    <s v="Large"/>
    <n v="4100"/>
  </r>
  <r>
    <n v="10169"/>
    <n v="30"/>
    <n v="100"/>
    <n v="2"/>
    <n v="5019.8999999999996"/>
    <d v="2003-11-04T00:00:00"/>
    <s v="Shipped"/>
    <n v="4"/>
    <x v="5"/>
    <n v="2003"/>
    <x v="1"/>
    <n v="194"/>
    <s v="S12_109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000"/>
  </r>
  <r>
    <n v="10181"/>
    <n v="27"/>
    <n v="100"/>
    <n v="14"/>
    <n v="5411.07"/>
    <d v="2003-11-12T00:00:00"/>
    <s v="Shipped"/>
    <n v="4"/>
    <x v="5"/>
    <n v="2003"/>
    <x v="1"/>
    <n v="194"/>
    <s v="S12_1099"/>
    <s v="Herkku Gifts"/>
    <s v="+47 2267 3215"/>
    <s v="Drammen 121, PR 744 Sentrum"/>
    <m/>
    <s v="Bergen"/>
    <m/>
    <s v="N 5804"/>
    <s v="Norway"/>
    <s v="EMEA"/>
    <s v="Oeztan"/>
    <s v="Veysel"/>
    <s v="Medium"/>
    <n v="2700"/>
  </r>
  <r>
    <n v="10191"/>
    <n v="21"/>
    <n v="100"/>
    <n v="3"/>
    <n v="3840.9"/>
    <d v="2003-11-20T00:00:00"/>
    <s v="Shipped"/>
    <n v="4"/>
    <x v="5"/>
    <n v="2003"/>
    <x v="1"/>
    <n v="194"/>
    <s v="S12_1099"/>
    <s v="Toms Spezialitten, Ltd"/>
    <s v="0221-5554327"/>
    <s v="Mehrheimerstr. 369"/>
    <m/>
    <s v="Koln"/>
    <m/>
    <n v="50739"/>
    <s v="Germany"/>
    <s v="EMEA"/>
    <s v="Pfalzheim"/>
    <s v="Henriette"/>
    <s v="Medium"/>
    <n v="2100"/>
  </r>
  <r>
    <n v="10203"/>
    <n v="20"/>
    <n v="100"/>
    <n v="8"/>
    <n v="3930.4"/>
    <d v="2003-12-02T00:00:00"/>
    <s v="Shipped"/>
    <n v="4"/>
    <x v="6"/>
    <n v="2003"/>
    <x v="1"/>
    <n v="194"/>
    <s v="S12_1099"/>
    <s v="Euro Shopping Channel"/>
    <s v="(91) 555 94 44"/>
    <s v="C/ Moralzarzal, 86"/>
    <m/>
    <s v="Madrid"/>
    <m/>
    <n v="28034"/>
    <s v="Spain"/>
    <s v="EMEA"/>
    <s v="Freyre"/>
    <s v="Diego"/>
    <s v="Medium"/>
    <n v="2000"/>
  </r>
  <r>
    <n v="10211"/>
    <n v="41"/>
    <n v="100"/>
    <n v="2"/>
    <n v="7498.9"/>
    <d v="2004-01-15T00:00:00"/>
    <s v="Shipped"/>
    <n v="1"/>
    <x v="7"/>
    <n v="2004"/>
    <x v="1"/>
    <n v="194"/>
    <s v="S12_1099"/>
    <s v="Auto Canal Petit"/>
    <s v="(1) 47.55.6555"/>
    <s v="25, rue Lauriston"/>
    <m/>
    <s v="Paris"/>
    <m/>
    <n v="75016"/>
    <s v="France"/>
    <s v="EMEA"/>
    <s v="Perrier"/>
    <s v="Dominique"/>
    <s v="Large"/>
    <n v="4100"/>
  </r>
  <r>
    <n v="10225"/>
    <n v="27"/>
    <n v="100"/>
    <n v="9"/>
    <n v="4517.91"/>
    <d v="2004-02-22T00:00:00"/>
    <s v="Shipped"/>
    <n v="1"/>
    <x v="0"/>
    <n v="2004"/>
    <x v="1"/>
    <n v="194"/>
    <s v="S12_1099"/>
    <s v="Vida Sport, Ltd"/>
    <s v="0897-034555"/>
    <s v="Grenzacherweg 237"/>
    <m/>
    <s v="Gensve"/>
    <m/>
    <n v="1203"/>
    <s v="Switzerland"/>
    <s v="EMEA"/>
    <s v="Holz"/>
    <s v="Michael"/>
    <s v="Medium"/>
    <n v="2700"/>
  </r>
  <r>
    <n v="10238"/>
    <n v="28"/>
    <n v="100"/>
    <n v="3"/>
    <n v="5774.72"/>
    <d v="2004-04-09T00:00:00"/>
    <s v="Shipped"/>
    <n v="2"/>
    <x v="8"/>
    <n v="2004"/>
    <x v="1"/>
    <n v="194"/>
    <s v="S12_1099"/>
    <s v="Danish Wholesale Imports"/>
    <s v="31 12 3555"/>
    <s v="Vinb'ltet 34"/>
    <m/>
    <s v="Kobenhavn"/>
    <m/>
    <n v="1734"/>
    <s v="Denmark"/>
    <s v="EMEA"/>
    <s v="Petersen"/>
    <s v="Jytte"/>
    <s v="Medium"/>
    <n v="2800"/>
  </r>
  <r>
    <n v="10253"/>
    <n v="24"/>
    <n v="100"/>
    <n v="13"/>
    <n v="3922.56"/>
    <d v="2004-06-01T00:00:00"/>
    <s v="Cancelled"/>
    <n v="2"/>
    <x v="9"/>
    <n v="2004"/>
    <x v="1"/>
    <n v="194"/>
    <s v="S12_1099"/>
    <s v="UK Collectables, Ltd."/>
    <s v="(171) 555-2282"/>
    <s v="Berkeley Gardens 12  Brewery"/>
    <m/>
    <s v="Liverpool"/>
    <m/>
    <s v="WX1 6LT"/>
    <s v="UK"/>
    <s v="EMEA"/>
    <s v="Devon"/>
    <s v="Elizabeth"/>
    <s v="Medium"/>
    <n v="2400"/>
  </r>
  <r>
    <n v="10266"/>
    <n v="44"/>
    <n v="100"/>
    <n v="14"/>
    <n v="9160.36"/>
    <d v="2004-07-06T00:00:00"/>
    <s v="Shipped"/>
    <n v="3"/>
    <x v="2"/>
    <n v="2004"/>
    <x v="1"/>
    <n v="194"/>
    <s v="S12_1099"/>
    <s v="L'ordine Souveniers"/>
    <s v="0522-556555"/>
    <s v="Strada Provinciale 124"/>
    <m/>
    <s v="Reggio Emilia"/>
    <m/>
    <n v="42100"/>
    <s v="Italy"/>
    <s v="EMEA"/>
    <s v="Moroni"/>
    <s v="Maurizio"/>
    <s v="Large"/>
    <n v="4400"/>
  </r>
  <r>
    <n v="10276"/>
    <n v="50"/>
    <n v="100"/>
    <n v="3"/>
    <n v="9631"/>
    <d v="2004-08-02T00:00:00"/>
    <s v="Shipped"/>
    <n v="3"/>
    <x v="3"/>
    <n v="2004"/>
    <x v="1"/>
    <n v="194"/>
    <s v="S12_1099"/>
    <s v="Online Mini Collectables"/>
    <n v="6175557555"/>
    <s v="7635 Spinnaker Dr."/>
    <m/>
    <s v="Brickhaven"/>
    <s v="MA"/>
    <n v="58339"/>
    <s v="USA"/>
    <s v="NA"/>
    <s v="Barajas"/>
    <s v="Miguel"/>
    <s v="Large"/>
    <n v="5000"/>
  </r>
  <r>
    <n v="10287"/>
    <n v="21"/>
    <n v="100"/>
    <n v="12"/>
    <n v="3432.24"/>
    <d v="2004-08-30T00:00:00"/>
    <s v="Shipped"/>
    <n v="3"/>
    <x v="3"/>
    <n v="2004"/>
    <x v="1"/>
    <n v="194"/>
    <s v="S12_1099"/>
    <s v="Vida Sport, Ltd"/>
    <s v="0897-034555"/>
    <s v="Grenzacherweg 237"/>
    <m/>
    <s v="Gensve"/>
    <m/>
    <n v="1203"/>
    <s v="Switzerland"/>
    <s v="EMEA"/>
    <s v="Holz"/>
    <s v="Michael"/>
    <s v="Medium"/>
    <n v="2100"/>
  </r>
  <r>
    <n v="10300"/>
    <n v="33"/>
    <n v="100"/>
    <n v="5"/>
    <n v="5521.89"/>
    <d v="2003-10-04T00:00:00"/>
    <s v="Shipped"/>
    <n v="4"/>
    <x v="4"/>
    <n v="2003"/>
    <x v="1"/>
    <n v="194"/>
    <s v="S12_1099"/>
    <s v="Blauer See Auto, Co."/>
    <s v="+49 69 66 90 2555"/>
    <s v="Lyonerstr. 34"/>
    <m/>
    <s v="Frankfurt"/>
    <m/>
    <n v="60528"/>
    <s v="Germany"/>
    <s v="EMEA"/>
    <s v="Keitel"/>
    <s v="Roland"/>
    <s v="Medium"/>
    <n v="3300"/>
  </r>
  <r>
    <n v="10310"/>
    <n v="33"/>
    <n v="100"/>
    <n v="10"/>
    <n v="6934.62"/>
    <d v="2004-10-16T00:00:00"/>
    <s v="Shipped"/>
    <n v="4"/>
    <x v="4"/>
    <n v="2004"/>
    <x v="1"/>
    <n v="194"/>
    <s v="S12_1099"/>
    <s v="Toms Spezialitten, Ltd"/>
    <s v="0221-5554327"/>
    <s v="Mehrheimerstr. 369"/>
    <m/>
    <s v="Koln"/>
    <m/>
    <n v="50739"/>
    <s v="Germany"/>
    <s v="EMEA"/>
    <s v="Pfalzheim"/>
    <s v="Henriette"/>
    <s v="Medium"/>
    <n v="3300"/>
  </r>
  <r>
    <n v="10320"/>
    <n v="31"/>
    <n v="100"/>
    <n v="3"/>
    <n v="6876.11"/>
    <d v="2004-11-03T00:00:00"/>
    <s v="Shipped"/>
    <n v="4"/>
    <x v="5"/>
    <n v="2004"/>
    <x v="1"/>
    <n v="194"/>
    <s v="S12_1099"/>
    <s v="Volvo Model Replicas, Co"/>
    <s v="0921-12 3555"/>
    <s v="Berguvsv„gen  8"/>
    <m/>
    <s v="Lule"/>
    <m/>
    <s v="S-958 22"/>
    <s v="Sweden"/>
    <s v="EMEA"/>
    <s v="Berglund"/>
    <s v="Christina"/>
    <s v="Medium"/>
    <n v="3100"/>
  </r>
  <r>
    <n v="10329"/>
    <n v="41"/>
    <n v="71.47"/>
    <n v="5"/>
    <n v="2930.27"/>
    <d v="2004-11-15T00:00:00"/>
    <s v="Shipped"/>
    <n v="4"/>
    <x v="5"/>
    <n v="2004"/>
    <x v="1"/>
    <n v="194"/>
    <s v="S12_1099"/>
    <s v="Land of Toys Inc."/>
    <n v="2125557818"/>
    <s v="897 Long Airport Avenue"/>
    <m/>
    <s v="NYC"/>
    <s v="NY"/>
    <n v="10022"/>
    <s v="USA"/>
    <s v="NA"/>
    <s v="Yu"/>
    <s v="Kwai"/>
    <s v="Small"/>
    <n v="2930.27"/>
  </r>
  <r>
    <n v="10341"/>
    <n v="45"/>
    <n v="79.650000000000006"/>
    <n v="2"/>
    <n v="3584.25"/>
    <d v="2004-11-24T00:00:00"/>
    <s v="Shipped"/>
    <n v="4"/>
    <x v="5"/>
    <n v="2004"/>
    <x v="1"/>
    <n v="194"/>
    <s v="S12_1099"/>
    <s v="Salzburg Collectables"/>
    <s v="6562-9555"/>
    <s v="Geislweg 14"/>
    <m/>
    <s v="Salzburg"/>
    <m/>
    <n v="5020"/>
    <s v="Austria"/>
    <s v="EMEA"/>
    <s v="Pipps"/>
    <s v="Georg"/>
    <s v="Medium"/>
    <n v="3584.2500000000005"/>
  </r>
  <r>
    <n v="10363"/>
    <n v="33"/>
    <n v="85.39"/>
    <n v="3"/>
    <n v="2817.87"/>
    <d v="2005-01-06T00:00:00"/>
    <s v="Shipped"/>
    <n v="1"/>
    <x v="7"/>
    <n v="2005"/>
    <x v="1"/>
    <n v="194"/>
    <s v="S12_1099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2817.87"/>
  </r>
  <r>
    <n v="10375"/>
    <n v="45"/>
    <n v="76"/>
    <n v="7"/>
    <n v="3420"/>
    <d v="2005-02-03T00:00:00"/>
    <s v="Shipped"/>
    <n v="1"/>
    <x v="0"/>
    <n v="2005"/>
    <x v="1"/>
    <n v="194"/>
    <s v="S12_1099"/>
    <s v="La Rochelle Gifts"/>
    <s v="40.67.8555"/>
    <s v="67, rue des Cinquante Otages"/>
    <m/>
    <s v="Nantes"/>
    <m/>
    <n v="44000"/>
    <s v="France"/>
    <s v="EMEA"/>
    <s v="Labrune"/>
    <s v="Janine"/>
    <s v="Medium"/>
    <n v="3420"/>
  </r>
  <r>
    <n v="10389"/>
    <n v="26"/>
    <n v="99.04"/>
    <n v="4"/>
    <n v="2575.04"/>
    <d v="2005-03-03T00:00:00"/>
    <s v="Shipped"/>
    <n v="1"/>
    <x v="11"/>
    <n v="2005"/>
    <x v="1"/>
    <n v="194"/>
    <s v="S12_1099"/>
    <s v="Scandinavian Gift Ideas"/>
    <s v="0695-34 6555"/>
    <s v="?kergatan 24"/>
    <m/>
    <s v="Boras"/>
    <m/>
    <s v="S-844 67"/>
    <s v="Sweden"/>
    <s v="EMEA"/>
    <s v="Larsson"/>
    <s v="Maria"/>
    <s v="Small"/>
    <n v="2575.04"/>
  </r>
  <r>
    <n v="10419"/>
    <n v="12"/>
    <n v="100"/>
    <n v="13"/>
    <n v="1961.28"/>
    <d v="2005-05-17T00:00:00"/>
    <s v="Shipped"/>
    <n v="2"/>
    <x v="1"/>
    <n v="2005"/>
    <x v="1"/>
    <n v="194"/>
    <s v="S12_1099"/>
    <s v="Salzburg Collectables"/>
    <s v="6562-9555"/>
    <s v="Geislweg 14"/>
    <m/>
    <s v="Salzburg"/>
    <m/>
    <n v="5020"/>
    <s v="Austria"/>
    <s v="EMEA"/>
    <s v="Pipps"/>
    <s v="Georg"/>
    <s v="Small"/>
    <n v="1200"/>
  </r>
  <r>
    <n v="10105"/>
    <n v="41"/>
    <n v="100"/>
    <n v="15"/>
    <n v="8690.36"/>
    <d v="2003-02-11T00:00:00"/>
    <s v="Shipped"/>
    <n v="1"/>
    <x v="0"/>
    <n v="2003"/>
    <x v="1"/>
    <n v="207"/>
    <s v="S12_1108"/>
    <s v="Danish Wholesale Imports"/>
    <s v="31 12 3555"/>
    <s v="Vinb'ltet 34"/>
    <m/>
    <s v="Kobenhavn"/>
    <m/>
    <n v="1734"/>
    <s v="Denmark"/>
    <s v="EMEA"/>
    <s v="Petersen"/>
    <s v="Jytte"/>
    <s v="Large"/>
    <n v="4100"/>
  </r>
  <r>
    <n v="10117"/>
    <n v="33"/>
    <n v="100"/>
    <n v="9"/>
    <n v="6034.38"/>
    <d v="2003-04-16T00:00:00"/>
    <s v="Shipped"/>
    <n v="2"/>
    <x v="8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3300"/>
  </r>
  <r>
    <n v="10127"/>
    <n v="46"/>
    <n v="100"/>
    <n v="2"/>
    <n v="11279.2"/>
    <d v="2003-06-03T00:00:00"/>
    <s v="Shipped"/>
    <n v="2"/>
    <x v="9"/>
    <n v="2003"/>
    <x v="1"/>
    <n v="207"/>
    <s v="S12_1108"/>
    <s v="Muscle Machine Inc"/>
    <n v="2125557413"/>
    <s v="4092 Furth Circle"/>
    <s v="Suite 400"/>
    <s v="NYC"/>
    <s v="NY"/>
    <n v="10022"/>
    <s v="USA"/>
    <s v="NA"/>
    <s v="Young"/>
    <s v="Jeff"/>
    <s v="Large"/>
    <n v="4600"/>
  </r>
  <r>
    <n v="10142"/>
    <n v="33"/>
    <n v="100"/>
    <n v="12"/>
    <n v="8023.29"/>
    <d v="2003-08-08T00:00:00"/>
    <s v="Shipped"/>
    <n v="3"/>
    <x v="3"/>
    <n v="2003"/>
    <x v="1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Large"/>
    <n v="3300"/>
  </r>
  <r>
    <n v="10153"/>
    <n v="20"/>
    <n v="100"/>
    <n v="11"/>
    <n v="4904"/>
    <d v="2003-09-28T00:00:00"/>
    <s v="Shipped"/>
    <n v="3"/>
    <x v="10"/>
    <n v="2003"/>
    <x v="1"/>
    <n v="207"/>
    <s v="S12_1108"/>
    <s v="Euro Shopping Channel"/>
    <s v="(91) 555 94 44"/>
    <s v="C/ Moralzarzal, 86"/>
    <m/>
    <s v="Madrid"/>
    <m/>
    <n v="28034"/>
    <s v="Spain"/>
    <s v="EMEA"/>
    <s v="Freyre"/>
    <s v="Diego"/>
    <s v="Medium"/>
    <n v="2000"/>
  </r>
  <r>
    <n v="10165"/>
    <n v="44"/>
    <n v="100"/>
    <n v="3"/>
    <n v="8594.52"/>
    <d v="2003-10-22T00:00:00"/>
    <s v="Shipped"/>
    <n v="4"/>
    <x v="4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  <n v="4400"/>
  </r>
  <r>
    <n v="10176"/>
    <n v="33"/>
    <n v="100"/>
    <n v="2"/>
    <n v="7474.5"/>
    <d v="2003-11-06T00:00:00"/>
    <s v="Shipped"/>
    <n v="4"/>
    <x v="5"/>
    <n v="2003"/>
    <x v="1"/>
    <n v="207"/>
    <s v="S12_1108"/>
    <s v="L'ordine Souveniers"/>
    <s v="0522-556555"/>
    <s v="Strada Provinciale 124"/>
    <m/>
    <s v="Reggio Emilia"/>
    <m/>
    <n v="42100"/>
    <s v="Italy"/>
    <s v="EMEA"/>
    <s v="Moroni"/>
    <s v="Maurizio"/>
    <s v="Large"/>
    <n v="3300"/>
  </r>
  <r>
    <n v="10185"/>
    <n v="21"/>
    <n v="100"/>
    <n v="13"/>
    <n v="3883.74"/>
    <d v="2003-11-14T00:00:00"/>
    <s v="Shipped"/>
    <n v="4"/>
    <x v="5"/>
    <n v="2003"/>
    <x v="1"/>
    <n v="207"/>
    <s v="S12_1108"/>
    <s v="Mini Creations Ltd."/>
    <n v="5085559555"/>
    <s v="4575 Hillside Dr."/>
    <m/>
    <s v="New Bedford"/>
    <s v="MA"/>
    <n v="50553"/>
    <s v="USA"/>
    <s v="NA"/>
    <s v="Tam"/>
    <s v="Wing C"/>
    <s v="Medium"/>
    <n v="2100"/>
  </r>
  <r>
    <n v="10196"/>
    <n v="47"/>
    <n v="100"/>
    <n v="5"/>
    <n v="8887.7000000000007"/>
    <d v="2003-11-26T00:00:00"/>
    <s v="Shipped"/>
    <n v="4"/>
    <x v="5"/>
    <n v="2003"/>
    <x v="1"/>
    <n v="207"/>
    <s v="S12_1108"/>
    <s v="Super Scale Inc."/>
    <n v="2035559545"/>
    <s v="567 North Pendale Street"/>
    <m/>
    <s v="New Haven"/>
    <s v="CT"/>
    <n v="97823"/>
    <s v="USA"/>
    <s v="NA"/>
    <s v="Murphy"/>
    <s v="Leslie"/>
    <s v="Large"/>
    <n v="4700"/>
  </r>
  <r>
    <n v="10208"/>
    <n v="46"/>
    <n v="100"/>
    <n v="13"/>
    <n v="8602.92"/>
    <d v="2004-01-02T00:00:00"/>
    <s v="Shipped"/>
    <n v="1"/>
    <x v="7"/>
    <n v="2004"/>
    <x v="1"/>
    <n v="207"/>
    <s v="S12_1108"/>
    <s v="Saveley &amp; Henriot, Co."/>
    <s v="78.32.5555"/>
    <s v="2, rue du Commerce"/>
    <m/>
    <s v="Lyon"/>
    <m/>
    <n v="69004"/>
    <s v="France"/>
    <s v="EMEA"/>
    <s v="Saveley"/>
    <s v="Mary"/>
    <s v="Large"/>
    <n v="4600"/>
  </r>
  <r>
    <n v="10220"/>
    <n v="32"/>
    <n v="100"/>
    <n v="2"/>
    <n v="7181.44"/>
    <d v="2004-02-12T00:00:00"/>
    <s v="Shipped"/>
    <n v="1"/>
    <x v="0"/>
    <n v="2004"/>
    <x v="1"/>
    <n v="207"/>
    <s v="S12_1108"/>
    <s v="Clover Collections, Co."/>
    <s v="+353 1862 1555"/>
    <s v="25 Maiden Lane"/>
    <s v="Floor No. 4"/>
    <s v="Dublin"/>
    <m/>
    <n v="2"/>
    <s v="Ireland"/>
    <s v="EMEA"/>
    <s v="Cassidy"/>
    <s v="Dean"/>
    <s v="Large"/>
    <n v="3200"/>
  </r>
  <r>
    <n v="10231"/>
    <n v="42"/>
    <n v="100"/>
    <n v="2"/>
    <n v="8378.58"/>
    <d v="2004-03-19T00:00:00"/>
    <s v="Shipped"/>
    <n v="1"/>
    <x v="11"/>
    <n v="2004"/>
    <x v="1"/>
    <n v="207"/>
    <s v="S12_1108"/>
    <s v="CAF Imports"/>
    <s v="+34 913 728 555"/>
    <s v="Merchants House, 27-30 Merchant's Quay"/>
    <m/>
    <s v="Madrid"/>
    <m/>
    <n v="28023"/>
    <s v="Spain"/>
    <s v="EMEA"/>
    <s v="Fernandez"/>
    <s v="Jesus"/>
    <s v="Large"/>
    <n v="4200"/>
  </r>
  <r>
    <n v="10247"/>
    <n v="44"/>
    <n v="100"/>
    <n v="2"/>
    <n v="10606.2"/>
    <d v="2004-05-05T00:00:00"/>
    <s v="Shipped"/>
    <n v="2"/>
    <x v="1"/>
    <n v="2004"/>
    <x v="1"/>
    <n v="207"/>
    <s v="S12_1108"/>
    <s v="Suominen Souveniers"/>
    <s v="+358 9 8045 555"/>
    <s v="Software Engineering Center, SEC Oy"/>
    <m/>
    <s v="Espoo"/>
    <m/>
    <s v="FIN-02271"/>
    <s v="Finland"/>
    <s v="EMEA"/>
    <s v="Suominen"/>
    <s v="Kalle"/>
    <s v="Large"/>
    <n v="4400"/>
  </r>
  <r>
    <n v="10272"/>
    <n v="35"/>
    <n v="100"/>
    <n v="2"/>
    <n v="5818.4"/>
    <d v="2004-07-20T00:00:00"/>
    <s v="Shipped"/>
    <n v="3"/>
    <x v="2"/>
    <n v="2004"/>
    <x v="1"/>
    <n v="207"/>
    <s v="S12_1108"/>
    <s v="Diecast Classics Inc."/>
    <n v="2155551555"/>
    <s v="7586 Pompton St."/>
    <m/>
    <s v="Allentown"/>
    <s v="PA"/>
    <n v="70267"/>
    <s v="USA"/>
    <s v="NA"/>
    <s v="Yu"/>
    <s v="Kyung"/>
    <s v="Medium"/>
    <n v="3500"/>
  </r>
  <r>
    <n v="10282"/>
    <n v="41"/>
    <n v="100"/>
    <n v="5"/>
    <n v="7071.27"/>
    <d v="2004-08-20T00:00:00"/>
    <s v="Shipped"/>
    <n v="3"/>
    <x v="3"/>
    <n v="2004"/>
    <x v="1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Large"/>
    <n v="4100"/>
  </r>
  <r>
    <n v="10293"/>
    <n v="46"/>
    <n v="100"/>
    <n v="8"/>
    <n v="8411.56"/>
    <d v="2004-09-09T00:00:00"/>
    <s v="Shipped"/>
    <n v="3"/>
    <x v="10"/>
    <n v="2004"/>
    <x v="1"/>
    <n v="207"/>
    <s v="S12_1108"/>
    <s v="Amica Models &amp; Co."/>
    <s v="011-4988555"/>
    <s v="Via Monte Bianco 34"/>
    <m/>
    <s v="Torino"/>
    <m/>
    <n v="10100"/>
    <s v="Italy"/>
    <s v="EMEA"/>
    <s v="Accorti"/>
    <s v="Paolo"/>
    <s v="Large"/>
    <n v="4600"/>
  </r>
  <r>
    <n v="10306"/>
    <n v="31"/>
    <n v="100"/>
    <n v="13"/>
    <n v="6570.76"/>
    <d v="2004-10-14T00:00:00"/>
    <s v="Shipped"/>
    <n v="4"/>
    <x v="4"/>
    <n v="2004"/>
    <x v="1"/>
    <n v="207"/>
    <s v="S12_1108"/>
    <s v="AV Stores, Co."/>
    <s v="(171) 555-1555"/>
    <s v="Fauntleroy Circus"/>
    <m/>
    <s v="Manchester"/>
    <m/>
    <s v="EC2 5NT"/>
    <s v="UK"/>
    <s v="EMEA"/>
    <s v="Ashworth"/>
    <s v="Victoria"/>
    <s v="Medium"/>
    <n v="3100"/>
  </r>
  <r>
    <n v="10314"/>
    <n v="38"/>
    <n v="100"/>
    <n v="5"/>
    <n v="7975.44"/>
    <d v="2004-10-22T00:00:00"/>
    <s v="Shipped"/>
    <n v="4"/>
    <x v="4"/>
    <n v="2004"/>
    <x v="1"/>
    <n v="207"/>
    <s v="S12_1108"/>
    <s v="Heintze Collectables"/>
    <s v="86 21 3555"/>
    <s v="Smagsloget 45"/>
    <m/>
    <s v="Aaarhus"/>
    <m/>
    <n v="8200"/>
    <s v="Denmark"/>
    <s v="EMEA"/>
    <s v="Ibsen"/>
    <s v="Palle"/>
    <s v="Large"/>
    <n v="3800"/>
  </r>
  <r>
    <n v="10325"/>
    <n v="42"/>
    <n v="64"/>
    <n v="8"/>
    <n v="2688"/>
    <d v="2004-11-05T00:00:00"/>
    <s v="Shipped"/>
    <n v="4"/>
    <x v="5"/>
    <n v="2004"/>
    <x v="1"/>
    <n v="207"/>
    <s v="S12_1108"/>
    <s v="Baane Mini Imports"/>
    <s v="07-98 9555"/>
    <s v="Erling Skakkes gate 78"/>
    <m/>
    <s v="Stavern"/>
    <m/>
    <n v="4110"/>
    <s v="Norway"/>
    <s v="EMEA"/>
    <s v="Bergulfsen"/>
    <s v="Jonas"/>
    <s v="Small"/>
    <n v="2688"/>
  </r>
  <r>
    <n v="10336"/>
    <n v="33"/>
    <n v="57.22"/>
    <n v="10"/>
    <n v="1888.26"/>
    <d v="2004-11-20T00:00:00"/>
    <s v="Shipped"/>
    <n v="4"/>
    <x v="5"/>
    <n v="2004"/>
    <x v="1"/>
    <n v="207"/>
    <s v="S12_1108"/>
    <s v="La Corne D'abondance, Co."/>
    <s v="(1) 42.34.2555"/>
    <s v="265, boulevard Charonne"/>
    <m/>
    <s v="Paris"/>
    <m/>
    <n v="75012"/>
    <s v="France"/>
    <s v="EMEA"/>
    <s v="Bertrand"/>
    <s v="Marie"/>
    <s v="Small"/>
    <n v="1888.26"/>
  </r>
  <r>
    <n v="10348"/>
    <n v="48"/>
    <n v="52.36"/>
    <n v="8"/>
    <n v="2513.2800000000002"/>
    <d v="2004-11-01T00:00:00"/>
    <s v="Shipped"/>
    <n v="4"/>
    <x v="5"/>
    <n v="2004"/>
    <x v="1"/>
    <n v="207"/>
    <s v="S12_1108"/>
    <s v="Corrida Auto Replicas, Ltd"/>
    <s v="(91) 555 22 82"/>
    <s v="C/ Araquil, 67"/>
    <m/>
    <s v="Madrid"/>
    <m/>
    <n v="28023"/>
    <s v="Spain"/>
    <s v="EMEA"/>
    <s v="Sommer"/>
    <s v="Mart¡n"/>
    <s v="Small"/>
    <n v="2513.2799999999997"/>
  </r>
  <r>
    <n v="10359"/>
    <n v="42"/>
    <n v="100"/>
    <n v="8"/>
    <n v="4764.4799999999996"/>
    <d v="2004-12-15T00:00:00"/>
    <s v="Shipped"/>
    <n v="4"/>
    <x v="6"/>
    <n v="2004"/>
    <x v="1"/>
    <n v="207"/>
    <s v="S12_1108"/>
    <s v="Reims Collectables"/>
    <s v="26.47.1555"/>
    <s v="59 rue de l'Abbaye"/>
    <m/>
    <s v="Reims"/>
    <m/>
    <n v="51100"/>
    <s v="France"/>
    <s v="EMEA"/>
    <s v="Henriot"/>
    <s v="Paul"/>
    <s v="Medium"/>
    <n v="4200"/>
  </r>
  <r>
    <n v="10371"/>
    <n v="32"/>
    <n v="100"/>
    <n v="6"/>
    <n v="3560.64"/>
    <d v="2005-01-23T00:00:00"/>
    <s v="Shipped"/>
    <n v="1"/>
    <x v="7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Medium"/>
    <n v="3200"/>
  </r>
  <r>
    <n v="10382"/>
    <n v="34"/>
    <n v="100"/>
    <n v="10"/>
    <n v="3823.64"/>
    <d v="2005-02-17T00:00:00"/>
    <s v="Shipped"/>
    <n v="1"/>
    <x v="0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Medium"/>
    <n v="3400"/>
  </r>
  <r>
    <n v="10395"/>
    <n v="33"/>
    <n v="69.12"/>
    <n v="1"/>
    <n v="2280.96"/>
    <d v="2005-03-17T00:00:00"/>
    <s v="Shipped"/>
    <n v="1"/>
    <x v="11"/>
    <n v="2005"/>
    <x v="1"/>
    <n v="207"/>
    <s v="S12_1108"/>
    <s v="Lyon Souveniers"/>
    <s v="+33 1 46 62 7555"/>
    <s v="27 rue du Colonel Pierre Avia"/>
    <m/>
    <s v="Paris"/>
    <m/>
    <n v="75508"/>
    <s v="France"/>
    <s v="EMEA"/>
    <s v="Da Cunha"/>
    <s v="Daniel"/>
    <s v="Small"/>
    <n v="2280.96"/>
  </r>
  <r>
    <n v="10413"/>
    <n v="36"/>
    <n v="100"/>
    <n v="2"/>
    <n v="8677.7999999999993"/>
    <d v="2005-05-05T00:00:00"/>
    <s v="Shipped"/>
    <n v="2"/>
    <x v="1"/>
    <n v="2005"/>
    <x v="1"/>
    <n v="207"/>
    <s v="S12_1108"/>
    <s v="Gift Depot Inc."/>
    <n v="2035552570"/>
    <s v="25593 South Bay Ln."/>
    <m/>
    <s v="Bridgewater"/>
    <s v="CT"/>
    <n v="97562"/>
    <s v="USA"/>
    <s v="NA"/>
    <s v="King"/>
    <s v="Julie"/>
    <s v="Large"/>
    <n v="3600"/>
  </r>
  <r>
    <n v="10103"/>
    <n v="27"/>
    <n v="100"/>
    <n v="8"/>
    <n v="3394.98"/>
    <d v="2003-01-29T00:00:00"/>
    <s v="Shipped"/>
    <n v="1"/>
    <x v="7"/>
    <n v="2003"/>
    <x v="2"/>
    <n v="136"/>
    <s v="S12_1666"/>
    <s v="Baane Mini Imports"/>
    <s v="07-98 9555"/>
    <s v="Erling Skakkes gate 78"/>
    <m/>
    <s v="Stavern"/>
    <m/>
    <n v="4110"/>
    <s v="Norway"/>
    <s v="EMEA"/>
    <s v="Bergulfsen"/>
    <s v="Jonas"/>
    <s v="Medium"/>
    <n v="2700"/>
  </r>
  <r>
    <n v="10113"/>
    <n v="21"/>
    <n v="100"/>
    <n v="2"/>
    <n v="3415.44"/>
    <d v="2003-03-26T00:00:00"/>
    <s v="Shipped"/>
    <n v="1"/>
    <x v="11"/>
    <n v="2003"/>
    <x v="2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  <n v="2100"/>
  </r>
  <r>
    <n v="10126"/>
    <n v="21"/>
    <n v="100"/>
    <n v="8"/>
    <n v="2439.5700000000002"/>
    <d v="2003-05-28T00:00:00"/>
    <s v="Shipped"/>
    <n v="2"/>
    <x v="1"/>
    <n v="2003"/>
    <x v="2"/>
    <n v="136"/>
    <s v="S12_1666"/>
    <s v="Corrida Auto Replicas, Ltd"/>
    <s v="(91) 555 22 82"/>
    <s v="C/ Araquil, 67"/>
    <m/>
    <s v="Madrid"/>
    <m/>
    <n v="28023"/>
    <s v="Spain"/>
    <s v="EMEA"/>
    <s v="Sommer"/>
    <s v="Mart¡n"/>
    <s v="Small"/>
    <n v="2100"/>
  </r>
  <r>
    <n v="10140"/>
    <n v="38"/>
    <n v="100"/>
    <n v="8"/>
    <n v="4829.8"/>
    <d v="2003-07-24T00:00:00"/>
    <s v="Shipped"/>
    <n v="3"/>
    <x v="2"/>
    <n v="2003"/>
    <x v="2"/>
    <n v="136"/>
    <s v="S12_1666"/>
    <s v="Technics Stores Inc."/>
    <n v="6505556809"/>
    <s v="9408 Furth Circle"/>
    <m/>
    <s v="Burlingame"/>
    <s v="CA"/>
    <n v="94217"/>
    <s v="USA"/>
    <s v="NA"/>
    <s v="Hirano"/>
    <s v="Juri"/>
    <s v="Medium"/>
    <n v="3800"/>
  </r>
  <r>
    <n v="10150"/>
    <n v="30"/>
    <n v="100"/>
    <n v="5"/>
    <n v="4100.1000000000004"/>
    <d v="2003-09-19T00:00:00"/>
    <s v="Shipped"/>
    <n v="3"/>
    <x v="10"/>
    <n v="2003"/>
    <x v="2"/>
    <n v="136"/>
    <s v="S12_1666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3000"/>
  </r>
  <r>
    <n v="10164"/>
    <n v="49"/>
    <n v="100"/>
    <n v="6"/>
    <n v="6563.06"/>
    <d v="2003-10-21T00:00:00"/>
    <s v="Resolved"/>
    <n v="4"/>
    <x v="4"/>
    <n v="2003"/>
    <x v="2"/>
    <n v="136"/>
    <s v="S12_1666"/>
    <s v="Mini Auto Werke"/>
    <s v="7675-3555"/>
    <s v="Kirchgasse 6"/>
    <m/>
    <s v="Graz"/>
    <m/>
    <n v="8010"/>
    <s v="Austria"/>
    <s v="EMEA"/>
    <s v="Mendel"/>
    <s v="Roland"/>
    <s v="Medium"/>
    <n v="4900"/>
  </r>
  <r>
    <n v="10174"/>
    <n v="43"/>
    <n v="100"/>
    <n v="1"/>
    <n v="6817.22"/>
    <d v="2003-11-06T00:00:00"/>
    <s v="Shipped"/>
    <n v="4"/>
    <x v="5"/>
    <n v="2003"/>
    <x v="2"/>
    <n v="136"/>
    <s v="S12_1666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n v="4300"/>
  </r>
  <r>
    <n v="10183"/>
    <n v="41"/>
    <n v="100"/>
    <n v="5"/>
    <n v="6163.94"/>
    <d v="2003-11-13T00:00:00"/>
    <s v="Shipped"/>
    <n v="4"/>
    <x v="5"/>
    <n v="2003"/>
    <x v="2"/>
    <n v="136"/>
    <s v="S12_1666"/>
    <s v="Classic Gift Ideas, Inc"/>
    <n v="2155554695"/>
    <s v="782 First Street"/>
    <m/>
    <s v="Philadelphia"/>
    <s v="PA"/>
    <n v="71270"/>
    <s v="USA"/>
    <s v="NA"/>
    <s v="Cervantes"/>
    <s v="Francisca"/>
    <s v="Medium"/>
    <n v="4100"/>
  </r>
  <r>
    <n v="10194"/>
    <n v="38"/>
    <n v="100"/>
    <n v="8"/>
    <n v="4933.92"/>
    <d v="2003-11-25T00:00:00"/>
    <s v="Shipped"/>
    <n v="4"/>
    <x v="5"/>
    <n v="2003"/>
    <x v="2"/>
    <n v="136"/>
    <s v="S12_1666"/>
    <s v="Saveley &amp; Henriot, Co."/>
    <s v="78.32.5555"/>
    <s v="2, rue du Commerce"/>
    <m/>
    <s v="Lyon"/>
    <m/>
    <n v="69004"/>
    <s v="France"/>
    <s v="EMEA"/>
    <s v="Saveley"/>
    <s v="Mary"/>
    <s v="Medium"/>
    <n v="3800"/>
  </r>
  <r>
    <n v="10206"/>
    <n v="28"/>
    <n v="100"/>
    <n v="3"/>
    <n v="4056.36"/>
    <d v="2003-12-05T00:00:00"/>
    <s v="Shipped"/>
    <n v="4"/>
    <x v="6"/>
    <n v="2003"/>
    <x v="2"/>
    <n v="136"/>
    <s v="S12_1666"/>
    <s v="Canadian Gift Exchange Network"/>
    <s v="(604) 555-3392"/>
    <s v="1900 Oak St."/>
    <m/>
    <s v="Vancouver"/>
    <s v="BC"/>
    <s v="V3F 2K1"/>
    <s v="Canada"/>
    <s v="NA"/>
    <s v="Tannamuri"/>
    <s v="Yoshi"/>
    <s v="Medium"/>
    <n v="2800"/>
  </r>
  <r>
    <n v="10216"/>
    <n v="43"/>
    <n v="100"/>
    <n v="1"/>
    <n v="5759.42"/>
    <d v="2004-02-02T00:00:00"/>
    <s v="Shipped"/>
    <n v="1"/>
    <x v="0"/>
    <n v="2004"/>
    <x v="2"/>
    <n v="136"/>
    <s v="S12_1666"/>
    <s v="Auto Assoc. &amp; Cie."/>
    <s v="30.59.8555"/>
    <s v="67, avenue de l'Europe"/>
    <m/>
    <s v="Versailles"/>
    <m/>
    <n v="78000"/>
    <s v="France"/>
    <s v="EMEA"/>
    <s v="Tonini"/>
    <s v="Daniel"/>
    <s v="Medium"/>
    <n v="4300"/>
  </r>
  <r>
    <n v="10229"/>
    <n v="25"/>
    <n v="100"/>
    <n v="13"/>
    <n v="3451"/>
    <d v="2004-03-11T00:00:00"/>
    <s v="Shipped"/>
    <n v="1"/>
    <x v="11"/>
    <n v="2004"/>
    <x v="2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  <n v="2500"/>
  </r>
  <r>
    <n v="10245"/>
    <n v="38"/>
    <n v="100"/>
    <n v="6"/>
    <n v="5920.4"/>
    <d v="2004-05-04T00:00:00"/>
    <s v="Shipped"/>
    <n v="2"/>
    <x v="1"/>
    <n v="2004"/>
    <x v="2"/>
    <n v="136"/>
    <s v="S12_1666"/>
    <s v="Super Scale Inc."/>
    <n v="2035559545"/>
    <s v="567 North Pendale Street"/>
    <m/>
    <s v="New Haven"/>
    <s v="CT"/>
    <n v="97823"/>
    <s v="USA"/>
    <s v="NA"/>
    <s v="Murphy"/>
    <s v="Leslie"/>
    <s v="Medium"/>
    <n v="3800"/>
  </r>
  <r>
    <n v="10258"/>
    <n v="41"/>
    <n v="100"/>
    <n v="3"/>
    <n v="6668.24"/>
    <d v="2004-06-15T00:00:00"/>
    <s v="Shipped"/>
    <n v="2"/>
    <x v="9"/>
    <n v="2004"/>
    <x v="2"/>
    <n v="136"/>
    <s v="S12_1666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4100"/>
  </r>
  <r>
    <n v="10270"/>
    <n v="28"/>
    <n v="100"/>
    <n v="6"/>
    <n v="4094.72"/>
    <d v="2004-07-19T00:00:00"/>
    <s v="Shipped"/>
    <n v="3"/>
    <x v="2"/>
    <n v="2004"/>
    <x v="2"/>
    <n v="136"/>
    <s v="S12_16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2800"/>
  </r>
  <r>
    <n v="10281"/>
    <n v="25"/>
    <n v="100"/>
    <n v="13"/>
    <n v="2938.5"/>
    <d v="2004-08-19T00:00:00"/>
    <s v="Shipped"/>
    <n v="3"/>
    <x v="3"/>
    <n v="2004"/>
    <x v="2"/>
    <n v="136"/>
    <s v="S12_1666"/>
    <s v="Diecast Classics Inc."/>
    <n v="2155551555"/>
    <s v="7586 Pompton St."/>
    <m/>
    <s v="Allentown"/>
    <s v="PA"/>
    <n v="70267"/>
    <s v="USA"/>
    <s v="NA"/>
    <s v="Yu"/>
    <s v="Kyung"/>
    <s v="Small"/>
    <n v="2500"/>
  </r>
  <r>
    <n v="10291"/>
    <n v="41"/>
    <n v="100"/>
    <n v="8"/>
    <n v="6387.8"/>
    <d v="2004-09-08T00:00:00"/>
    <s v="Shipped"/>
    <n v="3"/>
    <x v="10"/>
    <n v="2004"/>
    <x v="2"/>
    <n v="136"/>
    <s v="S12_1666"/>
    <s v="Scandinavian Gift Ideas"/>
    <s v="0695-34 6555"/>
    <s v="?kergatan 24"/>
    <m/>
    <s v="Boras"/>
    <m/>
    <s v="S-844 67"/>
    <s v="Sweden"/>
    <s v="EMEA"/>
    <s v="Larsson"/>
    <s v="Maria"/>
    <s v="Medium"/>
    <n v="4100"/>
  </r>
  <r>
    <n v="10304"/>
    <n v="39"/>
    <n v="100"/>
    <n v="3"/>
    <n v="6396"/>
    <d v="2004-10-11T00:00:00"/>
    <s v="Shipped"/>
    <n v="4"/>
    <x v="4"/>
    <n v="2004"/>
    <x v="2"/>
    <n v="136"/>
    <s v="S12_1666"/>
    <s v="Auto Assoc. &amp; Cie."/>
    <s v="30.59.8555"/>
    <s v="67, avenue de l'Europe"/>
    <m/>
    <s v="Versailles"/>
    <m/>
    <n v="78000"/>
    <s v="France"/>
    <s v="EMEA"/>
    <s v="Tonini"/>
    <s v="Daniel"/>
    <s v="Medium"/>
    <n v="3900"/>
  </r>
  <r>
    <n v="10313"/>
    <n v="21"/>
    <n v="100"/>
    <n v="11"/>
    <n v="2669.1"/>
    <d v="2004-10-22T00:00:00"/>
    <s v="Shipped"/>
    <n v="4"/>
    <x v="4"/>
    <n v="2004"/>
    <x v="2"/>
    <n v="136"/>
    <s v="S12_1666"/>
    <s v="Canadian Gift Exchange Network"/>
    <s v="(604) 555-3392"/>
    <s v="1900 Oak St."/>
    <m/>
    <s v="Vancouver"/>
    <s v="BC"/>
    <s v="V3F 2K1"/>
    <s v="Canada"/>
    <s v="NA"/>
    <s v="Tannamuri"/>
    <s v="Yoshi"/>
    <s v="Small"/>
    <n v="2100"/>
  </r>
  <r>
    <n v="10322"/>
    <n v="27"/>
    <n v="100"/>
    <n v="9"/>
    <n v="4784.13"/>
    <d v="2004-11-04T00:00:00"/>
    <s v="Shipped"/>
    <n v="4"/>
    <x v="5"/>
    <n v="2004"/>
    <x v="2"/>
    <n v="136"/>
    <s v="S12_1666"/>
    <s v="Online Diecast Creations Co."/>
    <n v="6035558647"/>
    <s v="2304 Long Airport Avenue"/>
    <m/>
    <s v="Nashua"/>
    <s v="NH"/>
    <n v="62005"/>
    <s v="USA"/>
    <s v="NA"/>
    <s v="Young"/>
    <s v="Valarie"/>
    <s v="Medium"/>
    <n v="2700"/>
  </r>
  <r>
    <n v="10333"/>
    <n v="33"/>
    <n v="99.21"/>
    <n v="6"/>
    <n v="3273.93"/>
    <d v="2004-11-18T00:00:00"/>
    <s v="Shipped"/>
    <n v="4"/>
    <x v="5"/>
    <n v="2004"/>
    <x v="2"/>
    <n v="136"/>
    <s v="S12_1666"/>
    <s v="Mini Wheels Co."/>
    <n v="6505555787"/>
    <s v="5557 North Pendale Street"/>
    <m/>
    <s v="San Francisco"/>
    <s v="CA"/>
    <m/>
    <s v="USA"/>
    <s v="NA"/>
    <s v="Murphy"/>
    <s v="Julie"/>
    <s v="Medium"/>
    <n v="3273.93"/>
  </r>
  <r>
    <n v="10347"/>
    <n v="29"/>
    <n v="100"/>
    <n v="3"/>
    <n v="3586.43"/>
    <d v="2004-11-29T00:00:00"/>
    <s v="Shipped"/>
    <n v="4"/>
    <x v="5"/>
    <n v="2004"/>
    <x v="2"/>
    <n v="136"/>
    <s v="S12_166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2900"/>
  </r>
  <r>
    <n v="10357"/>
    <n v="49"/>
    <n v="100"/>
    <n v="8"/>
    <n v="5960.36"/>
    <d v="2004-12-10T00:00:00"/>
    <s v="Shipped"/>
    <n v="4"/>
    <x v="6"/>
    <n v="2004"/>
    <x v="2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  <n v="4900"/>
  </r>
  <r>
    <n v="10370"/>
    <n v="49"/>
    <n v="100"/>
    <n v="8"/>
    <n v="8470.14"/>
    <d v="2005-01-20T00:00:00"/>
    <s v="Shipped"/>
    <n v="1"/>
    <x v="7"/>
    <n v="2005"/>
    <x v="2"/>
    <n v="136"/>
    <s v="S12_1666"/>
    <s v="Anna's Decorations, Ltd"/>
    <s v="02 9936 8555"/>
    <s v="201 Miller Street"/>
    <s v="Level 15"/>
    <s v="North Sydney"/>
    <s v="NSW"/>
    <n v="2060"/>
    <s v="Australia"/>
    <s v="APAC"/>
    <s v="O'Hara"/>
    <s v="Anna"/>
    <s v="Large"/>
    <n v="4900"/>
  </r>
  <r>
    <n v="10381"/>
    <n v="20"/>
    <n v="100"/>
    <n v="1"/>
    <n v="2952"/>
    <d v="2005-02-17T00:00:00"/>
    <s v="Shipped"/>
    <n v="1"/>
    <x v="0"/>
    <n v="2005"/>
    <x v="2"/>
    <n v="136"/>
    <s v="S12_1666"/>
    <s v="Corporate Gift Ideas Co."/>
    <n v="6505551386"/>
    <s v="7734 Strong St."/>
    <m/>
    <s v="San Francisco"/>
    <s v="CA"/>
    <m/>
    <s v="USA"/>
    <s v="NA"/>
    <s v="Brown"/>
    <s v="Julie"/>
    <s v="Small"/>
    <n v="2000"/>
  </r>
  <r>
    <n v="10391"/>
    <n v="39"/>
    <n v="63.2"/>
    <n v="9"/>
    <n v="2464.8000000000002"/>
    <d v="2005-03-09T00:00:00"/>
    <s v="Shipped"/>
    <n v="1"/>
    <x v="11"/>
    <n v="2005"/>
    <x v="2"/>
    <n v="136"/>
    <s v="S12_166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464.8000000000002"/>
  </r>
  <r>
    <n v="10411"/>
    <n v="40"/>
    <n v="100"/>
    <n v="6"/>
    <n v="6232"/>
    <d v="2005-05-01T00:00:00"/>
    <s v="Shipped"/>
    <n v="2"/>
    <x v="1"/>
    <n v="2005"/>
    <x v="2"/>
    <n v="136"/>
    <s v="S12_1666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4000"/>
  </r>
  <r>
    <n v="10424"/>
    <n v="49"/>
    <n v="100"/>
    <n v="3"/>
    <n v="7969.36"/>
    <d v="2005-05-31T00:00:00"/>
    <s v="In Process"/>
    <n v="2"/>
    <x v="1"/>
    <n v="2005"/>
    <x v="2"/>
    <n v="136"/>
    <s v="S12_1666"/>
    <s v="Euro Shopping Channel"/>
    <s v="(91) 555 94 44"/>
    <s v="C/ Moralzarzal, 86"/>
    <m/>
    <s v="Madrid"/>
    <m/>
    <n v="28034"/>
    <s v="Spain"/>
    <s v="EMEA"/>
    <s v="Freyre"/>
    <s v="Diego"/>
    <s v="Large"/>
    <n v="4900"/>
  </r>
  <r>
    <n v="10107"/>
    <n v="21"/>
    <n v="100"/>
    <n v="1"/>
    <n v="3036.6"/>
    <d v="2003-02-24T00:00:00"/>
    <s v="Shipped"/>
    <n v="1"/>
    <x v="0"/>
    <n v="2003"/>
    <x v="0"/>
    <n v="150"/>
    <s v="S12_2823"/>
    <s v="Land of Toys Inc."/>
    <n v="2125557818"/>
    <s v="897 Long Airport Avenue"/>
    <m/>
    <s v="NYC"/>
    <s v="NY"/>
    <n v="10022"/>
    <s v="USA"/>
    <s v="NA"/>
    <s v="Yu"/>
    <s v="Kwai"/>
    <s v="Medium"/>
    <n v="2100"/>
  </r>
  <r>
    <n v="10121"/>
    <n v="50"/>
    <n v="100"/>
    <n v="4"/>
    <n v="8284"/>
    <d v="2003-05-07T00:00:00"/>
    <s v="Shipped"/>
    <n v="2"/>
    <x v="1"/>
    <n v="2003"/>
    <x v="0"/>
    <n v="150"/>
    <s v="S12_2823"/>
    <s v="Reims Collectables"/>
    <s v="26.47.1555"/>
    <s v="59 rue de l'Abbaye"/>
    <m/>
    <s v="Reims"/>
    <m/>
    <n v="51100"/>
    <s v="France"/>
    <s v="EMEA"/>
    <s v="Henriot"/>
    <s v="Paul"/>
    <s v="Large"/>
    <n v="5000"/>
  </r>
  <r>
    <n v="10134"/>
    <n v="20"/>
    <n v="100"/>
    <n v="1"/>
    <n v="2711.2"/>
    <d v="2003-07-01T00:00:00"/>
    <s v="Shipped"/>
    <n v="3"/>
    <x v="2"/>
    <n v="2003"/>
    <x v="0"/>
    <n v="150"/>
    <s v="S12_2823"/>
    <s v="Lyon Souveniers"/>
    <s v="+33 1 46 62 7555"/>
    <s v="27 rue du Colonel Pierre Avia"/>
    <m/>
    <s v="Paris"/>
    <m/>
    <n v="75508"/>
    <s v="France"/>
    <s v="EMEA"/>
    <s v="Da Cunha"/>
    <s v="Daniel"/>
    <s v="Small"/>
    <n v="2000"/>
  </r>
  <r>
    <n v="10145"/>
    <n v="49"/>
    <n v="100"/>
    <n v="5"/>
    <n v="8339.7999999999993"/>
    <d v="2003-08-25T00:00:00"/>
    <s v="Shipped"/>
    <n v="3"/>
    <x v="3"/>
    <n v="2003"/>
    <x v="0"/>
    <n v="150"/>
    <s v="S12_2823"/>
    <s v="Toys4GrownUps.com"/>
    <n v="6265557265"/>
    <s v="78934 Hillside Dr."/>
    <m/>
    <s v="Pasadena"/>
    <s v="CA"/>
    <n v="90003"/>
    <s v="USA"/>
    <s v="NA"/>
    <s v="Young"/>
    <s v="Julie"/>
    <s v="Large"/>
    <n v="4900"/>
  </r>
  <r>
    <n v="10159"/>
    <n v="38"/>
    <n v="100"/>
    <n v="13"/>
    <n v="6238.84"/>
    <d v="2003-10-10T00:00:00"/>
    <s v="Shipped"/>
    <n v="4"/>
    <x v="4"/>
    <n v="2003"/>
    <x v="0"/>
    <n v="150"/>
    <s v="S12_2823"/>
    <s v="Corporate Gift Ideas Co."/>
    <n v="6505551386"/>
    <s v="7734 Strong St."/>
    <m/>
    <s v="San Francisco"/>
    <s v="CA"/>
    <m/>
    <s v="USA"/>
    <s v="NA"/>
    <s v="Brown"/>
    <s v="Julie"/>
    <s v="Medium"/>
    <n v="3800"/>
  </r>
  <r>
    <n v="10169"/>
    <n v="35"/>
    <n v="100"/>
    <n v="13"/>
    <n v="4639.25"/>
    <d v="2003-11-04T00:00:00"/>
    <s v="Shipped"/>
    <n v="4"/>
    <x v="5"/>
    <n v="2003"/>
    <x v="0"/>
    <n v="150"/>
    <s v="S12_2823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500"/>
  </r>
  <r>
    <n v="10180"/>
    <n v="40"/>
    <n v="100"/>
    <n v="8"/>
    <n v="6747.6"/>
    <d v="2003-11-11T00:00:00"/>
    <s v="Shipped"/>
    <n v="4"/>
    <x v="5"/>
    <n v="2003"/>
    <x v="0"/>
    <n v="150"/>
    <s v="S12_2823"/>
    <s v="Daedalus Designs Imports"/>
    <s v="20.16.1555"/>
    <s v="184, chausse de Tournai"/>
    <m/>
    <s v="Lille"/>
    <m/>
    <n v="59000"/>
    <s v="France"/>
    <s v="EMEA"/>
    <s v="Rance"/>
    <s v="Martine"/>
    <s v="Medium"/>
    <n v="4000"/>
  </r>
  <r>
    <n v="10189"/>
    <n v="28"/>
    <n v="100"/>
    <n v="1"/>
    <n v="4512.4799999999996"/>
    <d v="2003-11-18T00:00:00"/>
    <s v="Shipped"/>
    <n v="4"/>
    <x v="5"/>
    <n v="2003"/>
    <x v="0"/>
    <n v="150"/>
    <s v="S12_2823"/>
    <s v="Toys4GrownUps.com"/>
    <n v="6265557265"/>
    <s v="78934 Hillside Dr."/>
    <m/>
    <s v="Pasadena"/>
    <s v="CA"/>
    <n v="90003"/>
    <s v="USA"/>
    <s v="NA"/>
    <s v="Young"/>
    <s v="Julie"/>
    <s v="Medium"/>
    <n v="2800"/>
  </r>
  <r>
    <n v="10201"/>
    <n v="25"/>
    <n v="100"/>
    <n v="1"/>
    <n v="4029"/>
    <d v="2003-12-01T00:00:00"/>
    <s v="Shipped"/>
    <n v="4"/>
    <x v="6"/>
    <n v="2003"/>
    <x v="0"/>
    <n v="150"/>
    <s v="S12_2823"/>
    <s v="Mini Wheels Co."/>
    <n v="6505555787"/>
    <s v="5557 North Pendale Street"/>
    <m/>
    <s v="San Francisco"/>
    <s v="CA"/>
    <m/>
    <s v="USA"/>
    <s v="NA"/>
    <s v="Murphy"/>
    <s v="Julie"/>
    <s v="Medium"/>
    <n v="2500"/>
  </r>
  <r>
    <n v="10211"/>
    <n v="36"/>
    <n v="100"/>
    <n v="13"/>
    <n v="4771.8"/>
    <d v="2004-01-15T00:00:00"/>
    <s v="Shipped"/>
    <n v="1"/>
    <x v="7"/>
    <n v="2004"/>
    <x v="0"/>
    <n v="150"/>
    <s v="S12_2823"/>
    <s v="Auto Canal Petit"/>
    <s v="(1) 47.55.6555"/>
    <s v="25, rue Lauriston"/>
    <m/>
    <s v="Paris"/>
    <m/>
    <n v="75016"/>
    <s v="France"/>
    <s v="EMEA"/>
    <s v="Perrier"/>
    <s v="Dominique"/>
    <s v="Medium"/>
    <n v="3600"/>
  </r>
  <r>
    <n v="10224"/>
    <n v="43"/>
    <n v="100"/>
    <n v="6"/>
    <n v="6087.94"/>
    <d v="2004-02-21T00:00:00"/>
    <s v="Shipped"/>
    <n v="1"/>
    <x v="0"/>
    <n v="2004"/>
    <x v="0"/>
    <n v="150"/>
    <s v="S12_2823"/>
    <s v="Daedalus Designs Imports"/>
    <s v="20.16.1555"/>
    <s v="184, chausse de Tournai"/>
    <m/>
    <s v="Lille"/>
    <m/>
    <n v="59000"/>
    <s v="France"/>
    <s v="EMEA"/>
    <s v="Rance"/>
    <s v="Martine"/>
    <s v="Medium"/>
    <n v="4300"/>
  </r>
  <r>
    <n v="10237"/>
    <n v="32"/>
    <n v="100"/>
    <n v="6"/>
    <n v="4193.28"/>
    <d v="2004-04-05T00:00:00"/>
    <s v="Shipped"/>
    <n v="2"/>
    <x v="8"/>
    <n v="2004"/>
    <x v="0"/>
    <n v="150"/>
    <s v="S12_2823"/>
    <s v="Vitachrome Inc."/>
    <n v="2125551500"/>
    <s v="2678 Kingston Rd."/>
    <s v="Suite 101"/>
    <s v="NYC"/>
    <s v="NY"/>
    <n v="10022"/>
    <s v="USA"/>
    <s v="NA"/>
    <s v="Frick"/>
    <s v="Michael"/>
    <s v="Medium"/>
    <n v="3200"/>
  </r>
  <r>
    <n v="10251"/>
    <n v="46"/>
    <n v="100"/>
    <n v="1"/>
    <n v="7552.28"/>
    <d v="2004-05-18T00:00:00"/>
    <s v="Shipped"/>
    <n v="2"/>
    <x v="1"/>
    <n v="2004"/>
    <x v="0"/>
    <n v="150"/>
    <s v="S12_2823"/>
    <s v="Tekni Collectables Inc."/>
    <n v="2015559350"/>
    <s v="7476 Moss Rd."/>
    <m/>
    <s v="Newark"/>
    <s v="NJ"/>
    <n v="94019"/>
    <s v="USA"/>
    <s v="NA"/>
    <s v="Brown"/>
    <s v="William"/>
    <s v="Large"/>
    <n v="4600"/>
  </r>
  <r>
    <n v="10263"/>
    <n v="48"/>
    <n v="100"/>
    <n v="1"/>
    <n v="6434.4"/>
    <d v="2004-06-28T00:00:00"/>
    <s v="Shipped"/>
    <n v="2"/>
    <x v="9"/>
    <n v="2004"/>
    <x v="0"/>
    <n v="150"/>
    <s v="S12_2823"/>
    <s v="Gift Depot Inc."/>
    <n v="2035552570"/>
    <s v="25593 South Bay Ln."/>
    <m/>
    <s v="Bridgewater"/>
    <s v="CT"/>
    <n v="97562"/>
    <s v="USA"/>
    <s v="NA"/>
    <s v="King"/>
    <s v="Julie"/>
    <s v="Medium"/>
    <n v="4800"/>
  </r>
  <r>
    <n v="10276"/>
    <n v="43"/>
    <n v="100"/>
    <n v="14"/>
    <n v="5181.5"/>
    <d v="2004-08-02T00:00:00"/>
    <s v="Shipped"/>
    <n v="3"/>
    <x v="3"/>
    <n v="2004"/>
    <x v="0"/>
    <n v="150"/>
    <s v="S12_2823"/>
    <s v="Online Mini Collectables"/>
    <n v="6175557555"/>
    <s v="7635 Spinnaker Dr."/>
    <m/>
    <s v="Brickhaven"/>
    <s v="MA"/>
    <n v="58339"/>
    <s v="USA"/>
    <s v="NA"/>
    <s v="Barajas"/>
    <s v="Miguel"/>
    <s v="Medium"/>
    <n v="4300"/>
  </r>
  <r>
    <n v="10285"/>
    <n v="49"/>
    <n v="100"/>
    <n v="5"/>
    <n v="6863.92"/>
    <d v="2004-08-27T00:00:00"/>
    <s v="Shipped"/>
    <n v="3"/>
    <x v="3"/>
    <n v="2004"/>
    <x v="0"/>
    <n v="150"/>
    <s v="S12_2823"/>
    <s v="Marta's Replicas Co."/>
    <n v="6175558555"/>
    <s v="39323 Spinnaker Dr."/>
    <m/>
    <s v="Cambridge"/>
    <s v="MA"/>
    <n v="51247"/>
    <s v="USA"/>
    <s v="NA"/>
    <s v="Hernandez"/>
    <s v="Marta"/>
    <s v="Medium"/>
    <n v="4900"/>
  </r>
  <r>
    <n v="10299"/>
    <n v="24"/>
    <n v="100"/>
    <n v="8"/>
    <n v="4157.04"/>
    <d v="2004-09-30T00:00:00"/>
    <s v="Shipped"/>
    <n v="3"/>
    <x v="10"/>
    <n v="2004"/>
    <x v="0"/>
    <n v="150"/>
    <s v="S12_2823"/>
    <s v="Toys of Finland, Co."/>
    <s v="90-224 8555"/>
    <s v="Keskuskatu 45"/>
    <m/>
    <s v="Helsinki"/>
    <m/>
    <n v="21240"/>
    <s v="Finland"/>
    <s v="EMEA"/>
    <s v="Karttunen"/>
    <s v="Matti"/>
    <s v="Medium"/>
    <n v="2400"/>
  </r>
  <r>
    <n v="10309"/>
    <n v="26"/>
    <n v="100"/>
    <n v="4"/>
    <n v="4660.24"/>
    <d v="2004-10-15T00:00:00"/>
    <s v="Shipped"/>
    <n v="4"/>
    <x v="4"/>
    <n v="2004"/>
    <x v="0"/>
    <n v="150"/>
    <s v="S12_2823"/>
    <s v="Baane Mini Imports"/>
    <s v="07-98 9555"/>
    <s v="Erling Skakkes gate 78"/>
    <m/>
    <s v="Stavern"/>
    <m/>
    <n v="4110"/>
    <s v="Norway"/>
    <s v="EMEA"/>
    <s v="Bergulfsen"/>
    <s v="Jonas"/>
    <s v="Medium"/>
    <n v="2600"/>
  </r>
  <r>
    <n v="10319"/>
    <n v="30"/>
    <n v="100"/>
    <n v="9"/>
    <n v="4111.8"/>
    <d v="2004-11-03T00:00:00"/>
    <s v="Shipped"/>
    <n v="4"/>
    <x v="5"/>
    <n v="2004"/>
    <x v="0"/>
    <n v="150"/>
    <s v="S12_2823"/>
    <s v="Microscale Inc."/>
    <n v="2125551957"/>
    <s v="5290 North Pendale Street"/>
    <s v="Suite 200"/>
    <s v="NYC"/>
    <s v="NY"/>
    <n v="10022"/>
    <s v="USA"/>
    <s v="NA"/>
    <s v="Kuo"/>
    <s v="Kee"/>
    <s v="Medium"/>
    <n v="3000"/>
  </r>
  <r>
    <n v="10329"/>
    <n v="24"/>
    <n v="100"/>
    <n v="6"/>
    <n v="3542.64"/>
    <d v="2004-11-15T00:00:00"/>
    <s v="Shipped"/>
    <n v="4"/>
    <x v="5"/>
    <n v="2004"/>
    <x v="0"/>
    <n v="150"/>
    <s v="S12_2823"/>
    <s v="Land of Toys Inc."/>
    <n v="2125557818"/>
    <s v="897 Long Airport Avenue"/>
    <m/>
    <s v="NYC"/>
    <s v="NY"/>
    <n v="10022"/>
    <s v="USA"/>
    <s v="NA"/>
    <s v="Yu"/>
    <s v="Kwai"/>
    <s v="Medium"/>
    <n v="2400"/>
  </r>
  <r>
    <n v="10341"/>
    <n v="55"/>
    <n v="100"/>
    <n v="8"/>
    <n v="8118.55"/>
    <d v="2004-11-24T00:00:00"/>
    <s v="Shipped"/>
    <n v="4"/>
    <x v="5"/>
    <n v="2004"/>
    <x v="0"/>
    <n v="150"/>
    <s v="S12_2823"/>
    <s v="Salzburg Collectables"/>
    <s v="6562-9555"/>
    <s v="Geislweg 14"/>
    <m/>
    <s v="Salzburg"/>
    <m/>
    <n v="5020"/>
    <s v="Austria"/>
    <s v="EMEA"/>
    <s v="Pipps"/>
    <s v="Georg"/>
    <s v="Large"/>
    <n v="5500"/>
  </r>
  <r>
    <n v="10362"/>
    <n v="22"/>
    <n v="100"/>
    <n v="1"/>
    <n v="3877.06"/>
    <d v="2005-01-05T00:00:00"/>
    <s v="Shipped"/>
    <n v="1"/>
    <x v="7"/>
    <n v="2005"/>
    <x v="0"/>
    <n v="150"/>
    <s v="S12_2823"/>
    <s v="Technics Stores Inc."/>
    <n v="6505556809"/>
    <s v="9408 Furth Circle"/>
    <m/>
    <s v="Burlingame"/>
    <s v="CA"/>
    <n v="94217"/>
    <s v="USA"/>
    <s v="NA"/>
    <s v="Hirano"/>
    <s v="Juri"/>
    <s v="Medium"/>
    <n v="2200"/>
  </r>
  <r>
    <n v="10375"/>
    <n v="49"/>
    <n v="78.92"/>
    <n v="13"/>
    <n v="3867.08"/>
    <d v="2005-02-03T00:00:00"/>
    <s v="Shipped"/>
    <n v="1"/>
    <x v="0"/>
    <n v="2005"/>
    <x v="0"/>
    <n v="150"/>
    <s v="S12_2823"/>
    <s v="La Rochelle Gifts"/>
    <s v="40.67.8555"/>
    <s v="67, rue des Cinquante Otages"/>
    <m/>
    <s v="Nantes"/>
    <m/>
    <n v="44000"/>
    <s v="France"/>
    <s v="EMEA"/>
    <s v="Labrune"/>
    <s v="Janine"/>
    <s v="Medium"/>
    <n v="3867.08"/>
  </r>
  <r>
    <n v="10388"/>
    <n v="44"/>
    <n v="100"/>
    <n v="6"/>
    <n v="5951.44"/>
    <d v="2005-03-03T00:00:00"/>
    <s v="Shipped"/>
    <n v="1"/>
    <x v="11"/>
    <n v="2005"/>
    <x v="0"/>
    <n v="150"/>
    <s v="S12_2823"/>
    <s v="FunGiftIdeas.com"/>
    <n v="5085552555"/>
    <s v="1785 First Street"/>
    <m/>
    <s v="New Bedford"/>
    <s v="MA"/>
    <n v="50553"/>
    <s v="USA"/>
    <s v="NA"/>
    <s v="Benitez"/>
    <s v="Violeta"/>
    <s v="Medium"/>
    <n v="4400"/>
  </r>
  <r>
    <n v="10403"/>
    <n v="66"/>
    <n v="100"/>
    <n v="6"/>
    <n v="8648.64"/>
    <d v="2005-04-08T00:00:00"/>
    <s v="Shipped"/>
    <n v="2"/>
    <x v="8"/>
    <n v="2005"/>
    <x v="0"/>
    <n v="150"/>
    <s v="S12_2823"/>
    <s v="UK Collectables, Ltd."/>
    <s v="(171) 555-2282"/>
    <s v="Berkeley Gardens 12  Brewery"/>
    <m/>
    <s v="Liverpool"/>
    <m/>
    <s v="WX1 6LT"/>
    <s v="UK"/>
    <s v="EMEA"/>
    <s v="Devon"/>
    <s v="Elizabeth"/>
    <s v="Large"/>
    <n v="6600"/>
  </r>
  <r>
    <n v="10417"/>
    <n v="21"/>
    <n v="100"/>
    <n v="1"/>
    <n v="3447.78"/>
    <d v="2005-05-13T00:00:00"/>
    <s v="Disputed"/>
    <n v="2"/>
    <x v="1"/>
    <n v="2005"/>
    <x v="0"/>
    <n v="150"/>
    <s v="S12_2823"/>
    <s v="Euro Shopping Channel"/>
    <s v="(91) 555 94 44"/>
    <s v="C/ Moralzarzal, 86"/>
    <m/>
    <s v="Madrid"/>
    <m/>
    <n v="28034"/>
    <s v="Spain"/>
    <s v="EMEA"/>
    <s v="Freyre"/>
    <s v="Diego"/>
    <s v="Medium"/>
    <n v="2100"/>
  </r>
  <r>
    <n v="10104"/>
    <n v="34"/>
    <n v="100"/>
    <n v="1"/>
    <n v="5958.5"/>
    <d v="2003-01-31T00:00:00"/>
    <s v="Shipped"/>
    <n v="1"/>
    <x v="7"/>
    <n v="2003"/>
    <x v="1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Medium"/>
    <n v="3400"/>
  </r>
  <r>
    <n v="10117"/>
    <n v="43"/>
    <n v="100"/>
    <n v="10"/>
    <n v="5911.64"/>
    <d v="2003-04-16T00:00:00"/>
    <s v="Shipped"/>
    <n v="2"/>
    <x v="8"/>
    <n v="2003"/>
    <x v="1"/>
    <n v="151"/>
    <s v="S12_314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4300"/>
  </r>
  <r>
    <n v="10127"/>
    <n v="46"/>
    <n v="100"/>
    <n v="3"/>
    <n v="7366.44"/>
    <d v="2003-06-03T00:00:00"/>
    <s v="Shipped"/>
    <n v="2"/>
    <x v="9"/>
    <n v="2003"/>
    <x v="1"/>
    <n v="151"/>
    <s v="S12_3148"/>
    <s v="Muscle Machine Inc"/>
    <n v="2125557413"/>
    <s v="4092 Furth Circle"/>
    <s v="Suite 400"/>
    <s v="NYC"/>
    <s v="NY"/>
    <n v="10022"/>
    <s v="USA"/>
    <s v="NA"/>
    <s v="Young"/>
    <s v="Jeff"/>
    <s v="Large"/>
    <n v="4600"/>
  </r>
  <r>
    <n v="10142"/>
    <n v="33"/>
    <n v="100"/>
    <n v="13"/>
    <n v="4985.6400000000003"/>
    <d v="2003-08-08T00:00:00"/>
    <s v="Shipped"/>
    <n v="3"/>
    <x v="3"/>
    <n v="2003"/>
    <x v="1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  <n v="3300"/>
  </r>
  <r>
    <n v="10153"/>
    <n v="42"/>
    <n v="100"/>
    <n v="12"/>
    <n v="5393.64"/>
    <d v="2003-09-28T00:00:00"/>
    <s v="Shipped"/>
    <n v="3"/>
    <x v="10"/>
    <n v="2003"/>
    <x v="1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Medium"/>
    <n v="4200"/>
  </r>
  <r>
    <n v="10165"/>
    <n v="34"/>
    <n v="100"/>
    <n v="4"/>
    <n v="4880.0200000000004"/>
    <d v="2003-10-22T00:00:00"/>
    <s v="Shipped"/>
    <n v="4"/>
    <x v="4"/>
    <n v="2003"/>
    <x v="1"/>
    <n v="151"/>
    <s v="S12_314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3400"/>
  </r>
  <r>
    <n v="10176"/>
    <n v="47"/>
    <n v="100"/>
    <n v="3"/>
    <n v="8378.69"/>
    <d v="2003-11-06T00:00:00"/>
    <s v="Shipped"/>
    <n v="4"/>
    <x v="5"/>
    <n v="2003"/>
    <x v="1"/>
    <n v="151"/>
    <s v="S12_3148"/>
    <s v="L'ordine Souveniers"/>
    <s v="0522-556555"/>
    <s v="Strada Provinciale 124"/>
    <m/>
    <s v="Reggio Emilia"/>
    <m/>
    <n v="42100"/>
    <s v="Italy"/>
    <s v="EMEA"/>
    <s v="Moroni"/>
    <s v="Maurizio"/>
    <s v="Large"/>
    <n v="4700"/>
  </r>
  <r>
    <n v="10185"/>
    <n v="33"/>
    <n v="100"/>
    <n v="14"/>
    <n v="4038.21"/>
    <d v="2003-11-14T00:00:00"/>
    <s v="Shipped"/>
    <n v="4"/>
    <x v="5"/>
    <n v="2003"/>
    <x v="1"/>
    <n v="151"/>
    <s v="S12_3148"/>
    <s v="Mini Creations Ltd."/>
    <n v="5085559555"/>
    <s v="4575 Hillside Dr."/>
    <m/>
    <s v="New Bedford"/>
    <s v="MA"/>
    <n v="50553"/>
    <s v="USA"/>
    <s v="NA"/>
    <s v="Tam"/>
    <s v="Wing C"/>
    <s v="Medium"/>
    <n v="3300"/>
  </r>
  <r>
    <n v="10196"/>
    <n v="24"/>
    <n v="100"/>
    <n v="6"/>
    <n v="3807.12"/>
    <d v="2003-11-26T00:00:00"/>
    <s v="Shipped"/>
    <n v="4"/>
    <x v="5"/>
    <n v="2003"/>
    <x v="1"/>
    <n v="151"/>
    <s v="S12_3148"/>
    <s v="Super Scale Inc."/>
    <n v="2035559545"/>
    <s v="567 North Pendale Street"/>
    <m/>
    <s v="New Haven"/>
    <s v="CT"/>
    <n v="97823"/>
    <s v="USA"/>
    <s v="NA"/>
    <s v="Murphy"/>
    <s v="Leslie"/>
    <s v="Medium"/>
    <n v="2400"/>
  </r>
  <r>
    <n v="10208"/>
    <n v="26"/>
    <n v="100"/>
    <n v="14"/>
    <n v="3142.36"/>
    <d v="2004-01-02T00:00:00"/>
    <s v="Shipped"/>
    <n v="1"/>
    <x v="7"/>
    <n v="2004"/>
    <x v="1"/>
    <n v="151"/>
    <s v="S12_3148"/>
    <s v="Saveley &amp; Henriot, Co."/>
    <s v="78.32.5555"/>
    <s v="2, rue du Commerce"/>
    <m/>
    <s v="Lyon"/>
    <m/>
    <n v="69004"/>
    <s v="France"/>
    <s v="EMEA"/>
    <s v="Saveley"/>
    <s v="Mary"/>
    <s v="Medium"/>
    <n v="2600"/>
  </r>
  <r>
    <n v="10220"/>
    <n v="30"/>
    <n v="100"/>
    <n v="3"/>
    <n v="4713.6000000000004"/>
    <d v="2004-02-12T00:00:00"/>
    <s v="Shipped"/>
    <n v="1"/>
    <x v="0"/>
    <n v="2004"/>
    <x v="1"/>
    <n v="151"/>
    <s v="S12_3148"/>
    <s v="Clover Collections, Co."/>
    <s v="+353 1862 1555"/>
    <s v="25 Maiden Lane"/>
    <s v="Floor No. 4"/>
    <s v="Dublin"/>
    <m/>
    <n v="2"/>
    <s v="Ireland"/>
    <s v="EMEA"/>
    <s v="Cassidy"/>
    <s v="Dean"/>
    <s v="Medium"/>
    <n v="3000"/>
  </r>
  <r>
    <n v="10230"/>
    <n v="43"/>
    <n v="100"/>
    <n v="1"/>
    <n v="7016.31"/>
    <d v="2004-03-15T00:00:00"/>
    <s v="Shipped"/>
    <n v="1"/>
    <x v="11"/>
    <n v="2004"/>
    <x v="1"/>
    <n v="151"/>
    <s v="S12_3148"/>
    <s v="Blauer See Auto, Co."/>
    <s v="+49 69 66 90 2555"/>
    <s v="Lyonerstr. 34"/>
    <m/>
    <s v="Frankfurt"/>
    <m/>
    <n v="60528"/>
    <s v="Germany"/>
    <s v="EMEA"/>
    <s v="Keitel"/>
    <s v="Roland"/>
    <s v="Large"/>
    <n v="4300"/>
  </r>
  <r>
    <n v="10247"/>
    <n v="25"/>
    <n v="100"/>
    <n v="3"/>
    <n v="4381.25"/>
    <d v="2004-05-05T00:00:00"/>
    <s v="Shipped"/>
    <n v="2"/>
    <x v="1"/>
    <n v="2004"/>
    <x v="1"/>
    <n v="151"/>
    <s v="S12_3148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2500"/>
  </r>
  <r>
    <n v="10272"/>
    <n v="27"/>
    <n v="100"/>
    <n v="3"/>
    <n v="4283.01"/>
    <d v="2004-07-20T00:00:00"/>
    <s v="Shipped"/>
    <n v="3"/>
    <x v="2"/>
    <n v="2004"/>
    <x v="1"/>
    <n v="151"/>
    <s v="S12_3148"/>
    <s v="Diecast Classics Inc."/>
    <n v="2155551555"/>
    <s v="7586 Pompton St."/>
    <m/>
    <s v="Allentown"/>
    <s v="PA"/>
    <n v="70267"/>
    <s v="USA"/>
    <s v="NA"/>
    <s v="Yu"/>
    <s v="Kyung"/>
    <s v="Medium"/>
    <n v="2700"/>
  </r>
  <r>
    <n v="10282"/>
    <n v="27"/>
    <n v="100"/>
    <n v="6"/>
    <n v="4364.82"/>
    <d v="2004-08-20T00:00:00"/>
    <s v="Shipped"/>
    <n v="3"/>
    <x v="3"/>
    <n v="2004"/>
    <x v="1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  <n v="2700"/>
  </r>
  <r>
    <n v="10293"/>
    <n v="24"/>
    <n v="100"/>
    <n v="9"/>
    <n v="4242.24"/>
    <d v="2004-09-09T00:00:00"/>
    <s v="Shipped"/>
    <n v="3"/>
    <x v="10"/>
    <n v="2004"/>
    <x v="1"/>
    <n v="151"/>
    <s v="S12_3148"/>
    <s v="Amica Models &amp; Co."/>
    <s v="011-4988555"/>
    <s v="Via Monte Bianco 34"/>
    <m/>
    <s v="Torino"/>
    <m/>
    <n v="10100"/>
    <s v="Italy"/>
    <s v="EMEA"/>
    <s v="Accorti"/>
    <s v="Paolo"/>
    <s v="Medium"/>
    <n v="2400"/>
  </r>
  <r>
    <n v="10306"/>
    <n v="34"/>
    <n v="100"/>
    <n v="14"/>
    <n v="4982.7"/>
    <d v="2004-10-14T00:00:00"/>
    <s v="Shipped"/>
    <n v="4"/>
    <x v="4"/>
    <n v="2004"/>
    <x v="1"/>
    <n v="151"/>
    <s v="S12_3148"/>
    <s v="AV Stores, Co."/>
    <s v="(171) 555-1555"/>
    <s v="Fauntleroy Circus"/>
    <m/>
    <s v="Manchester"/>
    <m/>
    <s v="EC2 5NT"/>
    <s v="UK"/>
    <s v="EMEA"/>
    <s v="Ashworth"/>
    <s v="Victoria"/>
    <s v="Medium"/>
    <n v="3400"/>
  </r>
  <r>
    <n v="10314"/>
    <n v="46"/>
    <n v="100"/>
    <n v="6"/>
    <n v="6393.54"/>
    <d v="2004-10-22T00:00:00"/>
    <s v="Shipped"/>
    <n v="4"/>
    <x v="4"/>
    <n v="2004"/>
    <x v="1"/>
    <n v="151"/>
    <s v="S12_3148"/>
    <s v="Heintze Collectables"/>
    <s v="86 21 3555"/>
    <s v="Smagsloget 45"/>
    <m/>
    <s v="Aaarhus"/>
    <m/>
    <n v="8200"/>
    <s v="Denmark"/>
    <s v="EMEA"/>
    <s v="Ibsen"/>
    <s v="Palle"/>
    <s v="Medium"/>
    <n v="4600"/>
  </r>
  <r>
    <n v="10324"/>
    <n v="27"/>
    <n v="54.33"/>
    <n v="1"/>
    <n v="1466.91"/>
    <d v="2004-11-05T00:00:00"/>
    <s v="Shipped"/>
    <n v="4"/>
    <x v="5"/>
    <n v="2004"/>
    <x v="1"/>
    <n v="151"/>
    <s v="S12_3148"/>
    <s v="Vitachrome Inc."/>
    <n v="2125551500"/>
    <s v="2678 Kingston Rd."/>
    <s v="Suite 101"/>
    <s v="NYC"/>
    <s v="NY"/>
    <n v="10022"/>
    <s v="USA"/>
    <s v="NA"/>
    <s v="Frick"/>
    <s v="Michael"/>
    <s v="Small"/>
    <n v="1466.9099999999999"/>
  </r>
  <r>
    <n v="10336"/>
    <n v="33"/>
    <n v="100"/>
    <n v="11"/>
    <n v="4059.33"/>
    <d v="2004-11-20T00:00:00"/>
    <s v="Shipped"/>
    <n v="4"/>
    <x v="5"/>
    <n v="2004"/>
    <x v="1"/>
    <n v="151"/>
    <s v="S12_3148"/>
    <s v="La Corne D'abondance, Co."/>
    <s v="(1) 42.34.2555"/>
    <s v="265, boulevard Charonne"/>
    <m/>
    <s v="Paris"/>
    <m/>
    <n v="75012"/>
    <s v="France"/>
    <s v="EMEA"/>
    <s v="Bertrand"/>
    <s v="Marie"/>
    <s v="Medium"/>
    <n v="3300"/>
  </r>
  <r>
    <n v="10348"/>
    <n v="47"/>
    <n v="100"/>
    <n v="4"/>
    <n v="4801.5200000000004"/>
    <d v="2004-11-01T00:00:00"/>
    <s v="Shipped"/>
    <n v="4"/>
    <x v="5"/>
    <n v="2004"/>
    <x v="1"/>
    <n v="151"/>
    <s v="S12_3148"/>
    <s v="Corrida Auto Replicas, Ltd"/>
    <s v="(91) 555 22 82"/>
    <s v="C/ Araquil, 67"/>
    <m/>
    <s v="Madrid"/>
    <m/>
    <n v="28023"/>
    <s v="Spain"/>
    <s v="EMEA"/>
    <s v="Sommer"/>
    <s v="Mart¡n"/>
    <s v="Medium"/>
    <n v="4700"/>
  </r>
  <r>
    <n v="10358"/>
    <n v="49"/>
    <n v="55.34"/>
    <n v="5"/>
    <n v="2711.66"/>
    <d v="2004-12-10T00:00:00"/>
    <s v="Shipped"/>
    <n v="4"/>
    <x v="6"/>
    <n v="2004"/>
    <x v="1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Small"/>
    <n v="2711.6600000000003"/>
  </r>
  <r>
    <n v="10372"/>
    <n v="40"/>
    <n v="100"/>
    <n v="4"/>
    <n v="5862"/>
    <d v="2005-01-26T00:00:00"/>
    <s v="Shipped"/>
    <n v="1"/>
    <x v="7"/>
    <n v="2005"/>
    <x v="1"/>
    <n v="151"/>
    <s v="S12_3148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4000"/>
  </r>
  <r>
    <n v="10382"/>
    <n v="37"/>
    <n v="100"/>
    <n v="11"/>
    <n v="4071.85"/>
    <d v="2005-02-17T00:00:00"/>
    <s v="Shipped"/>
    <n v="1"/>
    <x v="0"/>
    <n v="2005"/>
    <x v="1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  <n v="3700"/>
  </r>
  <r>
    <n v="10413"/>
    <n v="47"/>
    <n v="100"/>
    <n v="3"/>
    <n v="8236.75"/>
    <d v="2005-05-05T00:00:00"/>
    <s v="Shipped"/>
    <n v="2"/>
    <x v="1"/>
    <n v="2005"/>
    <x v="1"/>
    <n v="151"/>
    <s v="S12_3148"/>
    <s v="Gift Depot Inc."/>
    <n v="2035552570"/>
    <s v="25593 South Bay Ln."/>
    <m/>
    <s v="Bridgewater"/>
    <s v="CT"/>
    <n v="97562"/>
    <s v="USA"/>
    <s v="NA"/>
    <s v="King"/>
    <s v="Julie"/>
    <s v="Large"/>
    <n v="4700"/>
  </r>
  <r>
    <n v="10108"/>
    <n v="45"/>
    <n v="100"/>
    <n v="4"/>
    <n v="6130.35"/>
    <d v="2003-03-03T00:00:00"/>
    <s v="Shipped"/>
    <n v="1"/>
    <x v="11"/>
    <n v="2003"/>
    <x v="1"/>
    <n v="117"/>
    <s v="S12_338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4500"/>
  </r>
  <r>
    <n v="10122"/>
    <n v="37"/>
    <n v="99.82"/>
    <n v="8"/>
    <n v="3693.34"/>
    <d v="2003-05-08T00:00:00"/>
    <s v="Shipped"/>
    <n v="2"/>
    <x v="1"/>
    <n v="2003"/>
    <x v="1"/>
    <n v="117"/>
    <s v="S12_3380"/>
    <s v="Marseille Mini Autos"/>
    <s v="91.24.4555"/>
    <s v="12, rue des Bouchers"/>
    <m/>
    <s v="Marseille"/>
    <m/>
    <n v="13008"/>
    <s v="France"/>
    <s v="EMEA"/>
    <s v="Lebihan"/>
    <s v="Laurence"/>
    <s v="Medium"/>
    <n v="3693.3399999999997"/>
  </r>
  <r>
    <n v="10135"/>
    <n v="48"/>
    <n v="100"/>
    <n v="5"/>
    <n v="6031.68"/>
    <d v="2003-07-02T00:00:00"/>
    <s v="Shipped"/>
    <n v="3"/>
    <x v="2"/>
    <n v="2003"/>
    <x v="1"/>
    <n v="117"/>
    <s v="S12_3380"/>
    <s v="Mini Gifts Distributors Ltd."/>
    <n v="4155551450"/>
    <s v="5677 Strong St."/>
    <m/>
    <s v="San Rafael"/>
    <s v="CA"/>
    <n v="97562"/>
    <s v="USA"/>
    <s v="NA"/>
    <s v="Nelson"/>
    <s v="Valarie"/>
    <s v="Medium"/>
    <n v="4800"/>
  </r>
  <r>
    <n v="10147"/>
    <n v="31"/>
    <n v="100"/>
    <n v="5"/>
    <n v="3494.94"/>
    <d v="2003-09-05T00:00:00"/>
    <s v="Shipped"/>
    <n v="3"/>
    <x v="10"/>
    <n v="2003"/>
    <x v="1"/>
    <n v="117"/>
    <s v="S12_3380"/>
    <s v="Collectables For Less Inc."/>
    <n v="6175558555"/>
    <s v="7825 Douglas Av."/>
    <m/>
    <s v="Brickhaven"/>
    <s v="MA"/>
    <n v="58339"/>
    <s v="USA"/>
    <s v="NA"/>
    <s v="Nelson"/>
    <s v="Allen"/>
    <s v="Medium"/>
    <n v="3100"/>
  </r>
  <r>
    <n v="10160"/>
    <n v="46"/>
    <n v="100"/>
    <n v="6"/>
    <n v="5294.14"/>
    <d v="2003-10-11T00:00:00"/>
    <s v="Shipped"/>
    <n v="4"/>
    <x v="4"/>
    <n v="2003"/>
    <x v="1"/>
    <n v="117"/>
    <s v="S12_3380"/>
    <s v="Men 'R' US Retailers, Ltd."/>
    <n v="2155554369"/>
    <s v="6047 Douglas Av."/>
    <m/>
    <s v="Los Angeles"/>
    <s v="CA"/>
    <m/>
    <s v="USA"/>
    <s v="NA"/>
    <s v="Chandler"/>
    <s v="Michael"/>
    <s v="Medium"/>
    <n v="4600"/>
  </r>
  <r>
    <n v="10170"/>
    <n v="47"/>
    <n v="100"/>
    <n v="4"/>
    <n v="5464.69"/>
    <d v="2003-11-04T00:00:00"/>
    <s v="Shipped"/>
    <n v="4"/>
    <x v="5"/>
    <n v="2003"/>
    <x v="1"/>
    <n v="117"/>
    <s v="S12_3380"/>
    <s v="Mini Auto Werke"/>
    <s v="7675-3555"/>
    <s v="Kirchgasse 6"/>
    <m/>
    <s v="Graz"/>
    <m/>
    <n v="8010"/>
    <s v="Austria"/>
    <s v="EMEA"/>
    <s v="Mendel"/>
    <s v="Roland"/>
    <s v="Medium"/>
    <n v="4700"/>
  </r>
  <r>
    <n v="10181"/>
    <n v="28"/>
    <n v="100"/>
    <n v="12"/>
    <n v="2860.76"/>
    <d v="2003-11-12T00:00:00"/>
    <s v="Shipped"/>
    <n v="4"/>
    <x v="5"/>
    <n v="2003"/>
    <x v="1"/>
    <n v="117"/>
    <s v="S12_3380"/>
    <s v="Herkku Gifts"/>
    <s v="+47 2267 3215"/>
    <s v="Drammen 121, PR 744 Sentrum"/>
    <m/>
    <s v="Bergen"/>
    <m/>
    <s v="N 5804"/>
    <s v="Norway"/>
    <s v="EMEA"/>
    <s v="Oeztan"/>
    <s v="Veysel"/>
    <s v="Small"/>
    <n v="2800"/>
  </r>
  <r>
    <n v="10191"/>
    <n v="40"/>
    <n v="100"/>
    <n v="1"/>
    <n v="5590"/>
    <d v="2003-11-20T00:00:00"/>
    <s v="Shipped"/>
    <n v="4"/>
    <x v="5"/>
    <n v="2003"/>
    <x v="1"/>
    <n v="117"/>
    <s v="S12_3380"/>
    <s v="Toms Spezialitten, Ltd"/>
    <s v="0221-5554327"/>
    <s v="Mehrheimerstr. 369"/>
    <m/>
    <s v="Koln"/>
    <m/>
    <n v="50739"/>
    <s v="Germany"/>
    <s v="EMEA"/>
    <s v="Pfalzheim"/>
    <s v="Henriette"/>
    <s v="Medium"/>
    <n v="4000"/>
  </r>
  <r>
    <n v="10203"/>
    <n v="20"/>
    <n v="100"/>
    <n v="6"/>
    <n v="2254.8000000000002"/>
    <d v="2003-12-02T00:00:00"/>
    <s v="Shipped"/>
    <n v="4"/>
    <x v="6"/>
    <n v="2003"/>
    <x v="1"/>
    <n v="117"/>
    <s v="S12_3380"/>
    <s v="Euro Shopping Channel"/>
    <s v="(91) 555 94 44"/>
    <s v="C/ Moralzarzal, 86"/>
    <m/>
    <s v="Madrid"/>
    <m/>
    <n v="28034"/>
    <s v="Spain"/>
    <s v="EMEA"/>
    <s v="Freyre"/>
    <s v="Diego"/>
    <s v="Small"/>
    <n v="2000"/>
  </r>
  <r>
    <n v="10212"/>
    <n v="39"/>
    <n v="100"/>
    <n v="16"/>
    <n v="4946.76"/>
    <d v="2004-01-16T00:00:00"/>
    <s v="Shipped"/>
    <n v="1"/>
    <x v="7"/>
    <n v="2004"/>
    <x v="1"/>
    <n v="117"/>
    <s v="S12_3380"/>
    <s v="Euro Shopping Channel"/>
    <s v="(91) 555 94 44"/>
    <s v="C/ Moralzarzal, 86"/>
    <m/>
    <s v="Madrid"/>
    <m/>
    <n v="28034"/>
    <s v="Spain"/>
    <s v="EMEA"/>
    <s v="Freyre"/>
    <s v="Diego"/>
    <s v="Medium"/>
    <n v="3900"/>
  </r>
  <r>
    <n v="10225"/>
    <n v="25"/>
    <n v="99.82"/>
    <n v="7"/>
    <n v="2495.5"/>
    <d v="2004-02-22T00:00:00"/>
    <s v="Shipped"/>
    <n v="1"/>
    <x v="0"/>
    <n v="2004"/>
    <x v="1"/>
    <n v="117"/>
    <s v="S12_3380"/>
    <s v="Vida Sport, Ltd"/>
    <s v="0897-034555"/>
    <s v="Grenzacherweg 237"/>
    <m/>
    <s v="Gensve"/>
    <m/>
    <n v="1203"/>
    <s v="Switzerland"/>
    <s v="EMEA"/>
    <s v="Holz"/>
    <s v="Michael"/>
    <s v="Small"/>
    <n v="2495.5"/>
  </r>
  <r>
    <n v="10238"/>
    <n v="29"/>
    <n v="100"/>
    <n v="1"/>
    <n v="3167.38"/>
    <d v="2004-04-09T00:00:00"/>
    <s v="Shipped"/>
    <n v="2"/>
    <x v="8"/>
    <n v="2004"/>
    <x v="1"/>
    <n v="117"/>
    <s v="S12_3380"/>
    <s v="Danish Wholesale Imports"/>
    <s v="31 12 3555"/>
    <s v="Vinb'ltet 34"/>
    <m/>
    <s v="Kobenhavn"/>
    <m/>
    <n v="1734"/>
    <s v="Denmark"/>
    <s v="EMEA"/>
    <s v="Petersen"/>
    <s v="Jytte"/>
    <s v="Medium"/>
    <n v="2900"/>
  </r>
  <r>
    <n v="10253"/>
    <n v="22"/>
    <n v="100"/>
    <n v="11"/>
    <n v="2402.84"/>
    <d v="2004-06-01T00:00:00"/>
    <s v="Cancelled"/>
    <n v="2"/>
    <x v="9"/>
    <n v="2004"/>
    <x v="1"/>
    <n v="117"/>
    <s v="S12_3380"/>
    <s v="UK Collectables, Ltd."/>
    <s v="(171) 555-2282"/>
    <s v="Berkeley Gardens 12  Brewery"/>
    <m/>
    <s v="Liverpool"/>
    <m/>
    <s v="WX1 6LT"/>
    <s v="UK"/>
    <s v="EMEA"/>
    <s v="Devon"/>
    <s v="Elizabeth"/>
    <s v="Small"/>
    <n v="2200"/>
  </r>
  <r>
    <n v="10266"/>
    <n v="22"/>
    <n v="100"/>
    <n v="12"/>
    <n v="2454.54"/>
    <d v="2004-07-06T00:00:00"/>
    <s v="Shipped"/>
    <n v="3"/>
    <x v="2"/>
    <n v="2004"/>
    <x v="1"/>
    <n v="117"/>
    <s v="S12_3380"/>
    <s v="L'ordine Souveniers"/>
    <s v="0522-556555"/>
    <s v="Strada Provinciale 124"/>
    <m/>
    <s v="Reggio Emilia"/>
    <m/>
    <n v="42100"/>
    <s v="Italy"/>
    <s v="EMEA"/>
    <s v="Moroni"/>
    <s v="Maurizio"/>
    <s v="Small"/>
    <n v="2200"/>
  </r>
  <r>
    <n v="10276"/>
    <n v="47"/>
    <n v="100"/>
    <n v="1"/>
    <n v="5464.69"/>
    <d v="2004-08-02T00:00:00"/>
    <s v="Shipped"/>
    <n v="3"/>
    <x v="3"/>
    <n v="2004"/>
    <x v="1"/>
    <n v="117"/>
    <s v="S12_3380"/>
    <s v="Online Mini Collectables"/>
    <n v="6175557555"/>
    <s v="7635 Spinnaker Dr."/>
    <m/>
    <s v="Brickhaven"/>
    <s v="MA"/>
    <n v="58339"/>
    <s v="USA"/>
    <s v="NA"/>
    <s v="Barajas"/>
    <s v="Miguel"/>
    <s v="Medium"/>
    <n v="4700"/>
  </r>
  <r>
    <n v="10287"/>
    <n v="45"/>
    <n v="100"/>
    <n v="10"/>
    <n v="4756.5"/>
    <d v="2004-08-30T00:00:00"/>
    <s v="Shipped"/>
    <n v="3"/>
    <x v="3"/>
    <n v="2004"/>
    <x v="1"/>
    <n v="117"/>
    <s v="S12_3380"/>
    <s v="Vida Sport, Ltd"/>
    <s v="0897-034555"/>
    <s v="Grenzacherweg 237"/>
    <m/>
    <s v="Gensve"/>
    <m/>
    <n v="1203"/>
    <s v="Switzerland"/>
    <s v="EMEA"/>
    <s v="Holz"/>
    <s v="Michael"/>
    <s v="Medium"/>
    <n v="4500"/>
  </r>
  <r>
    <n v="10300"/>
    <n v="29"/>
    <n v="100"/>
    <n v="3"/>
    <n v="3984.6"/>
    <d v="2003-10-04T00:00:00"/>
    <s v="Shipped"/>
    <n v="4"/>
    <x v="4"/>
    <n v="2003"/>
    <x v="1"/>
    <n v="117"/>
    <s v="S12_3380"/>
    <s v="Blauer See Auto, Co."/>
    <s v="+49 69 66 90 2555"/>
    <s v="Lyonerstr. 34"/>
    <m/>
    <s v="Frankfurt"/>
    <m/>
    <n v="60528"/>
    <s v="Germany"/>
    <s v="EMEA"/>
    <s v="Keitel"/>
    <s v="Roland"/>
    <s v="Medium"/>
    <n v="2900"/>
  </r>
  <r>
    <n v="10310"/>
    <n v="24"/>
    <n v="100"/>
    <n v="8"/>
    <n v="3100.32"/>
    <d v="2004-10-16T00:00:00"/>
    <s v="Shipped"/>
    <n v="4"/>
    <x v="4"/>
    <n v="2004"/>
    <x v="1"/>
    <n v="117"/>
    <s v="S12_3380"/>
    <s v="Toms Spezialitten, Ltd"/>
    <s v="0221-5554327"/>
    <s v="Mehrheimerstr. 369"/>
    <m/>
    <s v="Koln"/>
    <m/>
    <n v="50739"/>
    <s v="Germany"/>
    <s v="EMEA"/>
    <s v="Pfalzheim"/>
    <s v="Henriette"/>
    <s v="Medium"/>
    <n v="2400"/>
  </r>
  <r>
    <n v="10320"/>
    <n v="35"/>
    <n v="100"/>
    <n v="1"/>
    <n v="4850.3"/>
    <d v="2004-11-03T00:00:00"/>
    <s v="Shipped"/>
    <n v="4"/>
    <x v="5"/>
    <n v="2004"/>
    <x v="1"/>
    <n v="117"/>
    <s v="S12_3380"/>
    <s v="Volvo Model Replicas, Co"/>
    <s v="0921-12 3555"/>
    <s v="Berguvsv„gen  8"/>
    <m/>
    <s v="Lule"/>
    <m/>
    <s v="S-958 22"/>
    <s v="Sweden"/>
    <s v="EMEA"/>
    <s v="Berglund"/>
    <s v="Christina"/>
    <s v="Medium"/>
    <n v="3500"/>
  </r>
  <r>
    <n v="10329"/>
    <n v="46"/>
    <n v="83.63"/>
    <n v="13"/>
    <n v="3846.98"/>
    <d v="2004-11-15T00:00:00"/>
    <s v="Shipped"/>
    <n v="4"/>
    <x v="5"/>
    <n v="2004"/>
    <x v="1"/>
    <n v="117"/>
    <s v="S12_3380"/>
    <s v="Land of Toys Inc."/>
    <n v="2125557818"/>
    <s v="897 Long Airport Avenue"/>
    <m/>
    <s v="NYC"/>
    <s v="NY"/>
    <n v="10022"/>
    <s v="USA"/>
    <s v="NA"/>
    <s v="Yu"/>
    <s v="Kwai"/>
    <s v="Medium"/>
    <n v="3846.9799999999996"/>
  </r>
  <r>
    <n v="10341"/>
    <n v="44"/>
    <n v="95.93"/>
    <n v="1"/>
    <n v="4220.92"/>
    <d v="2004-11-24T00:00:00"/>
    <s v="Shipped"/>
    <n v="4"/>
    <x v="5"/>
    <n v="2004"/>
    <x v="1"/>
    <n v="117"/>
    <s v="S12_3380"/>
    <s v="Salzburg Collectables"/>
    <s v="6562-9555"/>
    <s v="Geislweg 14"/>
    <m/>
    <s v="Salzburg"/>
    <m/>
    <n v="5020"/>
    <s v="Austria"/>
    <s v="EMEA"/>
    <s v="Pipps"/>
    <s v="Georg"/>
    <s v="Medium"/>
    <n v="4220.92"/>
  </r>
  <r>
    <n v="10363"/>
    <n v="34"/>
    <n v="96.73"/>
    <n v="4"/>
    <n v="3288.82"/>
    <d v="2005-01-06T00:00:00"/>
    <s v="Shipped"/>
    <n v="1"/>
    <x v="7"/>
    <n v="2005"/>
    <x v="1"/>
    <n v="117"/>
    <s v="S12_3380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3288.82"/>
  </r>
  <r>
    <n v="10376"/>
    <n v="35"/>
    <n v="100"/>
    <n v="1"/>
    <n v="3987.2"/>
    <d v="2005-02-08T00:00:00"/>
    <s v="Shipped"/>
    <n v="1"/>
    <x v="0"/>
    <n v="2005"/>
    <x v="1"/>
    <n v="117"/>
    <s v="S12_3380"/>
    <s v="Boards &amp; Toys Co."/>
    <n v="3105552373"/>
    <s v="4097 Douglas Av."/>
    <m/>
    <s v="Glendale"/>
    <s v="CA"/>
    <n v="92561"/>
    <s v="USA"/>
    <s v="NA"/>
    <s v="Young"/>
    <s v="Leslie"/>
    <s v="Medium"/>
    <n v="3500"/>
  </r>
  <r>
    <n v="10389"/>
    <n v="25"/>
    <n v="72.38"/>
    <n v="6"/>
    <n v="1809.5"/>
    <d v="2005-03-03T00:00:00"/>
    <s v="Shipped"/>
    <n v="1"/>
    <x v="11"/>
    <n v="2005"/>
    <x v="1"/>
    <n v="117"/>
    <s v="S12_3380"/>
    <s v="Scandinavian Gift Ideas"/>
    <s v="0695-34 6555"/>
    <s v="?kergatan 24"/>
    <m/>
    <s v="Boras"/>
    <m/>
    <s v="S-844 67"/>
    <s v="Sweden"/>
    <s v="EMEA"/>
    <s v="Larsson"/>
    <s v="Maria"/>
    <s v="Small"/>
    <n v="1809.5"/>
  </r>
  <r>
    <n v="10419"/>
    <n v="10"/>
    <n v="100"/>
    <n v="11"/>
    <n v="1092.2"/>
    <d v="2005-05-17T00:00:00"/>
    <s v="Shipped"/>
    <n v="2"/>
    <x v="1"/>
    <n v="2005"/>
    <x v="1"/>
    <n v="117"/>
    <s v="S12_3380"/>
    <s v="Salzburg Collectables"/>
    <s v="6562-9555"/>
    <s v="Geislweg 14"/>
    <m/>
    <s v="Salzburg"/>
    <m/>
    <n v="5020"/>
    <s v="Austria"/>
    <s v="EMEA"/>
    <s v="Pipps"/>
    <s v="Georg"/>
    <s v="Small"/>
    <n v="1000"/>
  </r>
  <r>
    <n v="10105"/>
    <n v="29"/>
    <n v="100"/>
    <n v="14"/>
    <n v="4566.05"/>
    <d v="2003-02-11T00:00:00"/>
    <s v="Shipped"/>
    <n v="1"/>
    <x v="0"/>
    <n v="2003"/>
    <x v="1"/>
    <n v="173"/>
    <s v="S12_3891"/>
    <s v="Danish Wholesale Imports"/>
    <s v="31 12 3555"/>
    <s v="Vinb'ltet 34"/>
    <m/>
    <s v="Kobenhavn"/>
    <m/>
    <n v="1734"/>
    <s v="Denmark"/>
    <s v="EMEA"/>
    <s v="Petersen"/>
    <s v="Jytte"/>
    <s v="Medium"/>
    <n v="2900"/>
  </r>
  <r>
    <n v="10117"/>
    <n v="39"/>
    <n v="100"/>
    <n v="8"/>
    <n v="5938.14"/>
    <d v="2003-04-16T00:00:00"/>
    <s v="Shipped"/>
    <n v="2"/>
    <x v="8"/>
    <n v="2003"/>
    <x v="1"/>
    <n v="173"/>
    <s v="S12_389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3900"/>
  </r>
  <r>
    <n v="10127"/>
    <n v="42"/>
    <n v="100"/>
    <n v="1"/>
    <n v="8138.76"/>
    <d v="2003-06-03T00:00:00"/>
    <s v="Shipped"/>
    <n v="2"/>
    <x v="9"/>
    <n v="2003"/>
    <x v="1"/>
    <n v="173"/>
    <s v="S12_3891"/>
    <s v="Muscle Machine Inc"/>
    <n v="2125557413"/>
    <s v="4092 Furth Circle"/>
    <s v="Suite 400"/>
    <s v="NYC"/>
    <s v="NY"/>
    <n v="10022"/>
    <s v="USA"/>
    <s v="NA"/>
    <s v="Young"/>
    <s v="Jeff"/>
    <s v="Large"/>
    <n v="4200"/>
  </r>
  <r>
    <n v="10142"/>
    <n v="46"/>
    <n v="100"/>
    <n v="11"/>
    <n v="9470.94"/>
    <d v="2003-08-08T00:00:00"/>
    <s v="Shipped"/>
    <n v="3"/>
    <x v="3"/>
    <n v="2003"/>
    <x v="1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Large"/>
    <n v="4600"/>
  </r>
  <r>
    <n v="10153"/>
    <n v="49"/>
    <n v="100"/>
    <n v="10"/>
    <n v="7036.89"/>
    <d v="2003-09-28T00:00:00"/>
    <s v="Shipped"/>
    <n v="3"/>
    <x v="10"/>
    <n v="2003"/>
    <x v="1"/>
    <n v="173"/>
    <s v="S12_3891"/>
    <s v="Euro Shopping Channel"/>
    <s v="(91) 555 94 44"/>
    <s v="C/ Moralzarzal, 86"/>
    <m/>
    <s v="Madrid"/>
    <m/>
    <n v="28034"/>
    <s v="Spain"/>
    <s v="EMEA"/>
    <s v="Freyre"/>
    <s v="Diego"/>
    <s v="Large"/>
    <n v="4900"/>
  </r>
  <r>
    <n v="10165"/>
    <n v="27"/>
    <n v="100"/>
    <n v="2"/>
    <n v="5559.03"/>
    <d v="2003-10-22T00:00:00"/>
    <s v="Shipped"/>
    <n v="4"/>
    <x v="4"/>
    <n v="2003"/>
    <x v="1"/>
    <n v="173"/>
    <s v="S12_389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2700"/>
  </r>
  <r>
    <n v="10176"/>
    <n v="50"/>
    <n v="100"/>
    <n v="1"/>
    <n v="7872.5"/>
    <d v="2003-11-06T00:00:00"/>
    <s v="Shipped"/>
    <n v="4"/>
    <x v="5"/>
    <n v="2003"/>
    <x v="1"/>
    <n v="173"/>
    <s v="S12_3891"/>
    <s v="L'ordine Souveniers"/>
    <s v="0522-556555"/>
    <s v="Strada Provinciale 124"/>
    <m/>
    <s v="Reggio Emilia"/>
    <m/>
    <n v="42100"/>
    <s v="Italy"/>
    <s v="EMEA"/>
    <s v="Moroni"/>
    <s v="Maurizio"/>
    <s v="Large"/>
    <n v="5000"/>
  </r>
  <r>
    <n v="10185"/>
    <n v="43"/>
    <n v="100"/>
    <n v="12"/>
    <n v="7886.2"/>
    <d v="2003-11-14T00:00:00"/>
    <s v="Shipped"/>
    <n v="4"/>
    <x v="5"/>
    <n v="2003"/>
    <x v="1"/>
    <n v="173"/>
    <s v="S12_3891"/>
    <s v="Mini Creations Ltd."/>
    <n v="5085559555"/>
    <s v="4575 Hillside Dr."/>
    <m/>
    <s v="New Bedford"/>
    <s v="MA"/>
    <n v="50553"/>
    <s v="USA"/>
    <s v="NA"/>
    <s v="Tam"/>
    <s v="Wing C"/>
    <s v="Large"/>
    <n v="4300"/>
  </r>
  <r>
    <n v="10196"/>
    <n v="38"/>
    <n v="100"/>
    <n v="4"/>
    <n v="7232.16"/>
    <d v="2003-11-26T00:00:00"/>
    <s v="Shipped"/>
    <n v="4"/>
    <x v="5"/>
    <n v="2003"/>
    <x v="1"/>
    <n v="173"/>
    <s v="S12_3891"/>
    <s v="Super Scale Inc."/>
    <n v="2035559545"/>
    <s v="567 North Pendale Street"/>
    <m/>
    <s v="New Haven"/>
    <s v="CT"/>
    <n v="97823"/>
    <s v="USA"/>
    <s v="NA"/>
    <s v="Murphy"/>
    <s v="Leslie"/>
    <s v="Large"/>
    <n v="3800"/>
  </r>
  <r>
    <n v="10208"/>
    <n v="20"/>
    <n v="100"/>
    <n v="12"/>
    <n v="3114.4"/>
    <d v="2004-01-02T00:00:00"/>
    <s v="Shipped"/>
    <n v="1"/>
    <x v="7"/>
    <n v="2004"/>
    <x v="1"/>
    <n v="173"/>
    <s v="S12_3891"/>
    <s v="Saveley &amp; Henriot, Co."/>
    <s v="78.32.5555"/>
    <s v="2, rue du Commerce"/>
    <m/>
    <s v="Lyon"/>
    <m/>
    <n v="69004"/>
    <s v="France"/>
    <s v="EMEA"/>
    <s v="Saveley"/>
    <s v="Mary"/>
    <s v="Medium"/>
    <n v="2000"/>
  </r>
  <r>
    <n v="10220"/>
    <n v="27"/>
    <n v="100"/>
    <n v="1"/>
    <n v="5045.22"/>
    <d v="2004-02-12T00:00:00"/>
    <s v="Shipped"/>
    <n v="1"/>
    <x v="0"/>
    <n v="2004"/>
    <x v="1"/>
    <n v="173"/>
    <s v="S12_3891"/>
    <s v="Clover Collections, Co."/>
    <s v="+353 1862 1555"/>
    <s v="25 Maiden Lane"/>
    <s v="Floor No. 4"/>
    <s v="Dublin"/>
    <m/>
    <n v="2"/>
    <s v="Ireland"/>
    <s v="EMEA"/>
    <s v="Cassidy"/>
    <s v="Dean"/>
    <s v="Medium"/>
    <n v="2700"/>
  </r>
  <r>
    <n v="10231"/>
    <n v="49"/>
    <n v="100"/>
    <n v="1"/>
    <n v="6952.12"/>
    <d v="2004-03-19T00:00:00"/>
    <s v="Shipped"/>
    <n v="1"/>
    <x v="11"/>
    <n v="2004"/>
    <x v="1"/>
    <n v="173"/>
    <s v="S12_3891"/>
    <s v="CAF Imports"/>
    <s v="+34 913 728 555"/>
    <s v="Merchants House, 27-30 Merchant's Quay"/>
    <m/>
    <s v="Madrid"/>
    <m/>
    <n v="28023"/>
    <s v="Spain"/>
    <s v="EMEA"/>
    <s v="Fernandez"/>
    <s v="Jesus"/>
    <s v="Medium"/>
    <n v="4900"/>
  </r>
  <r>
    <n v="10247"/>
    <n v="27"/>
    <n v="100"/>
    <n v="1"/>
    <n v="4157.7299999999996"/>
    <d v="2004-05-05T00:00:00"/>
    <s v="Shipped"/>
    <n v="2"/>
    <x v="1"/>
    <n v="2004"/>
    <x v="1"/>
    <n v="173"/>
    <s v="S12_3891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2700"/>
  </r>
  <r>
    <n v="10272"/>
    <n v="39"/>
    <n v="100"/>
    <n v="1"/>
    <n v="7962.24"/>
    <d v="2004-07-20T00:00:00"/>
    <s v="Shipped"/>
    <n v="3"/>
    <x v="2"/>
    <n v="2004"/>
    <x v="1"/>
    <n v="173"/>
    <s v="S12_3891"/>
    <s v="Diecast Classics Inc."/>
    <n v="2155551555"/>
    <s v="7586 Pompton St."/>
    <m/>
    <s v="Allentown"/>
    <s v="PA"/>
    <n v="70267"/>
    <s v="USA"/>
    <s v="NA"/>
    <s v="Yu"/>
    <s v="Kyung"/>
    <s v="Large"/>
    <n v="3900"/>
  </r>
  <r>
    <n v="10282"/>
    <n v="24"/>
    <n v="100"/>
    <n v="4"/>
    <n v="3778.8"/>
    <d v="2004-08-20T00:00:00"/>
    <s v="Shipped"/>
    <n v="3"/>
    <x v="3"/>
    <n v="2004"/>
    <x v="1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  <n v="2400"/>
  </r>
  <r>
    <n v="10293"/>
    <n v="45"/>
    <n v="100"/>
    <n v="7"/>
    <n v="8253"/>
    <d v="2004-09-09T00:00:00"/>
    <s v="Shipped"/>
    <n v="3"/>
    <x v="10"/>
    <n v="2004"/>
    <x v="1"/>
    <n v="173"/>
    <s v="S12_3891"/>
    <s v="Amica Models &amp; Co."/>
    <s v="011-4988555"/>
    <s v="Via Monte Bianco 34"/>
    <m/>
    <s v="Torino"/>
    <m/>
    <n v="10100"/>
    <s v="Italy"/>
    <s v="EMEA"/>
    <s v="Accorti"/>
    <s v="Paolo"/>
    <s v="Large"/>
    <n v="4500"/>
  </r>
  <r>
    <n v="10306"/>
    <n v="20"/>
    <n v="100"/>
    <n v="12"/>
    <n v="3633.4"/>
    <d v="2004-10-14T00:00:00"/>
    <s v="Shipped"/>
    <n v="4"/>
    <x v="4"/>
    <n v="2004"/>
    <x v="1"/>
    <n v="173"/>
    <s v="S12_3891"/>
    <s v="AV Stores, Co."/>
    <s v="(171) 555-1555"/>
    <s v="Fauntleroy Circus"/>
    <m/>
    <s v="Manchester"/>
    <m/>
    <s v="EC2 5NT"/>
    <s v="UK"/>
    <s v="EMEA"/>
    <s v="Ashworth"/>
    <s v="Victoria"/>
    <s v="Medium"/>
    <n v="2000"/>
  </r>
  <r>
    <n v="10314"/>
    <n v="36"/>
    <n v="100"/>
    <n v="4"/>
    <n v="6913.8"/>
    <d v="2004-10-22T00:00:00"/>
    <s v="Shipped"/>
    <n v="4"/>
    <x v="4"/>
    <n v="2004"/>
    <x v="1"/>
    <n v="173"/>
    <s v="S12_3891"/>
    <s v="Heintze Collectables"/>
    <s v="86 21 3555"/>
    <s v="Smagsloget 45"/>
    <m/>
    <s v="Aaarhus"/>
    <m/>
    <n v="8200"/>
    <s v="Denmark"/>
    <s v="EMEA"/>
    <s v="Ibsen"/>
    <s v="Palle"/>
    <s v="Medium"/>
    <n v="3600"/>
  </r>
  <r>
    <n v="10325"/>
    <n v="24"/>
    <n v="100"/>
    <n v="1"/>
    <n v="2583.6"/>
    <d v="2004-11-05T00:00:00"/>
    <s v="Shipped"/>
    <n v="4"/>
    <x v="5"/>
    <n v="2004"/>
    <x v="1"/>
    <n v="173"/>
    <s v="S12_3891"/>
    <s v="Baane Mini Imports"/>
    <s v="07-98 9555"/>
    <s v="Erling Skakkes gate 78"/>
    <m/>
    <s v="Stavern"/>
    <m/>
    <n v="4110"/>
    <s v="Norway"/>
    <s v="EMEA"/>
    <s v="Bergulfsen"/>
    <s v="Jonas"/>
    <s v="Small"/>
    <n v="2400"/>
  </r>
  <r>
    <n v="10336"/>
    <n v="49"/>
    <n v="63.38"/>
    <n v="1"/>
    <n v="3105.62"/>
    <d v="2004-11-20T00:00:00"/>
    <s v="Shipped"/>
    <n v="4"/>
    <x v="5"/>
    <n v="2004"/>
    <x v="1"/>
    <n v="173"/>
    <s v="S12_3891"/>
    <s v="La Corne D'abondance, Co."/>
    <s v="(1) 42.34.2555"/>
    <s v="265, boulevard Charonne"/>
    <m/>
    <s v="Paris"/>
    <m/>
    <n v="75012"/>
    <s v="France"/>
    <s v="EMEA"/>
    <s v="Bertrand"/>
    <s v="Marie"/>
    <s v="Medium"/>
    <n v="3105.6200000000003"/>
  </r>
  <r>
    <n v="10349"/>
    <n v="26"/>
    <n v="100"/>
    <n v="10"/>
    <n v="4408.5600000000004"/>
    <d v="2004-12-01T00:00:00"/>
    <s v="Shipped"/>
    <n v="4"/>
    <x v="6"/>
    <n v="2004"/>
    <x v="1"/>
    <n v="173"/>
    <s v="S12_3891"/>
    <s v="Muscle Machine Inc"/>
    <n v="2125557413"/>
    <s v="4092 Furth Circle"/>
    <s v="Suite 400"/>
    <s v="NYC"/>
    <s v="NY"/>
    <n v="10022"/>
    <s v="USA"/>
    <s v="NA"/>
    <s v="Young"/>
    <s v="Jeff"/>
    <s v="Medium"/>
    <n v="2600"/>
  </r>
  <r>
    <n v="10359"/>
    <n v="49"/>
    <n v="62.09"/>
    <n v="5"/>
    <n v="3042.41"/>
    <d v="2004-12-15T00:00:00"/>
    <s v="Shipped"/>
    <n v="4"/>
    <x v="6"/>
    <n v="2004"/>
    <x v="1"/>
    <n v="173"/>
    <s v="S12_3891"/>
    <s v="Reims Collectables"/>
    <s v="26.47.1555"/>
    <s v="59 rue de l'Abbaye"/>
    <m/>
    <s v="Reims"/>
    <m/>
    <n v="51100"/>
    <s v="France"/>
    <s v="EMEA"/>
    <s v="Henriot"/>
    <s v="Paul"/>
    <s v="Medium"/>
    <n v="3042.4100000000003"/>
  </r>
  <r>
    <n v="10372"/>
    <n v="34"/>
    <n v="100"/>
    <n v="1"/>
    <n v="5941.5"/>
    <d v="2005-01-26T00:00:00"/>
    <s v="Shipped"/>
    <n v="1"/>
    <x v="7"/>
    <n v="2005"/>
    <x v="1"/>
    <n v="173"/>
    <s v="S12_3891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3400"/>
  </r>
  <r>
    <n v="10382"/>
    <n v="34"/>
    <n v="95.35"/>
    <n v="12"/>
    <n v="3241.9"/>
    <d v="2005-02-17T00:00:00"/>
    <s v="Shipped"/>
    <n v="1"/>
    <x v="0"/>
    <n v="2005"/>
    <x v="1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  <n v="3241.8999999999996"/>
  </r>
  <r>
    <n v="10396"/>
    <n v="33"/>
    <n v="100"/>
    <n v="3"/>
    <n v="6109.29"/>
    <d v="2005-03-23T00:00:00"/>
    <s v="Shipped"/>
    <n v="1"/>
    <x v="11"/>
    <n v="2005"/>
    <x v="1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  <n v="3300"/>
  </r>
  <r>
    <n v="10413"/>
    <n v="22"/>
    <n v="100"/>
    <n v="1"/>
    <n v="3387.78"/>
    <d v="2005-05-05T00:00:00"/>
    <s v="Shipped"/>
    <n v="2"/>
    <x v="1"/>
    <n v="2005"/>
    <x v="1"/>
    <n v="173"/>
    <s v="S12_3891"/>
    <s v="Gift Depot Inc."/>
    <n v="2035552570"/>
    <s v="25593 South Bay Ln."/>
    <m/>
    <s v="Bridgewater"/>
    <s v="CT"/>
    <n v="97562"/>
    <s v="USA"/>
    <s v="NA"/>
    <s v="King"/>
    <s v="Julie"/>
    <s v="Medium"/>
    <n v="2200"/>
  </r>
  <r>
    <n v="10108"/>
    <n v="39"/>
    <n v="89.38"/>
    <n v="7"/>
    <n v="3485.82"/>
    <d v="2003-03-03T00:00:00"/>
    <s v="Shipped"/>
    <n v="1"/>
    <x v="11"/>
    <n v="2003"/>
    <x v="1"/>
    <n v="79"/>
    <s v="S12_399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3485.8199999999997"/>
  </r>
  <r>
    <n v="10122"/>
    <n v="32"/>
    <n v="63.84"/>
    <n v="11"/>
    <n v="2042.88"/>
    <d v="2003-05-08T00:00:00"/>
    <s v="Shipped"/>
    <n v="2"/>
    <x v="1"/>
    <n v="2003"/>
    <x v="1"/>
    <n v="79"/>
    <s v="S12_3990"/>
    <s v="Marseille Mini Autos"/>
    <s v="91.24.4555"/>
    <s v="12, rue des Bouchers"/>
    <m/>
    <s v="Marseille"/>
    <m/>
    <n v="13008"/>
    <s v="France"/>
    <s v="EMEA"/>
    <s v="Lebihan"/>
    <s v="Laurence"/>
    <s v="Small"/>
    <n v="2042.88"/>
  </r>
  <r>
    <n v="10135"/>
    <n v="24"/>
    <n v="75.010000000000005"/>
    <n v="8"/>
    <n v="1800.24"/>
    <d v="2003-07-02T00:00:00"/>
    <s v="Shipped"/>
    <n v="3"/>
    <x v="2"/>
    <n v="2003"/>
    <x v="1"/>
    <n v="79"/>
    <s v="S12_3990"/>
    <s v="Mini Gifts Distributors Ltd."/>
    <n v="4155551450"/>
    <s v="5677 Strong St."/>
    <m/>
    <s v="San Rafael"/>
    <s v="CA"/>
    <n v="97562"/>
    <s v="USA"/>
    <s v="NA"/>
    <s v="Nelson"/>
    <s v="Valarie"/>
    <s v="Small"/>
    <n v="1800.2400000000002"/>
  </r>
  <r>
    <n v="10147"/>
    <n v="21"/>
    <n v="63.84"/>
    <n v="8"/>
    <n v="1340.64"/>
    <d v="2003-09-05T00:00:00"/>
    <s v="Shipped"/>
    <n v="3"/>
    <x v="10"/>
    <n v="2003"/>
    <x v="1"/>
    <n v="79"/>
    <s v="S12_3990"/>
    <s v="Collectables For Less Inc."/>
    <n v="6175558555"/>
    <s v="7825 Douglas Av."/>
    <m/>
    <s v="Brickhaven"/>
    <s v="MA"/>
    <n v="58339"/>
    <s v="USA"/>
    <s v="NA"/>
    <s v="Nelson"/>
    <s v="Allen"/>
    <s v="Small"/>
    <n v="1340.64"/>
  </r>
  <r>
    <n v="10159"/>
    <n v="24"/>
    <n v="73.42"/>
    <n v="3"/>
    <n v="1762.08"/>
    <d v="2003-10-10T00:00:00"/>
    <s v="Shipped"/>
    <n v="4"/>
    <x v="4"/>
    <n v="2003"/>
    <x v="1"/>
    <n v="79"/>
    <s v="S12_3990"/>
    <s v="Corporate Gift Ideas Co."/>
    <n v="6505551386"/>
    <s v="7734 Strong St."/>
    <m/>
    <s v="San Francisco"/>
    <s v="CA"/>
    <m/>
    <s v="USA"/>
    <s v="NA"/>
    <s v="Brown"/>
    <s v="Julie"/>
    <s v="Small"/>
    <n v="1762.08"/>
  </r>
  <r>
    <n v="10169"/>
    <n v="36"/>
    <n v="63.84"/>
    <n v="3"/>
    <n v="2298.2399999999998"/>
    <d v="2003-11-04T00:00:00"/>
    <s v="Shipped"/>
    <n v="4"/>
    <x v="5"/>
    <n v="2003"/>
    <x v="1"/>
    <n v="79"/>
    <s v="S12_399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298.2400000000002"/>
  </r>
  <r>
    <n v="10181"/>
    <n v="20"/>
    <n v="81.400000000000006"/>
    <n v="15"/>
    <n v="1628"/>
    <d v="2003-11-12T00:00:00"/>
    <s v="Shipped"/>
    <n v="4"/>
    <x v="5"/>
    <n v="2003"/>
    <x v="1"/>
    <n v="79"/>
    <s v="S12_3990"/>
    <s v="Herkku Gifts"/>
    <s v="+47 2267 3215"/>
    <s v="Drammen 121, PR 744 Sentrum"/>
    <m/>
    <s v="Bergen"/>
    <m/>
    <s v="N 5804"/>
    <s v="Norway"/>
    <s v="EMEA"/>
    <s v="Oeztan"/>
    <s v="Veysel"/>
    <s v="Small"/>
    <n v="1628"/>
  </r>
  <r>
    <n v="10191"/>
    <n v="30"/>
    <n v="64.64"/>
    <n v="4"/>
    <n v="1939.2"/>
    <d v="2003-11-20T00:00:00"/>
    <s v="Shipped"/>
    <n v="4"/>
    <x v="5"/>
    <n v="2003"/>
    <x v="1"/>
    <n v="79"/>
    <s v="S12_3990"/>
    <s v="Toms Spezialitten, Ltd"/>
    <s v="0221-5554327"/>
    <s v="Mehrheimerstr. 369"/>
    <m/>
    <s v="Koln"/>
    <m/>
    <n v="50739"/>
    <s v="Germany"/>
    <s v="EMEA"/>
    <s v="Pfalzheim"/>
    <s v="Henriette"/>
    <s v="Small"/>
    <n v="1939.2"/>
  </r>
  <r>
    <n v="10203"/>
    <n v="44"/>
    <n v="82.99"/>
    <n v="9"/>
    <n v="3651.56"/>
    <d v="2003-12-02T00:00:00"/>
    <s v="Shipped"/>
    <n v="4"/>
    <x v="6"/>
    <n v="2003"/>
    <x v="1"/>
    <n v="79"/>
    <s v="S12_3990"/>
    <s v="Euro Shopping Channel"/>
    <s v="(91) 555 94 44"/>
    <s v="C/ Moralzarzal, 86"/>
    <m/>
    <s v="Madrid"/>
    <m/>
    <n v="28034"/>
    <s v="Spain"/>
    <s v="EMEA"/>
    <s v="Freyre"/>
    <s v="Diego"/>
    <s v="Medium"/>
    <n v="3651.56"/>
  </r>
  <r>
    <n v="10211"/>
    <n v="28"/>
    <n v="92.57"/>
    <n v="3"/>
    <n v="2591.96"/>
    <d v="2004-01-15T00:00:00"/>
    <s v="Shipped"/>
    <n v="1"/>
    <x v="7"/>
    <n v="2004"/>
    <x v="1"/>
    <n v="79"/>
    <s v="S12_3990"/>
    <s v="Auto Canal Petit"/>
    <s v="(1) 47.55.6555"/>
    <s v="25, rue Lauriston"/>
    <m/>
    <s v="Paris"/>
    <m/>
    <n v="75016"/>
    <s v="France"/>
    <s v="EMEA"/>
    <s v="Perrier"/>
    <s v="Dominique"/>
    <s v="Small"/>
    <n v="2591.96"/>
  </r>
  <r>
    <n v="10225"/>
    <n v="37"/>
    <n v="77.41"/>
    <n v="10"/>
    <n v="2864.17"/>
    <d v="2004-02-22T00:00:00"/>
    <s v="Shipped"/>
    <n v="1"/>
    <x v="0"/>
    <n v="2004"/>
    <x v="1"/>
    <n v="79"/>
    <s v="S12_3990"/>
    <s v="Vida Sport, Ltd"/>
    <s v="0897-034555"/>
    <s v="Grenzacherweg 237"/>
    <m/>
    <s v="Gensve"/>
    <m/>
    <n v="1203"/>
    <s v="Switzerland"/>
    <s v="EMEA"/>
    <s v="Holz"/>
    <s v="Michael"/>
    <s v="Small"/>
    <n v="2864.17"/>
  </r>
  <r>
    <n v="10238"/>
    <n v="20"/>
    <n v="74.209999999999994"/>
    <n v="4"/>
    <n v="1484.2"/>
    <d v="2004-04-09T00:00:00"/>
    <s v="Shipped"/>
    <n v="2"/>
    <x v="8"/>
    <n v="2004"/>
    <x v="1"/>
    <n v="79"/>
    <s v="S12_3990"/>
    <s v="Danish Wholesale Imports"/>
    <s v="31 12 3555"/>
    <s v="Vinb'ltet 34"/>
    <m/>
    <s v="Kobenhavn"/>
    <m/>
    <n v="1734"/>
    <s v="Denmark"/>
    <s v="EMEA"/>
    <s v="Petersen"/>
    <s v="Jytte"/>
    <s v="Small"/>
    <n v="1484.1999999999998"/>
  </r>
  <r>
    <n v="10253"/>
    <n v="25"/>
    <n v="90.17"/>
    <n v="14"/>
    <n v="2254.25"/>
    <d v="2004-06-01T00:00:00"/>
    <s v="Cancelled"/>
    <n v="2"/>
    <x v="9"/>
    <n v="2004"/>
    <x v="1"/>
    <n v="79"/>
    <s v="S12_3990"/>
    <s v="UK Collectables, Ltd."/>
    <s v="(171) 555-2282"/>
    <s v="Berkeley Gardens 12  Brewery"/>
    <m/>
    <s v="Liverpool"/>
    <m/>
    <s v="WX1 6LT"/>
    <s v="UK"/>
    <s v="EMEA"/>
    <s v="Devon"/>
    <s v="Elizabeth"/>
    <s v="Small"/>
    <n v="2254.25"/>
  </r>
  <r>
    <n v="10266"/>
    <n v="35"/>
    <n v="76.61"/>
    <n v="15"/>
    <n v="2681.35"/>
    <d v="2004-07-06T00:00:00"/>
    <s v="Shipped"/>
    <n v="3"/>
    <x v="2"/>
    <n v="2004"/>
    <x v="1"/>
    <n v="79"/>
    <s v="S12_3990"/>
    <s v="L'ordine Souveniers"/>
    <s v="0522-556555"/>
    <s v="Strada Provinciale 124"/>
    <m/>
    <s v="Reggio Emilia"/>
    <m/>
    <n v="42100"/>
    <s v="Italy"/>
    <s v="EMEA"/>
    <s v="Moroni"/>
    <s v="Maurizio"/>
    <s v="Small"/>
    <n v="2681.35"/>
  </r>
  <r>
    <n v="10276"/>
    <n v="38"/>
    <n v="83.79"/>
    <n v="4"/>
    <n v="3184.02"/>
    <d v="2004-08-02T00:00:00"/>
    <s v="Shipped"/>
    <n v="3"/>
    <x v="3"/>
    <n v="2004"/>
    <x v="1"/>
    <n v="79"/>
    <s v="S12_3990"/>
    <s v="Online Mini Collectables"/>
    <n v="6175557555"/>
    <s v="7635 Spinnaker Dr."/>
    <m/>
    <s v="Brickhaven"/>
    <s v="MA"/>
    <n v="58339"/>
    <s v="USA"/>
    <s v="NA"/>
    <s v="Barajas"/>
    <s v="Miguel"/>
    <s v="Medium"/>
    <n v="3184.0200000000004"/>
  </r>
  <r>
    <n v="10287"/>
    <n v="41"/>
    <n v="69.430000000000007"/>
    <n v="13"/>
    <n v="2846.63"/>
    <d v="2004-08-30T00:00:00"/>
    <s v="Shipped"/>
    <n v="3"/>
    <x v="3"/>
    <n v="2004"/>
    <x v="1"/>
    <n v="79"/>
    <s v="S12_3990"/>
    <s v="Vida Sport, Ltd"/>
    <s v="0897-034555"/>
    <s v="Grenzacherweg 237"/>
    <m/>
    <s v="Gensve"/>
    <m/>
    <n v="1203"/>
    <s v="Switzerland"/>
    <s v="EMEA"/>
    <s v="Holz"/>
    <s v="Michael"/>
    <s v="Small"/>
    <n v="2846.63"/>
  </r>
  <r>
    <n v="10300"/>
    <n v="22"/>
    <n v="76.61"/>
    <n v="6"/>
    <n v="1685.42"/>
    <d v="2003-10-04T00:00:00"/>
    <s v="Shipped"/>
    <n v="4"/>
    <x v="4"/>
    <n v="2003"/>
    <x v="1"/>
    <n v="79"/>
    <s v="S12_3990"/>
    <s v="Blauer See Auto, Co."/>
    <s v="+49 69 66 90 2555"/>
    <s v="Lyonerstr. 34"/>
    <m/>
    <s v="Frankfurt"/>
    <m/>
    <n v="60528"/>
    <s v="Germany"/>
    <s v="EMEA"/>
    <s v="Keitel"/>
    <s v="Roland"/>
    <s v="Small"/>
    <n v="1685.42"/>
  </r>
  <r>
    <n v="10310"/>
    <n v="49"/>
    <n v="81.400000000000006"/>
    <n v="11"/>
    <n v="3988.6"/>
    <d v="2004-10-16T00:00:00"/>
    <s v="Shipped"/>
    <n v="4"/>
    <x v="4"/>
    <n v="2004"/>
    <x v="1"/>
    <n v="79"/>
    <s v="S12_3990"/>
    <s v="Toms Spezialitten, Ltd"/>
    <s v="0221-5554327"/>
    <s v="Mehrheimerstr. 369"/>
    <m/>
    <s v="Koln"/>
    <m/>
    <n v="50739"/>
    <s v="Germany"/>
    <s v="EMEA"/>
    <s v="Pfalzheim"/>
    <s v="Henriette"/>
    <s v="Medium"/>
    <n v="3988.6000000000004"/>
  </r>
  <r>
    <n v="10320"/>
    <n v="38"/>
    <n v="73.42"/>
    <n v="4"/>
    <n v="2789.96"/>
    <d v="2004-11-03T00:00:00"/>
    <s v="Shipped"/>
    <n v="4"/>
    <x v="5"/>
    <n v="2004"/>
    <x v="1"/>
    <n v="79"/>
    <s v="S12_3990"/>
    <s v="Volvo Model Replicas, Co"/>
    <s v="0921-12 3555"/>
    <s v="Berguvsv„gen  8"/>
    <m/>
    <s v="Lule"/>
    <m/>
    <s v="S-958 22"/>
    <s v="Sweden"/>
    <s v="EMEA"/>
    <s v="Berglund"/>
    <s v="Christina"/>
    <s v="Small"/>
    <n v="2789.96"/>
  </r>
  <r>
    <n v="10329"/>
    <n v="33"/>
    <n v="100"/>
    <n v="14"/>
    <n v="3607.56"/>
    <d v="2004-11-15T00:00:00"/>
    <s v="Shipped"/>
    <n v="4"/>
    <x v="5"/>
    <n v="2004"/>
    <x v="1"/>
    <n v="79"/>
    <s v="S12_3990"/>
    <s v="Land of Toys Inc."/>
    <n v="2125557818"/>
    <s v="897 Long Airport Avenue"/>
    <m/>
    <s v="NYC"/>
    <s v="NY"/>
    <n v="10022"/>
    <s v="USA"/>
    <s v="NA"/>
    <s v="Yu"/>
    <s v="Kwai"/>
    <s v="Medium"/>
    <n v="3300"/>
  </r>
  <r>
    <n v="10341"/>
    <n v="36"/>
    <n v="93.56"/>
    <n v="10"/>
    <n v="3368.16"/>
    <d v="2004-11-24T00:00:00"/>
    <s v="Shipped"/>
    <n v="4"/>
    <x v="5"/>
    <n v="2004"/>
    <x v="1"/>
    <n v="79"/>
    <s v="S12_3990"/>
    <s v="Salzburg Collectables"/>
    <s v="6562-9555"/>
    <s v="Geislweg 14"/>
    <m/>
    <s v="Salzburg"/>
    <m/>
    <n v="5020"/>
    <s v="Austria"/>
    <s v="EMEA"/>
    <s v="Pipps"/>
    <s v="Georg"/>
    <s v="Medium"/>
    <n v="3368.16"/>
  </r>
  <r>
    <n v="10363"/>
    <n v="34"/>
    <n v="81.62"/>
    <n v="5"/>
    <n v="2775.08"/>
    <d v="2005-01-06T00:00:00"/>
    <s v="Shipped"/>
    <n v="1"/>
    <x v="7"/>
    <n v="2005"/>
    <x v="1"/>
    <n v="79"/>
    <s v="S12_3990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2775.08"/>
  </r>
  <r>
    <n v="10377"/>
    <n v="24"/>
    <n v="67.83"/>
    <n v="5"/>
    <n v="1627.92"/>
    <d v="2005-02-09T00:00:00"/>
    <s v="Shipped"/>
    <n v="1"/>
    <x v="0"/>
    <n v="2005"/>
    <x v="1"/>
    <n v="79"/>
    <s v="S12_3990"/>
    <s v="Toys of Finland, Co."/>
    <s v="90-224 8555"/>
    <s v="Keskuskatu 45"/>
    <m/>
    <s v="Helsinki"/>
    <m/>
    <n v="21240"/>
    <s v="Finland"/>
    <s v="EMEA"/>
    <s v="Karttunen"/>
    <s v="Matti"/>
    <s v="Small"/>
    <n v="1627.92"/>
  </r>
  <r>
    <n v="10389"/>
    <n v="36"/>
    <n v="70.260000000000005"/>
    <n v="7"/>
    <n v="2529.36"/>
    <d v="2005-03-03T00:00:00"/>
    <s v="Shipped"/>
    <n v="1"/>
    <x v="11"/>
    <n v="2005"/>
    <x v="1"/>
    <n v="79"/>
    <s v="S12_3990"/>
    <s v="Scandinavian Gift Ideas"/>
    <s v="0695-34 6555"/>
    <s v="?kergatan 24"/>
    <m/>
    <s v="Boras"/>
    <m/>
    <s v="S-844 67"/>
    <s v="Sweden"/>
    <s v="EMEA"/>
    <s v="Larsson"/>
    <s v="Maria"/>
    <s v="Small"/>
    <n v="2529.36"/>
  </r>
  <r>
    <n v="10419"/>
    <n v="34"/>
    <n v="90.17"/>
    <n v="14"/>
    <n v="3065.78"/>
    <d v="2005-05-17T00:00:00"/>
    <s v="Shipped"/>
    <n v="2"/>
    <x v="1"/>
    <n v="2005"/>
    <x v="1"/>
    <n v="79"/>
    <s v="S12_3990"/>
    <s v="Salzburg Collectables"/>
    <s v="6562-9555"/>
    <s v="Geislweg 14"/>
    <m/>
    <s v="Salzburg"/>
    <m/>
    <n v="5020"/>
    <s v="Austria"/>
    <s v="EMEA"/>
    <s v="Pipps"/>
    <s v="Georg"/>
    <s v="Medium"/>
    <n v="3065.78"/>
  </r>
  <r>
    <n v="10104"/>
    <n v="41"/>
    <n v="100"/>
    <n v="9"/>
    <n v="4615.78"/>
    <d v="2003-01-31T00:00:00"/>
    <s v="Shipped"/>
    <n v="1"/>
    <x v="7"/>
    <n v="2003"/>
    <x v="2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115"/>
    <n v="46"/>
    <n v="100"/>
    <n v="5"/>
    <n v="5723.78"/>
    <d v="2003-04-04T00:00:00"/>
    <s v="Shipped"/>
    <n v="2"/>
    <x v="8"/>
    <n v="2003"/>
    <x v="2"/>
    <n v="118"/>
    <s v="S12_4473"/>
    <s v="Classic Legends Inc."/>
    <n v="2125558493"/>
    <s v="5905 Pompton St."/>
    <s v="Suite 750"/>
    <s v="NYC"/>
    <s v="NY"/>
    <n v="10022"/>
    <s v="USA"/>
    <s v="NA"/>
    <s v="Hernandez"/>
    <s v="Maria"/>
    <s v="Medium"/>
    <n v="4600"/>
  </r>
  <r>
    <n v="10127"/>
    <n v="24"/>
    <n v="100"/>
    <n v="11"/>
    <n v="2559.6"/>
    <d v="2003-06-03T00:00:00"/>
    <s v="Shipped"/>
    <n v="2"/>
    <x v="9"/>
    <n v="2003"/>
    <x v="2"/>
    <n v="118"/>
    <s v="S12_4473"/>
    <s v="Muscle Machine Inc"/>
    <n v="2125557413"/>
    <s v="4092 Furth Circle"/>
    <s v="Suite 400"/>
    <s v="NYC"/>
    <s v="NY"/>
    <n v="10022"/>
    <s v="USA"/>
    <s v="NA"/>
    <s v="Young"/>
    <s v="Jeff"/>
    <s v="Small"/>
    <n v="2400"/>
  </r>
  <r>
    <n v="10141"/>
    <n v="21"/>
    <n v="100"/>
    <n v="5"/>
    <n v="2140.11"/>
    <d v="2003-08-01T00:00:00"/>
    <s v="Shipped"/>
    <n v="3"/>
    <x v="3"/>
    <n v="2003"/>
    <x v="2"/>
    <n v="118"/>
    <s v="S12_4473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2100"/>
  </r>
  <r>
    <n v="10151"/>
    <n v="24"/>
    <n v="100"/>
    <n v="3"/>
    <n v="3327.6"/>
    <d v="2003-09-21T00:00:00"/>
    <s v="Shipped"/>
    <n v="3"/>
    <x v="10"/>
    <n v="2003"/>
    <x v="2"/>
    <n v="118"/>
    <s v="S12_4473"/>
    <s v="Oulu Toy Supplies, Inc."/>
    <s v="981-443655"/>
    <s v="Torikatu 38"/>
    <m/>
    <s v="Oulu"/>
    <m/>
    <n v="90110"/>
    <s v="Finland"/>
    <s v="EMEA"/>
    <s v="Koskitalo"/>
    <s v="Pirkko"/>
    <s v="Medium"/>
    <n v="2400"/>
  </r>
  <r>
    <n v="10165"/>
    <n v="48"/>
    <n v="100"/>
    <n v="12"/>
    <n v="6825.6"/>
    <d v="2003-10-22T00:00:00"/>
    <s v="Shipped"/>
    <n v="4"/>
    <x v="4"/>
    <n v="2003"/>
    <x v="2"/>
    <n v="118"/>
    <s v="S12_4473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4800"/>
  </r>
  <r>
    <n v="10175"/>
    <n v="26"/>
    <n v="100"/>
    <n v="1"/>
    <n v="3543.28"/>
    <d v="2003-11-06T00:00:00"/>
    <s v="Shipped"/>
    <n v="4"/>
    <x v="5"/>
    <n v="2003"/>
    <x v="2"/>
    <n v="118"/>
    <s v="S12_4473"/>
    <s v="Stylish Desk Decors, Co."/>
    <s v="(171) 555-0297"/>
    <s v="35 King George"/>
    <m/>
    <s v="London"/>
    <m/>
    <s v="WX3 6FW"/>
    <s v="UK"/>
    <s v="EMEA"/>
    <s v="Brown"/>
    <s v="Ann"/>
    <s v="Medium"/>
    <n v="2600"/>
  </r>
  <r>
    <n v="10184"/>
    <n v="37"/>
    <n v="100"/>
    <n v="6"/>
    <n v="4516.22"/>
    <d v="2003-11-14T00:00:00"/>
    <s v="Shipped"/>
    <n v="4"/>
    <x v="5"/>
    <n v="2003"/>
    <x v="2"/>
    <n v="118"/>
    <s v="S12_4473"/>
    <s v="Iberia Gift Imports, Corp."/>
    <s v="(95) 555 82 82"/>
    <s v="C/ Romero, 33"/>
    <m/>
    <s v="Sevilla"/>
    <m/>
    <n v="41101"/>
    <s v="Spain"/>
    <s v="EMEA"/>
    <s v="Roel"/>
    <s v="Jose Pedro"/>
    <s v="Medium"/>
    <n v="3700"/>
  </r>
  <r>
    <n v="10195"/>
    <n v="49"/>
    <n v="100"/>
    <n v="6"/>
    <n v="6445.46"/>
    <d v="2003-11-25T00:00:00"/>
    <s v="Shipped"/>
    <n v="4"/>
    <x v="5"/>
    <n v="2003"/>
    <x v="2"/>
    <n v="118"/>
    <s v="S12_4473"/>
    <s v="Mini Classics"/>
    <n v="9145554562"/>
    <s v="3758 North Pendale Street"/>
    <m/>
    <s v="White Plains"/>
    <s v="NY"/>
    <n v="24067"/>
    <s v="USA"/>
    <s v="NA"/>
    <s v="Frick"/>
    <s v="Steve"/>
    <s v="Medium"/>
    <n v="4900"/>
  </r>
  <r>
    <n v="10207"/>
    <n v="34"/>
    <n v="99.54"/>
    <n v="7"/>
    <n v="3384.36"/>
    <d v="2003-12-09T00:00:00"/>
    <s v="Shipped"/>
    <n v="4"/>
    <x v="6"/>
    <n v="2003"/>
    <x v="2"/>
    <n v="118"/>
    <s v="S12_4473"/>
    <s v="Diecast Collectables"/>
    <n v="6175552555"/>
    <s v="6251 Ingle Ln."/>
    <m/>
    <s v="Boston"/>
    <s v="MA"/>
    <n v="51003"/>
    <s v="USA"/>
    <s v="NA"/>
    <s v="Franco"/>
    <s v="Valarie"/>
    <s v="Medium"/>
    <n v="3384.36"/>
  </r>
  <r>
    <n v="10219"/>
    <n v="48"/>
    <n v="100"/>
    <n v="2"/>
    <n v="4891.68"/>
    <d v="2004-02-10T00:00:00"/>
    <s v="Shipped"/>
    <n v="1"/>
    <x v="0"/>
    <n v="2004"/>
    <x v="2"/>
    <n v="118"/>
    <s v="S12_4473"/>
    <s v="Signal Collectibles Ltd."/>
    <n v="4155554312"/>
    <s v="2793 Furth Circle"/>
    <m/>
    <s v="Brisbane"/>
    <s v="CA"/>
    <n v="94217"/>
    <s v="USA"/>
    <s v="NA"/>
    <s v="Taylor"/>
    <s v="Sue"/>
    <s v="Medium"/>
    <n v="4800"/>
  </r>
  <r>
    <n v="10229"/>
    <n v="36"/>
    <n v="100"/>
    <n v="1"/>
    <n v="4521.96"/>
    <d v="2004-03-11T00:00:00"/>
    <s v="Shipped"/>
    <n v="1"/>
    <x v="11"/>
    <n v="2004"/>
    <x v="2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Medium"/>
    <n v="3600"/>
  </r>
  <r>
    <n v="10246"/>
    <n v="46"/>
    <n v="100"/>
    <n v="5"/>
    <n v="5069.66"/>
    <d v="2004-05-05T00:00:00"/>
    <s v="Shipped"/>
    <n v="2"/>
    <x v="1"/>
    <n v="2004"/>
    <x v="2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  <n v="4600"/>
  </r>
  <r>
    <n v="10259"/>
    <n v="46"/>
    <n v="100"/>
    <n v="4"/>
    <n v="6541.2"/>
    <d v="2004-06-15T00:00:00"/>
    <s v="Shipped"/>
    <n v="2"/>
    <x v="9"/>
    <n v="2004"/>
    <x v="2"/>
    <n v="118"/>
    <s v="S12_4473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4600"/>
  </r>
  <r>
    <n v="10271"/>
    <n v="31"/>
    <n v="97.17"/>
    <n v="5"/>
    <n v="3012.27"/>
    <d v="2004-07-20T00:00:00"/>
    <s v="Shipped"/>
    <n v="3"/>
    <x v="2"/>
    <n v="2004"/>
    <x v="2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Medium"/>
    <n v="3012.27"/>
  </r>
  <r>
    <n v="10281"/>
    <n v="41"/>
    <n v="100"/>
    <n v="1"/>
    <n v="5247.18"/>
    <d v="2004-08-19T00:00:00"/>
    <s v="Shipped"/>
    <n v="3"/>
    <x v="3"/>
    <n v="2004"/>
    <x v="2"/>
    <n v="118"/>
    <s v="S12_4473"/>
    <s v="Diecast Classics Inc."/>
    <n v="2155551555"/>
    <s v="7586 Pompton St."/>
    <m/>
    <s v="Allentown"/>
    <s v="PA"/>
    <n v="70267"/>
    <s v="USA"/>
    <s v="NA"/>
    <s v="Yu"/>
    <s v="Kyung"/>
    <s v="Medium"/>
    <n v="4100"/>
  </r>
  <r>
    <n v="10292"/>
    <n v="21"/>
    <n v="100"/>
    <n v="8"/>
    <n v="2214.87"/>
    <d v="2004-09-08T00:00:00"/>
    <s v="Shipped"/>
    <n v="3"/>
    <x v="10"/>
    <n v="2004"/>
    <x v="2"/>
    <n v="118"/>
    <s v="S12_4473"/>
    <s v="Land of Toys Inc."/>
    <n v="2125557818"/>
    <s v="897 Long Airport Avenue"/>
    <m/>
    <s v="NYC"/>
    <s v="NY"/>
    <n v="10022"/>
    <s v="USA"/>
    <s v="NA"/>
    <s v="Yu"/>
    <s v="Kwai"/>
    <s v="Small"/>
    <n v="2100"/>
  </r>
  <r>
    <n v="10305"/>
    <n v="38"/>
    <n v="100"/>
    <n v="5"/>
    <n v="4773.18"/>
    <d v="2004-10-13T00:00:00"/>
    <s v="Shipped"/>
    <n v="4"/>
    <x v="4"/>
    <n v="2004"/>
    <x v="2"/>
    <n v="118"/>
    <s v="S12_4473"/>
    <s v="Marta's Replicas Co."/>
    <n v="6175558555"/>
    <s v="39323 Spinnaker Dr."/>
    <m/>
    <s v="Cambridge"/>
    <s v="MA"/>
    <n v="51247"/>
    <s v="USA"/>
    <s v="NA"/>
    <s v="Hernandez"/>
    <s v="Marta"/>
    <s v="Medium"/>
    <n v="3800"/>
  </r>
  <r>
    <n v="10314"/>
    <n v="45"/>
    <n v="100"/>
    <n v="14"/>
    <n v="6185.7"/>
    <d v="2004-10-22T00:00:00"/>
    <s v="Shipped"/>
    <n v="4"/>
    <x v="4"/>
    <n v="2004"/>
    <x v="2"/>
    <n v="118"/>
    <s v="S12_4473"/>
    <s v="Heintze Collectables"/>
    <s v="86 21 3555"/>
    <s v="Smagsloget 45"/>
    <m/>
    <s v="Aaarhus"/>
    <m/>
    <n v="8200"/>
    <s v="Denmark"/>
    <s v="EMEA"/>
    <s v="Ibsen"/>
    <s v="Palle"/>
    <s v="Medium"/>
    <n v="4500"/>
  </r>
  <r>
    <n v="10324"/>
    <n v="26"/>
    <n v="58.38"/>
    <n v="7"/>
    <n v="1517.88"/>
    <d v="2004-11-05T00:00:00"/>
    <s v="Shipped"/>
    <n v="4"/>
    <x v="5"/>
    <n v="2004"/>
    <x v="2"/>
    <n v="118"/>
    <s v="S12_4473"/>
    <s v="Vitachrome Inc."/>
    <n v="2125551500"/>
    <s v="2678 Kingston Rd."/>
    <s v="Suite 101"/>
    <s v="NYC"/>
    <s v="NY"/>
    <n v="10022"/>
    <s v="USA"/>
    <s v="NA"/>
    <s v="Frick"/>
    <s v="Michael"/>
    <s v="Small"/>
    <n v="1517.88"/>
  </r>
  <r>
    <n v="10336"/>
    <n v="38"/>
    <n v="100"/>
    <n v="3"/>
    <n v="6372.6"/>
    <d v="2004-11-20T00:00:00"/>
    <s v="Shipped"/>
    <n v="4"/>
    <x v="5"/>
    <n v="2004"/>
    <x v="2"/>
    <n v="118"/>
    <s v="S12_4473"/>
    <s v="La Corne D'abondance, Co."/>
    <s v="(1) 42.34.2555"/>
    <s v="265, boulevard Charonne"/>
    <m/>
    <s v="Paris"/>
    <m/>
    <n v="75012"/>
    <s v="France"/>
    <s v="EMEA"/>
    <s v="Bertrand"/>
    <s v="Marie"/>
    <s v="Medium"/>
    <n v="3800"/>
  </r>
  <r>
    <n v="10349"/>
    <n v="48"/>
    <n v="100"/>
    <n v="9"/>
    <n v="5232.96"/>
    <d v="2004-12-01T00:00:00"/>
    <s v="Shipped"/>
    <n v="4"/>
    <x v="6"/>
    <n v="2004"/>
    <x v="2"/>
    <n v="118"/>
    <s v="S12_4473"/>
    <s v="Muscle Machine Inc"/>
    <n v="2125557413"/>
    <s v="4092 Furth Circle"/>
    <s v="Suite 400"/>
    <s v="NYC"/>
    <s v="NY"/>
    <n v="10022"/>
    <s v="USA"/>
    <s v="NA"/>
    <s v="Young"/>
    <s v="Jeff"/>
    <s v="Medium"/>
    <n v="4800"/>
  </r>
  <r>
    <n v="10358"/>
    <n v="42"/>
    <n v="64.16"/>
    <n v="9"/>
    <n v="2694.72"/>
    <d v="2004-12-10T00:00:00"/>
    <s v="Shipped"/>
    <n v="4"/>
    <x v="6"/>
    <n v="2004"/>
    <x v="2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Small"/>
    <n v="2694.72"/>
  </r>
  <r>
    <n v="10371"/>
    <n v="49"/>
    <n v="35.71"/>
    <n v="4"/>
    <n v="1749.79"/>
    <d v="2005-01-23T00:00:00"/>
    <s v="Shipped"/>
    <n v="1"/>
    <x v="7"/>
    <n v="2005"/>
    <x v="2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Small"/>
    <n v="1749.79"/>
  </r>
  <r>
    <n v="10382"/>
    <n v="32"/>
    <n v="66.58"/>
    <n v="13"/>
    <n v="2130.56"/>
    <d v="2005-02-17T00:00:00"/>
    <s v="Shipped"/>
    <n v="1"/>
    <x v="0"/>
    <n v="2005"/>
    <x v="2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Small"/>
    <n v="2130.56"/>
  </r>
  <r>
    <n v="10412"/>
    <n v="54"/>
    <n v="100"/>
    <n v="5"/>
    <n v="5951.34"/>
    <d v="2005-05-03T00:00:00"/>
    <s v="Shipped"/>
    <n v="2"/>
    <x v="1"/>
    <n v="2005"/>
    <x v="2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  <n v="5400"/>
  </r>
  <r>
    <n v="10425"/>
    <n v="33"/>
    <n v="100"/>
    <n v="4"/>
    <n v="4692.6000000000004"/>
    <d v="2005-05-31T00:00:00"/>
    <s v="In Process"/>
    <n v="2"/>
    <x v="1"/>
    <n v="2005"/>
    <x v="2"/>
    <n v="118"/>
    <s v="S12_4473"/>
    <s v="La Rochelle Gifts"/>
    <s v="40.67.8555"/>
    <s v="67, rue des Cinquante Otages"/>
    <m/>
    <s v="Nantes"/>
    <m/>
    <n v="44000"/>
    <s v="France"/>
    <s v="EMEA"/>
    <s v="Labrune"/>
    <s v="Janine"/>
    <s v="Medium"/>
    <n v="3300"/>
  </r>
  <r>
    <n v="10108"/>
    <n v="36"/>
    <n v="100"/>
    <n v="3"/>
    <n v="3731.04"/>
    <d v="2003-03-03T00:00:00"/>
    <s v="Shipped"/>
    <n v="1"/>
    <x v="11"/>
    <n v="2003"/>
    <x v="1"/>
    <n v="115"/>
    <s v="S12_4675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3600"/>
  </r>
  <r>
    <n v="10122"/>
    <n v="20"/>
    <n v="100"/>
    <n v="7"/>
    <n v="2142"/>
    <d v="2003-05-08T00:00:00"/>
    <s v="Shipped"/>
    <n v="2"/>
    <x v="1"/>
    <n v="2003"/>
    <x v="1"/>
    <n v="115"/>
    <s v="S12_4675"/>
    <s v="Marseille Mini Autos"/>
    <s v="91.24.4555"/>
    <s v="12, rue des Bouchers"/>
    <m/>
    <s v="Marseille"/>
    <m/>
    <n v="13008"/>
    <s v="France"/>
    <s v="EMEA"/>
    <s v="Lebihan"/>
    <s v="Laurence"/>
    <s v="Small"/>
    <n v="2000"/>
  </r>
  <r>
    <n v="10135"/>
    <n v="29"/>
    <n v="97.89"/>
    <n v="4"/>
    <n v="2838.81"/>
    <d v="2003-07-02T00:00:00"/>
    <s v="Shipped"/>
    <n v="3"/>
    <x v="2"/>
    <n v="2003"/>
    <x v="1"/>
    <n v="115"/>
    <s v="S12_4675"/>
    <s v="Mini Gifts Distributors Ltd."/>
    <n v="4155551450"/>
    <s v="5677 Strong St."/>
    <m/>
    <s v="San Rafael"/>
    <s v="CA"/>
    <n v="97562"/>
    <s v="USA"/>
    <s v="NA"/>
    <s v="Nelson"/>
    <s v="Valarie"/>
    <s v="Small"/>
    <n v="2838.81"/>
  </r>
  <r>
    <n v="10147"/>
    <n v="33"/>
    <n v="97.89"/>
    <n v="4"/>
    <n v="3230.37"/>
    <d v="2003-09-05T00:00:00"/>
    <s v="Shipped"/>
    <n v="3"/>
    <x v="10"/>
    <n v="2003"/>
    <x v="1"/>
    <n v="115"/>
    <s v="S12_4675"/>
    <s v="Collectables For Less Inc."/>
    <n v="6175558555"/>
    <s v="7825 Douglas Av."/>
    <m/>
    <s v="Brickhaven"/>
    <s v="MA"/>
    <n v="58339"/>
    <s v="USA"/>
    <s v="NA"/>
    <s v="Nelson"/>
    <s v="Allen"/>
    <s v="Medium"/>
    <n v="3230.37"/>
  </r>
  <r>
    <n v="10160"/>
    <n v="50"/>
    <n v="100"/>
    <n v="5"/>
    <n v="5182"/>
    <d v="2003-10-11T00:00:00"/>
    <s v="Shipped"/>
    <n v="4"/>
    <x v="4"/>
    <n v="2003"/>
    <x v="1"/>
    <n v="115"/>
    <s v="S12_4675"/>
    <s v="Men 'R' US Retailers, Ltd."/>
    <n v="2155554369"/>
    <s v="6047 Douglas Av."/>
    <m/>
    <s v="Los Angeles"/>
    <s v="CA"/>
    <m/>
    <s v="USA"/>
    <s v="NA"/>
    <s v="Chandler"/>
    <s v="Michael"/>
    <s v="Medium"/>
    <n v="5000"/>
  </r>
  <r>
    <n v="10170"/>
    <n v="41"/>
    <n v="100"/>
    <n v="3"/>
    <n v="4391.1000000000004"/>
    <d v="2003-11-04T00:00:00"/>
    <s v="Shipped"/>
    <n v="4"/>
    <x v="5"/>
    <n v="2003"/>
    <x v="1"/>
    <n v="115"/>
    <s v="S12_4675"/>
    <s v="Mini Auto Werke"/>
    <s v="7675-3555"/>
    <s v="Kirchgasse 6"/>
    <m/>
    <s v="Graz"/>
    <m/>
    <n v="8010"/>
    <s v="Austria"/>
    <s v="EMEA"/>
    <s v="Mendel"/>
    <s v="Roland"/>
    <s v="Medium"/>
    <n v="4100"/>
  </r>
  <r>
    <n v="10181"/>
    <n v="36"/>
    <n v="100"/>
    <n v="11"/>
    <n v="4477.32"/>
    <d v="2003-11-12T00:00:00"/>
    <s v="Shipped"/>
    <n v="4"/>
    <x v="5"/>
    <n v="2003"/>
    <x v="1"/>
    <n v="115"/>
    <s v="S12_4675"/>
    <s v="Herkku Gifts"/>
    <s v="+47 2267 3215"/>
    <s v="Drammen 121, PR 744 Sentrum"/>
    <m/>
    <s v="Bergen"/>
    <m/>
    <s v="N 5804"/>
    <s v="Norway"/>
    <s v="EMEA"/>
    <s v="Oeztan"/>
    <s v="Veysel"/>
    <s v="Medium"/>
    <n v="3600"/>
  </r>
  <r>
    <n v="10192"/>
    <n v="27"/>
    <n v="100"/>
    <n v="16"/>
    <n v="3544.56"/>
    <d v="2003-11-20T00:00:00"/>
    <s v="Shipped"/>
    <n v="4"/>
    <x v="5"/>
    <n v="2003"/>
    <x v="1"/>
    <n v="115"/>
    <s v="S12_4675"/>
    <s v="Online Diecast Creations Co."/>
    <n v="6035558647"/>
    <s v="2304 Long Airport Avenue"/>
    <m/>
    <s v="Nashua"/>
    <s v="NH"/>
    <n v="62005"/>
    <s v="USA"/>
    <s v="NA"/>
    <s v="Young"/>
    <s v="Valarie"/>
    <s v="Medium"/>
    <n v="2700"/>
  </r>
  <r>
    <n v="10203"/>
    <n v="47"/>
    <n v="100"/>
    <n v="5"/>
    <n v="5195.8500000000004"/>
    <d v="2003-12-02T00:00:00"/>
    <s v="Shipped"/>
    <n v="4"/>
    <x v="6"/>
    <n v="2003"/>
    <x v="1"/>
    <n v="115"/>
    <s v="S12_4675"/>
    <s v="Euro Shopping Channel"/>
    <s v="(91) 555 94 44"/>
    <s v="C/ Moralzarzal, 86"/>
    <m/>
    <s v="Madrid"/>
    <m/>
    <n v="28034"/>
    <s v="Spain"/>
    <s v="EMEA"/>
    <s v="Freyre"/>
    <s v="Diego"/>
    <s v="Medium"/>
    <n v="4700"/>
  </r>
  <r>
    <n v="10212"/>
    <n v="33"/>
    <n v="100"/>
    <n v="15"/>
    <n v="4180.4399999999996"/>
    <d v="2004-01-16T00:00:00"/>
    <s v="Shipped"/>
    <n v="1"/>
    <x v="7"/>
    <n v="2004"/>
    <x v="1"/>
    <n v="115"/>
    <s v="S12_4675"/>
    <s v="Euro Shopping Channel"/>
    <s v="(91) 555 94 44"/>
    <s v="C/ Moralzarzal, 86"/>
    <m/>
    <s v="Madrid"/>
    <m/>
    <n v="28034"/>
    <s v="Spain"/>
    <s v="EMEA"/>
    <s v="Freyre"/>
    <s v="Diego"/>
    <s v="Medium"/>
    <n v="3300"/>
  </r>
  <r>
    <n v="10225"/>
    <n v="21"/>
    <n v="100"/>
    <n v="6"/>
    <n v="2684.43"/>
    <d v="2004-02-22T00:00:00"/>
    <s v="Shipped"/>
    <n v="1"/>
    <x v="0"/>
    <n v="2004"/>
    <x v="1"/>
    <n v="115"/>
    <s v="S12_4675"/>
    <s v="Vida Sport, Ltd"/>
    <s v="0897-034555"/>
    <s v="Grenzacherweg 237"/>
    <m/>
    <s v="Gensve"/>
    <m/>
    <n v="1203"/>
    <s v="Switzerland"/>
    <s v="EMEA"/>
    <s v="Holz"/>
    <s v="Michael"/>
    <s v="Small"/>
    <n v="2100"/>
  </r>
  <r>
    <n v="10239"/>
    <n v="21"/>
    <n v="93.28"/>
    <n v="5"/>
    <n v="1958.88"/>
    <d v="2004-04-12T00:00:00"/>
    <s v="Shipped"/>
    <n v="2"/>
    <x v="8"/>
    <n v="2004"/>
    <x v="1"/>
    <n v="115"/>
    <s v="S12_4675"/>
    <s v="Oulu Toy Supplies, Inc."/>
    <s v="981-443655"/>
    <s v="Torikatu 38"/>
    <m/>
    <s v="Oulu"/>
    <m/>
    <n v="90110"/>
    <s v="Finland"/>
    <s v="EMEA"/>
    <s v="Koskitalo"/>
    <s v="Pirkko"/>
    <s v="Small"/>
    <n v="1958.88"/>
  </r>
  <r>
    <n v="10253"/>
    <n v="41"/>
    <n v="100"/>
    <n v="10"/>
    <n v="4910.57"/>
    <d v="2004-06-01T00:00:00"/>
    <s v="Cancelled"/>
    <n v="2"/>
    <x v="9"/>
    <n v="2004"/>
    <x v="1"/>
    <n v="115"/>
    <s v="S12_4675"/>
    <s v="UK Collectables, Ltd."/>
    <s v="(171) 555-2282"/>
    <s v="Berkeley Gardens 12  Brewery"/>
    <m/>
    <s v="Liverpool"/>
    <m/>
    <s v="WX1 6LT"/>
    <s v="UK"/>
    <s v="EMEA"/>
    <s v="Devon"/>
    <s v="Elizabeth"/>
    <s v="Medium"/>
    <n v="4100"/>
  </r>
  <r>
    <n v="10266"/>
    <n v="40"/>
    <n v="100"/>
    <n v="11"/>
    <n v="4468.3999999999996"/>
    <d v="2004-07-06T00:00:00"/>
    <s v="Shipped"/>
    <n v="3"/>
    <x v="2"/>
    <n v="2004"/>
    <x v="1"/>
    <n v="115"/>
    <s v="S12_4675"/>
    <s v="L'ordine Souveniers"/>
    <s v="0522-556555"/>
    <s v="Strada Provinciale 124"/>
    <m/>
    <s v="Reggio Emilia"/>
    <m/>
    <n v="42100"/>
    <s v="Italy"/>
    <s v="EMEA"/>
    <s v="Moroni"/>
    <s v="Maurizio"/>
    <s v="Medium"/>
    <n v="4000"/>
  </r>
  <r>
    <n v="10277"/>
    <n v="28"/>
    <n v="100"/>
    <n v="1"/>
    <n v="3127.88"/>
    <d v="2004-08-04T00:00:00"/>
    <s v="Shipped"/>
    <n v="3"/>
    <x v="3"/>
    <n v="2004"/>
    <x v="1"/>
    <n v="115"/>
    <s v="S12_4675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2800"/>
  </r>
  <r>
    <n v="10287"/>
    <n v="23"/>
    <n v="100"/>
    <n v="9"/>
    <n v="2675.13"/>
    <d v="2004-08-30T00:00:00"/>
    <s v="Shipped"/>
    <n v="3"/>
    <x v="3"/>
    <n v="2004"/>
    <x v="1"/>
    <n v="115"/>
    <s v="S12_4675"/>
    <s v="Vida Sport, Ltd"/>
    <s v="0897-034555"/>
    <s v="Grenzacherweg 237"/>
    <m/>
    <s v="Gensve"/>
    <m/>
    <n v="1203"/>
    <s v="Switzerland"/>
    <s v="EMEA"/>
    <s v="Holz"/>
    <s v="Michael"/>
    <s v="Small"/>
    <n v="2300"/>
  </r>
  <r>
    <n v="10300"/>
    <n v="23"/>
    <n v="100"/>
    <n v="2"/>
    <n v="2807.61"/>
    <d v="2003-10-04T00:00:00"/>
    <s v="Shipped"/>
    <n v="4"/>
    <x v="4"/>
    <n v="2003"/>
    <x v="1"/>
    <n v="115"/>
    <s v="S12_4675"/>
    <s v="Blauer See Auto, Co."/>
    <s v="+49 69 66 90 2555"/>
    <s v="Lyonerstr. 34"/>
    <m/>
    <s v="Frankfurt"/>
    <m/>
    <n v="60528"/>
    <s v="Germany"/>
    <s v="EMEA"/>
    <s v="Keitel"/>
    <s v="Roland"/>
    <s v="Small"/>
    <n v="2300"/>
  </r>
  <r>
    <n v="10310"/>
    <n v="25"/>
    <n v="100"/>
    <n v="7"/>
    <n v="2504.75"/>
    <d v="2004-10-16T00:00:00"/>
    <s v="Shipped"/>
    <n v="4"/>
    <x v="4"/>
    <n v="2004"/>
    <x v="1"/>
    <n v="115"/>
    <s v="S12_4675"/>
    <s v="Toms Spezialitten, Ltd"/>
    <s v="0221-5554327"/>
    <s v="Mehrheimerstr. 369"/>
    <m/>
    <s v="Koln"/>
    <m/>
    <n v="50739"/>
    <s v="Germany"/>
    <s v="EMEA"/>
    <s v="Pfalzheim"/>
    <s v="Henriette"/>
    <s v="Small"/>
    <n v="2500"/>
  </r>
  <r>
    <n v="10321"/>
    <n v="24"/>
    <n v="100"/>
    <n v="15"/>
    <n v="2984.88"/>
    <d v="2004-11-04T00:00:00"/>
    <s v="Shipped"/>
    <n v="4"/>
    <x v="5"/>
    <n v="2004"/>
    <x v="1"/>
    <n v="115"/>
    <s v="S12_4675"/>
    <s v="FunGiftIdeas.com"/>
    <n v="5085552555"/>
    <s v="1785 First Street"/>
    <m/>
    <s v="New Bedford"/>
    <s v="MA"/>
    <n v="50553"/>
    <s v="USA"/>
    <s v="NA"/>
    <s v="Benitez"/>
    <s v="Violeta"/>
    <s v="Small"/>
    <n v="2400"/>
  </r>
  <r>
    <n v="10329"/>
    <n v="39"/>
    <n v="64.739999999999995"/>
    <n v="15"/>
    <n v="2524.86"/>
    <d v="2004-11-15T00:00:00"/>
    <s v="Shipped"/>
    <n v="4"/>
    <x v="5"/>
    <n v="2004"/>
    <x v="1"/>
    <n v="115"/>
    <s v="S12_4675"/>
    <s v="Land of Toys Inc."/>
    <n v="2125557818"/>
    <s v="897 Long Airport Avenue"/>
    <m/>
    <s v="NYC"/>
    <s v="NY"/>
    <n v="10022"/>
    <s v="USA"/>
    <s v="NA"/>
    <s v="Yu"/>
    <s v="Kwai"/>
    <s v="Small"/>
    <n v="2524.8599999999997"/>
  </r>
  <r>
    <n v="10341"/>
    <n v="55"/>
    <n v="75.2"/>
    <n v="7"/>
    <n v="4136"/>
    <d v="2004-11-24T00:00:00"/>
    <s v="Shipped"/>
    <n v="4"/>
    <x v="5"/>
    <n v="2004"/>
    <x v="1"/>
    <n v="115"/>
    <s v="S12_4675"/>
    <s v="Salzburg Collectables"/>
    <s v="6562-9555"/>
    <s v="Geislweg 14"/>
    <m/>
    <s v="Salzburg"/>
    <m/>
    <n v="5020"/>
    <s v="Austria"/>
    <s v="EMEA"/>
    <s v="Pipps"/>
    <s v="Georg"/>
    <s v="Medium"/>
    <n v="4136"/>
  </r>
  <r>
    <n v="10363"/>
    <n v="46"/>
    <n v="88.45"/>
    <n v="6"/>
    <n v="4068.7"/>
    <d v="2005-01-06T00:00:00"/>
    <s v="Shipped"/>
    <n v="1"/>
    <x v="7"/>
    <n v="2005"/>
    <x v="1"/>
    <n v="115"/>
    <s v="S12_4675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4068.7000000000003"/>
  </r>
  <r>
    <n v="10377"/>
    <n v="50"/>
    <n v="100"/>
    <n v="1"/>
    <n v="5182"/>
    <d v="2005-02-09T00:00:00"/>
    <s v="Shipped"/>
    <n v="1"/>
    <x v="0"/>
    <n v="2005"/>
    <x v="1"/>
    <n v="115"/>
    <s v="S12_4675"/>
    <s v="Toys of Finland, Co."/>
    <s v="90-224 8555"/>
    <s v="Keskuskatu 45"/>
    <m/>
    <s v="Helsinki"/>
    <m/>
    <n v="21240"/>
    <s v="Finland"/>
    <s v="EMEA"/>
    <s v="Karttunen"/>
    <s v="Matti"/>
    <s v="Medium"/>
    <n v="5000"/>
  </r>
  <r>
    <n v="10389"/>
    <n v="47"/>
    <n v="100"/>
    <n v="8"/>
    <n v="5243.79"/>
    <d v="2005-03-03T00:00:00"/>
    <s v="Shipped"/>
    <n v="1"/>
    <x v="11"/>
    <n v="2005"/>
    <x v="1"/>
    <n v="115"/>
    <s v="S12_4675"/>
    <s v="Scandinavian Gift Ideas"/>
    <s v="0695-34 6555"/>
    <s v="?kergatan 24"/>
    <m/>
    <s v="Boras"/>
    <m/>
    <s v="S-844 67"/>
    <s v="Sweden"/>
    <s v="EMEA"/>
    <s v="Larsson"/>
    <s v="Maria"/>
    <s v="Medium"/>
    <n v="4700"/>
  </r>
  <r>
    <n v="10405"/>
    <n v="97"/>
    <n v="93.28"/>
    <n v="5"/>
    <n v="9048.16"/>
    <d v="2005-04-14T00:00:00"/>
    <s v="Shipped"/>
    <n v="2"/>
    <x v="8"/>
    <n v="2005"/>
    <x v="1"/>
    <n v="115"/>
    <s v="S12_4675"/>
    <s v="Mini Caravy"/>
    <s v="88.60.1555"/>
    <s v="24, place Kluber"/>
    <m/>
    <s v="Strasbourg"/>
    <m/>
    <n v="67000"/>
    <s v="France"/>
    <s v="EMEA"/>
    <s v="Citeaux"/>
    <s v="Frederique"/>
    <s v="Large"/>
    <n v="9048.16"/>
  </r>
  <r>
    <n v="10419"/>
    <n v="32"/>
    <n v="100"/>
    <n v="10"/>
    <n v="3832.64"/>
    <d v="2005-05-17T00:00:00"/>
    <s v="Shipped"/>
    <n v="2"/>
    <x v="1"/>
    <n v="2005"/>
    <x v="1"/>
    <n v="115"/>
    <s v="S12_4675"/>
    <s v="Salzburg Collectables"/>
    <s v="6562-9555"/>
    <s v="Geislweg 14"/>
    <m/>
    <s v="Salzburg"/>
    <m/>
    <n v="5020"/>
    <s v="Austria"/>
    <s v="EMEA"/>
    <s v="Pipps"/>
    <s v="Georg"/>
    <s v="Medium"/>
    <n v="3200"/>
  </r>
  <r>
    <n v="10103"/>
    <n v="35"/>
    <n v="100"/>
    <n v="10"/>
    <n v="3920"/>
    <d v="2003-01-29T00:00:00"/>
    <s v="Shipped"/>
    <n v="1"/>
    <x v="7"/>
    <n v="2003"/>
    <x v="2"/>
    <n v="116"/>
    <s v="S18_1097"/>
    <s v="Baane Mini Imports"/>
    <s v="07-98 9555"/>
    <s v="Erling Skakkes gate 78"/>
    <m/>
    <s v="Stavern"/>
    <m/>
    <n v="4110"/>
    <s v="Norway"/>
    <s v="EMEA"/>
    <s v="Bergulfsen"/>
    <s v="Jonas"/>
    <s v="Medium"/>
    <n v="3500"/>
  </r>
  <r>
    <n v="10113"/>
    <n v="49"/>
    <n v="100"/>
    <n v="4"/>
    <n v="4916.66"/>
    <d v="2003-03-26T00:00:00"/>
    <s v="Shipped"/>
    <n v="1"/>
    <x v="11"/>
    <n v="2003"/>
    <x v="2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  <n v="4900"/>
  </r>
  <r>
    <n v="10126"/>
    <n v="38"/>
    <n v="100"/>
    <n v="10"/>
    <n v="3857"/>
    <d v="2003-05-28T00:00:00"/>
    <s v="Shipped"/>
    <n v="2"/>
    <x v="1"/>
    <n v="2003"/>
    <x v="2"/>
    <n v="116"/>
    <s v="S18_1097"/>
    <s v="Corrida Auto Replicas, Ltd"/>
    <s v="(91) 555 22 82"/>
    <s v="C/ Araquil, 67"/>
    <m/>
    <s v="Madrid"/>
    <m/>
    <n v="28023"/>
    <s v="Spain"/>
    <s v="EMEA"/>
    <s v="Sommer"/>
    <s v="Mart¡n"/>
    <s v="Medium"/>
    <n v="3800"/>
  </r>
  <r>
    <n v="10140"/>
    <n v="32"/>
    <n v="100"/>
    <n v="10"/>
    <n v="4181.4399999999996"/>
    <d v="2003-07-24T00:00:00"/>
    <s v="Shipped"/>
    <n v="3"/>
    <x v="2"/>
    <n v="2003"/>
    <x v="2"/>
    <n v="116"/>
    <s v="S18_1097"/>
    <s v="Technics Stores Inc."/>
    <n v="6505556809"/>
    <s v="9408 Furth Circle"/>
    <m/>
    <s v="Burlingame"/>
    <s v="CA"/>
    <n v="94217"/>
    <s v="USA"/>
    <s v="NA"/>
    <s v="Hirano"/>
    <s v="Juri"/>
    <s v="Medium"/>
    <n v="3200"/>
  </r>
  <r>
    <n v="10150"/>
    <n v="34"/>
    <n v="100"/>
    <n v="7"/>
    <n v="4641"/>
    <d v="2003-09-19T00:00:00"/>
    <s v="Shipped"/>
    <n v="3"/>
    <x v="10"/>
    <n v="2003"/>
    <x v="2"/>
    <n v="116"/>
    <s v="S18_1097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3400"/>
  </r>
  <r>
    <n v="10164"/>
    <n v="36"/>
    <n v="99.17"/>
    <n v="8"/>
    <n v="3570.12"/>
    <d v="2003-10-21T00:00:00"/>
    <s v="Resolved"/>
    <n v="4"/>
    <x v="4"/>
    <n v="2003"/>
    <x v="2"/>
    <n v="116"/>
    <s v="S18_1097"/>
    <s v="Mini Auto Werke"/>
    <s v="7675-3555"/>
    <s v="Kirchgasse 6"/>
    <m/>
    <s v="Graz"/>
    <m/>
    <n v="8010"/>
    <s v="Austria"/>
    <s v="EMEA"/>
    <s v="Mendel"/>
    <s v="Roland"/>
    <s v="Medium"/>
    <n v="3570.12"/>
  </r>
  <r>
    <n v="10174"/>
    <n v="48"/>
    <n v="93.34"/>
    <n v="3"/>
    <n v="4480.32"/>
    <d v="2003-11-06T00:00:00"/>
    <s v="Shipped"/>
    <n v="4"/>
    <x v="5"/>
    <n v="2003"/>
    <x v="2"/>
    <n v="116"/>
    <s v="S18_109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n v="4480.32"/>
  </r>
  <r>
    <n v="10183"/>
    <n v="21"/>
    <n v="96.84"/>
    <n v="7"/>
    <n v="2033.64"/>
    <d v="2003-11-13T00:00:00"/>
    <s v="Shipped"/>
    <n v="4"/>
    <x v="5"/>
    <n v="2003"/>
    <x v="2"/>
    <n v="116"/>
    <s v="S18_1097"/>
    <s v="Classic Gift Ideas, Inc"/>
    <n v="2155554695"/>
    <s v="782 First Street"/>
    <m/>
    <s v="Philadelphia"/>
    <s v="PA"/>
    <n v="71270"/>
    <s v="USA"/>
    <s v="NA"/>
    <s v="Cervantes"/>
    <s v="Francisca"/>
    <s v="Small"/>
    <n v="2033.64"/>
  </r>
  <r>
    <n v="10194"/>
    <n v="21"/>
    <n v="93.34"/>
    <n v="10"/>
    <n v="1960.14"/>
    <d v="2003-11-25T00:00:00"/>
    <s v="Shipped"/>
    <n v="4"/>
    <x v="5"/>
    <n v="2003"/>
    <x v="2"/>
    <n v="116"/>
    <s v="S18_1097"/>
    <s v="Saveley &amp; Henriot, Co."/>
    <s v="78.32.5555"/>
    <s v="2, rue du Commerce"/>
    <m/>
    <s v="Lyon"/>
    <m/>
    <n v="69004"/>
    <s v="France"/>
    <s v="EMEA"/>
    <s v="Saveley"/>
    <s v="Mary"/>
    <s v="Small"/>
    <n v="1960.14"/>
  </r>
  <r>
    <n v="10206"/>
    <n v="34"/>
    <n v="100"/>
    <n v="5"/>
    <n v="3966.78"/>
    <d v="2003-12-05T00:00:00"/>
    <s v="Shipped"/>
    <n v="4"/>
    <x v="6"/>
    <n v="2003"/>
    <x v="2"/>
    <n v="116"/>
    <s v="S18_1097"/>
    <s v="Canadian Gift Exchange Network"/>
    <s v="(604) 555-3392"/>
    <s v="1900 Oak St."/>
    <m/>
    <s v="Vancouver"/>
    <s v="BC"/>
    <s v="V3F 2K1"/>
    <s v="Canada"/>
    <s v="NA"/>
    <s v="Tannamuri"/>
    <s v="Yoshi"/>
    <s v="Medium"/>
    <n v="3400"/>
  </r>
  <r>
    <n v="10215"/>
    <n v="46"/>
    <n v="100"/>
    <n v="2"/>
    <n v="5152"/>
    <d v="2004-01-29T00:00:00"/>
    <s v="Shipped"/>
    <n v="1"/>
    <x v="7"/>
    <n v="2004"/>
    <x v="2"/>
    <n v="116"/>
    <s v="S18_1097"/>
    <s v="West Coast Collectables Co."/>
    <n v="3105553722"/>
    <s v="3675 Furth Circle"/>
    <m/>
    <s v="Burbank"/>
    <s v="CA"/>
    <n v="94019"/>
    <s v="USA"/>
    <s v="NA"/>
    <s v="Thompson"/>
    <s v="Steve"/>
    <s v="Medium"/>
    <n v="4600"/>
  </r>
  <r>
    <n v="10228"/>
    <n v="32"/>
    <n v="100"/>
    <n v="1"/>
    <n v="3360"/>
    <d v="2004-03-10T00:00:00"/>
    <s v="Shipped"/>
    <n v="1"/>
    <x v="11"/>
    <n v="2004"/>
    <x v="2"/>
    <n v="116"/>
    <s v="S18_1097"/>
    <s v="Cambridge Collectables Co."/>
    <n v="6175555555"/>
    <s v="4658 Baden Av."/>
    <m/>
    <s v="Cambridge"/>
    <s v="MA"/>
    <n v="51247"/>
    <s v="USA"/>
    <s v="NA"/>
    <s v="Tseng"/>
    <s v="Kyung"/>
    <s v="Medium"/>
    <n v="3200"/>
  </r>
  <r>
    <n v="10245"/>
    <n v="29"/>
    <n v="100"/>
    <n v="8"/>
    <n v="3451"/>
    <d v="2004-05-04T00:00:00"/>
    <s v="Shipped"/>
    <n v="2"/>
    <x v="1"/>
    <n v="2004"/>
    <x v="2"/>
    <n v="116"/>
    <s v="S18_1097"/>
    <s v="Super Scale Inc."/>
    <n v="2035559545"/>
    <s v="567 North Pendale Street"/>
    <m/>
    <s v="New Haven"/>
    <s v="CT"/>
    <n v="97823"/>
    <s v="USA"/>
    <s v="NA"/>
    <s v="Murphy"/>
    <s v="Leslie"/>
    <s v="Medium"/>
    <n v="2900"/>
  </r>
  <r>
    <n v="10258"/>
    <n v="41"/>
    <n v="100"/>
    <n v="5"/>
    <n v="5453"/>
    <d v="2004-06-15T00:00:00"/>
    <s v="Shipped"/>
    <n v="2"/>
    <x v="9"/>
    <n v="2004"/>
    <x v="2"/>
    <n v="116"/>
    <s v="S18_1097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4100"/>
  </r>
  <r>
    <n v="10270"/>
    <n v="43"/>
    <n v="96.84"/>
    <n v="8"/>
    <n v="4164.12"/>
    <d v="2004-07-19T00:00:00"/>
    <s v="Shipped"/>
    <n v="3"/>
    <x v="2"/>
    <n v="2004"/>
    <x v="2"/>
    <n v="116"/>
    <s v="S18_109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4164.12"/>
  </r>
  <r>
    <n v="10280"/>
    <n v="24"/>
    <n v="100"/>
    <n v="1"/>
    <n v="2800.08"/>
    <d v="2004-08-17T00:00:00"/>
    <s v="Shipped"/>
    <n v="3"/>
    <x v="3"/>
    <n v="2004"/>
    <x v="2"/>
    <n v="116"/>
    <s v="S18_1097"/>
    <s v="Amica Models &amp; Co."/>
    <s v="011-4988555"/>
    <s v="Via Monte Bianco 34"/>
    <m/>
    <s v="Torino"/>
    <m/>
    <n v="10100"/>
    <s v="Italy"/>
    <s v="EMEA"/>
    <s v="Accorti"/>
    <s v="Paolo"/>
    <s v="Small"/>
    <n v="2400"/>
  </r>
  <r>
    <n v="10291"/>
    <n v="41"/>
    <n v="100"/>
    <n v="10"/>
    <n v="4687.9399999999996"/>
    <d v="2004-09-08T00:00:00"/>
    <s v="Shipped"/>
    <n v="3"/>
    <x v="10"/>
    <n v="2004"/>
    <x v="2"/>
    <n v="116"/>
    <s v="S18_1097"/>
    <s v="Scandinavian Gift Ideas"/>
    <s v="0695-34 6555"/>
    <s v="?kergatan 24"/>
    <m/>
    <s v="Boras"/>
    <m/>
    <s v="S-844 67"/>
    <s v="Sweden"/>
    <s v="EMEA"/>
    <s v="Larsson"/>
    <s v="Maria"/>
    <s v="Medium"/>
    <n v="4100"/>
  </r>
  <r>
    <n v="10304"/>
    <n v="46"/>
    <n v="98"/>
    <n v="5"/>
    <n v="4508"/>
    <d v="2004-10-11T00:00:00"/>
    <s v="Shipped"/>
    <n v="4"/>
    <x v="4"/>
    <n v="2004"/>
    <x v="2"/>
    <n v="116"/>
    <s v="S18_1097"/>
    <s v="Auto Assoc. &amp; Cie."/>
    <s v="30.59.8555"/>
    <s v="67, avenue de l'Europe"/>
    <m/>
    <s v="Versailles"/>
    <m/>
    <n v="78000"/>
    <s v="France"/>
    <s v="EMEA"/>
    <s v="Tonini"/>
    <s v="Daniel"/>
    <s v="Medium"/>
    <n v="4508"/>
  </r>
  <r>
    <n v="10312"/>
    <n v="32"/>
    <n v="100"/>
    <n v="2"/>
    <n v="4181.4399999999996"/>
    <d v="2004-10-21T00:00:00"/>
    <s v="Shipped"/>
    <n v="4"/>
    <x v="4"/>
    <n v="2004"/>
    <x v="2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  <n v="3200"/>
  </r>
  <r>
    <n v="10322"/>
    <n v="22"/>
    <n v="100"/>
    <n v="10"/>
    <n v="2251.04"/>
    <d v="2004-11-04T00:00:00"/>
    <s v="Shipped"/>
    <n v="4"/>
    <x v="5"/>
    <n v="2004"/>
    <x v="2"/>
    <n v="116"/>
    <s v="S18_1097"/>
    <s v="Online Diecast Creations Co."/>
    <n v="6035558647"/>
    <s v="2304 Long Airport Avenue"/>
    <m/>
    <s v="Nashua"/>
    <s v="NH"/>
    <n v="62005"/>
    <s v="USA"/>
    <s v="NA"/>
    <s v="Young"/>
    <s v="Valarie"/>
    <s v="Small"/>
    <n v="2200"/>
  </r>
  <r>
    <n v="10333"/>
    <n v="29"/>
    <n v="40.25"/>
    <n v="7"/>
    <n v="1167.25"/>
    <d v="2004-11-18T00:00:00"/>
    <s v="Shipped"/>
    <n v="4"/>
    <x v="5"/>
    <n v="2004"/>
    <x v="2"/>
    <n v="116"/>
    <s v="S18_1097"/>
    <s v="Mini Wheels Co."/>
    <n v="6505555787"/>
    <s v="5557 North Pendale Street"/>
    <m/>
    <s v="San Francisco"/>
    <s v="CA"/>
    <m/>
    <s v="USA"/>
    <s v="NA"/>
    <s v="Murphy"/>
    <s v="Julie"/>
    <s v="Small"/>
    <n v="1167.25"/>
  </r>
  <r>
    <n v="10347"/>
    <n v="42"/>
    <n v="49.6"/>
    <n v="5"/>
    <n v="2083.1999999999998"/>
    <d v="2004-11-29T00:00:00"/>
    <s v="Shipped"/>
    <n v="4"/>
    <x v="5"/>
    <n v="2004"/>
    <x v="2"/>
    <n v="116"/>
    <s v="S18_109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083.2000000000003"/>
  </r>
  <r>
    <n v="10357"/>
    <n v="39"/>
    <n v="98"/>
    <n v="1"/>
    <n v="3822"/>
    <d v="2004-12-10T00:00:00"/>
    <s v="Shipped"/>
    <n v="4"/>
    <x v="6"/>
    <n v="2004"/>
    <x v="2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  <n v="3822"/>
  </r>
  <r>
    <n v="10370"/>
    <n v="27"/>
    <n v="100"/>
    <n v="1"/>
    <n v="3911.49"/>
    <d v="2005-01-20T00:00:00"/>
    <s v="Shipped"/>
    <n v="1"/>
    <x v="7"/>
    <n v="2005"/>
    <x v="2"/>
    <n v="116"/>
    <s v="S18_109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2700"/>
  </r>
  <r>
    <n v="10381"/>
    <n v="48"/>
    <n v="98"/>
    <n v="2"/>
    <n v="4704"/>
    <d v="2005-02-17T00:00:00"/>
    <s v="Shipped"/>
    <n v="1"/>
    <x v="0"/>
    <n v="2005"/>
    <x v="2"/>
    <n v="116"/>
    <s v="S18_1097"/>
    <s v="Corporate Gift Ideas Co."/>
    <n v="6505551386"/>
    <s v="7734 Strong St."/>
    <m/>
    <s v="San Francisco"/>
    <s v="CA"/>
    <m/>
    <s v="USA"/>
    <s v="NA"/>
    <s v="Brown"/>
    <s v="Julie"/>
    <s v="Medium"/>
    <n v="4704"/>
  </r>
  <r>
    <n v="10391"/>
    <n v="29"/>
    <n v="85.1"/>
    <n v="10"/>
    <n v="2467.9"/>
    <d v="2005-03-09T00:00:00"/>
    <s v="Shipped"/>
    <n v="1"/>
    <x v="11"/>
    <n v="2005"/>
    <x v="2"/>
    <n v="116"/>
    <s v="S18_1097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467.8999999999996"/>
  </r>
  <r>
    <n v="10411"/>
    <n v="27"/>
    <n v="100"/>
    <n v="8"/>
    <n v="3213"/>
    <d v="2005-05-01T00:00:00"/>
    <s v="Shipped"/>
    <n v="2"/>
    <x v="1"/>
    <n v="2005"/>
    <x v="2"/>
    <n v="116"/>
    <s v="S18_1097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2700"/>
  </r>
  <r>
    <n v="10424"/>
    <n v="54"/>
    <n v="100"/>
    <n v="5"/>
    <n v="7182"/>
    <d v="2005-05-31T00:00:00"/>
    <s v="In Process"/>
    <n v="2"/>
    <x v="1"/>
    <n v="2005"/>
    <x v="2"/>
    <n v="116"/>
    <s v="S18_1097"/>
    <s v="Euro Shopping Channel"/>
    <s v="(91) 555 94 44"/>
    <s v="C/ Moralzarzal, 86"/>
    <m/>
    <s v="Madrid"/>
    <m/>
    <n v="28034"/>
    <s v="Spain"/>
    <s v="EMEA"/>
    <s v="Freyre"/>
    <s v="Diego"/>
    <s v="Large"/>
    <n v="5400"/>
  </r>
  <r>
    <n v="10109"/>
    <n v="26"/>
    <n v="100"/>
    <n v="4"/>
    <n v="4379.18"/>
    <d v="2003-03-10T00:00:00"/>
    <s v="Shipped"/>
    <n v="1"/>
    <x v="11"/>
    <n v="2003"/>
    <x v="1"/>
    <n v="141"/>
    <s v="S18_1129"/>
    <s v="Motor Mint Distributors Inc."/>
    <n v="2155559857"/>
    <s v="11328 Douglas Av."/>
    <m/>
    <s v="Philadelphia"/>
    <s v="PA"/>
    <n v="71270"/>
    <s v="USA"/>
    <s v="NA"/>
    <s v="Hernandez"/>
    <s v="Rosa"/>
    <s v="Medium"/>
    <n v="2600"/>
  </r>
  <r>
    <n v="10122"/>
    <n v="34"/>
    <n v="100"/>
    <n v="2"/>
    <n v="5004.8"/>
    <d v="2003-05-08T00:00:00"/>
    <s v="Shipped"/>
    <n v="2"/>
    <x v="1"/>
    <n v="2003"/>
    <x v="1"/>
    <n v="141"/>
    <s v="S18_1129"/>
    <s v="Marseille Mini Autos"/>
    <s v="91.24.4555"/>
    <s v="12, rue des Bouchers"/>
    <m/>
    <s v="Marseille"/>
    <m/>
    <n v="13008"/>
    <s v="France"/>
    <s v="EMEA"/>
    <s v="Lebihan"/>
    <s v="Laurence"/>
    <s v="Medium"/>
    <n v="3400"/>
  </r>
  <r>
    <n v="10136"/>
    <n v="25"/>
    <n v="100"/>
    <n v="2"/>
    <n v="3644.75"/>
    <d v="2003-07-04T00:00:00"/>
    <s v="Shipped"/>
    <n v="3"/>
    <x v="2"/>
    <n v="2003"/>
    <x v="1"/>
    <n v="141"/>
    <s v="S18_1129"/>
    <s v="Alpha Cognac"/>
    <s v="61.77.6555"/>
    <s v="1 rue Alsace-Lorraine"/>
    <m/>
    <s v="Toulouse"/>
    <m/>
    <n v="31000"/>
    <s v="France"/>
    <s v="EMEA"/>
    <s v="Roulet"/>
    <s v="Annette"/>
    <s v="Medium"/>
    <n v="2500"/>
  </r>
  <r>
    <n v="10148"/>
    <n v="23"/>
    <n v="100"/>
    <n v="13"/>
    <n v="2702.04"/>
    <d v="2003-09-11T00:00:00"/>
    <s v="Shipped"/>
    <n v="3"/>
    <x v="10"/>
    <n v="2003"/>
    <x v="1"/>
    <n v="141"/>
    <s v="S18_112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300"/>
  </r>
  <r>
    <n v="10161"/>
    <n v="28"/>
    <n v="100"/>
    <n v="12"/>
    <n v="3764.88"/>
    <d v="2003-10-17T00:00:00"/>
    <s v="Shipped"/>
    <n v="4"/>
    <x v="4"/>
    <n v="2003"/>
    <x v="1"/>
    <n v="141"/>
    <s v="S18_1129"/>
    <s v="Heintze Collectables"/>
    <s v="86 21 3555"/>
    <s v="Smagsloget 45"/>
    <m/>
    <s v="Aaarhus"/>
    <m/>
    <n v="8200"/>
    <s v="Denmark"/>
    <s v="EMEA"/>
    <s v="Ibsen"/>
    <s v="Palle"/>
    <s v="Medium"/>
    <n v="2800"/>
  </r>
  <r>
    <n v="10171"/>
    <n v="35"/>
    <n v="100"/>
    <n v="2"/>
    <n v="4508"/>
    <d v="2003-11-05T00:00:00"/>
    <s v="Shipped"/>
    <n v="4"/>
    <x v="5"/>
    <n v="2003"/>
    <x v="1"/>
    <n v="141"/>
    <s v="S18_1129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3500"/>
  </r>
  <r>
    <n v="10181"/>
    <n v="44"/>
    <n v="100"/>
    <n v="6"/>
    <n v="5418.16"/>
    <d v="2003-11-12T00:00:00"/>
    <s v="Shipped"/>
    <n v="4"/>
    <x v="5"/>
    <n v="2003"/>
    <x v="1"/>
    <n v="141"/>
    <s v="S18_1129"/>
    <s v="Herkku Gifts"/>
    <s v="+47 2267 3215"/>
    <s v="Drammen 121, PR 744 Sentrum"/>
    <m/>
    <s v="Bergen"/>
    <m/>
    <s v="N 5804"/>
    <s v="Norway"/>
    <s v="EMEA"/>
    <s v="Oeztan"/>
    <s v="Veysel"/>
    <s v="Medium"/>
    <n v="4400"/>
  </r>
  <r>
    <n v="10192"/>
    <n v="22"/>
    <n v="100"/>
    <n v="11"/>
    <n v="3300.66"/>
    <d v="2003-11-20T00:00:00"/>
    <s v="Shipped"/>
    <n v="4"/>
    <x v="5"/>
    <n v="2003"/>
    <x v="1"/>
    <n v="141"/>
    <s v="S18_1129"/>
    <s v="Online Diecast Creations Co."/>
    <n v="6035558647"/>
    <s v="2304 Long Airport Avenue"/>
    <m/>
    <s v="Nashua"/>
    <s v="NH"/>
    <n v="62005"/>
    <s v="USA"/>
    <s v="NA"/>
    <s v="Young"/>
    <s v="Valarie"/>
    <s v="Medium"/>
    <n v="2200"/>
  </r>
  <r>
    <n v="10204"/>
    <n v="42"/>
    <n v="100"/>
    <n v="17"/>
    <n v="6182.4"/>
    <d v="2003-12-02T00:00:00"/>
    <s v="Shipped"/>
    <n v="4"/>
    <x v="6"/>
    <n v="2003"/>
    <x v="1"/>
    <n v="141"/>
    <s v="S18_1129"/>
    <s v="Muscle Machine Inc"/>
    <n v="2125557413"/>
    <s v="4092 Furth Circle"/>
    <s v="Suite 400"/>
    <s v="NYC"/>
    <s v="NY"/>
    <n v="10022"/>
    <s v="USA"/>
    <s v="NA"/>
    <s v="Young"/>
    <s v="Jeff"/>
    <s v="Medium"/>
    <n v="4200"/>
  </r>
  <r>
    <n v="10212"/>
    <n v="29"/>
    <n v="100"/>
    <n v="10"/>
    <n v="4186.7299999999996"/>
    <d v="2004-01-16T00:00:00"/>
    <s v="Shipped"/>
    <n v="1"/>
    <x v="7"/>
    <n v="2004"/>
    <x v="1"/>
    <n v="141"/>
    <s v="S18_1129"/>
    <s v="Euro Shopping Channel"/>
    <s v="(91) 555 94 44"/>
    <s v="C/ Moralzarzal, 86"/>
    <m/>
    <s v="Madrid"/>
    <m/>
    <n v="28034"/>
    <s v="Spain"/>
    <s v="EMEA"/>
    <s v="Freyre"/>
    <s v="Diego"/>
    <s v="Medium"/>
    <n v="2900"/>
  </r>
  <r>
    <n v="10225"/>
    <n v="32"/>
    <n v="100"/>
    <n v="1"/>
    <n v="4529.28"/>
    <d v="2004-02-22T00:00:00"/>
    <s v="Shipped"/>
    <n v="1"/>
    <x v="0"/>
    <n v="2004"/>
    <x v="1"/>
    <n v="141"/>
    <s v="S18_1129"/>
    <s v="Vida Sport, Ltd"/>
    <s v="0897-034555"/>
    <s v="Grenzacherweg 237"/>
    <m/>
    <s v="Gensve"/>
    <m/>
    <n v="1203"/>
    <s v="Switzerland"/>
    <s v="EMEA"/>
    <s v="Holz"/>
    <s v="Michael"/>
    <s v="Medium"/>
    <n v="3200"/>
  </r>
  <r>
    <n v="10240"/>
    <n v="41"/>
    <n v="100"/>
    <n v="3"/>
    <n v="5628.89"/>
    <d v="2004-04-13T00:00:00"/>
    <s v="Shipped"/>
    <n v="2"/>
    <x v="8"/>
    <n v="2004"/>
    <x v="1"/>
    <n v="141"/>
    <s v="S18_1129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n v="4100"/>
  </r>
  <r>
    <n v="10253"/>
    <n v="26"/>
    <n v="100"/>
    <n v="5"/>
    <n v="3054.48"/>
    <d v="2004-06-01T00:00:00"/>
    <s v="Cancelled"/>
    <n v="2"/>
    <x v="9"/>
    <n v="2004"/>
    <x v="1"/>
    <n v="141"/>
    <s v="S18_1129"/>
    <s v="UK Collectables, Ltd."/>
    <s v="(171) 555-2282"/>
    <s v="Berkeley Gardens 12  Brewery"/>
    <m/>
    <s v="Liverpool"/>
    <m/>
    <s v="WX1 6LT"/>
    <s v="UK"/>
    <s v="EMEA"/>
    <s v="Devon"/>
    <s v="Elizabeth"/>
    <s v="Medium"/>
    <n v="2600"/>
  </r>
  <r>
    <n v="10266"/>
    <n v="21"/>
    <n v="100"/>
    <n v="6"/>
    <n v="2526.5100000000002"/>
    <d v="2004-07-06T00:00:00"/>
    <s v="Shipped"/>
    <n v="3"/>
    <x v="2"/>
    <n v="2004"/>
    <x v="1"/>
    <n v="141"/>
    <s v="S18_1129"/>
    <s v="L'ordine Souveniers"/>
    <s v="0522-556555"/>
    <s v="Strada Provinciale 124"/>
    <m/>
    <s v="Reggio Emilia"/>
    <m/>
    <n v="42100"/>
    <s v="Italy"/>
    <s v="EMEA"/>
    <s v="Moroni"/>
    <s v="Maurizio"/>
    <s v="Small"/>
    <n v="2100"/>
  </r>
  <r>
    <n v="10278"/>
    <n v="34"/>
    <n v="100"/>
    <n v="6"/>
    <n v="4667.8599999999997"/>
    <d v="2004-08-06T00:00:00"/>
    <s v="Shipped"/>
    <n v="3"/>
    <x v="3"/>
    <n v="2004"/>
    <x v="1"/>
    <n v="141"/>
    <s v="S18_1129"/>
    <s v="Signal Gift Stores"/>
    <n v="7025551838"/>
    <s v="8489 Strong St."/>
    <m/>
    <s v="Las Vegas"/>
    <s v="NV"/>
    <n v="83030"/>
    <s v="USA"/>
    <s v="NA"/>
    <s v="King"/>
    <s v="Sue"/>
    <s v="Medium"/>
    <n v="3400"/>
  </r>
  <r>
    <n v="10287"/>
    <n v="41"/>
    <n v="100"/>
    <n v="4"/>
    <n v="6499.32"/>
    <d v="2004-08-30T00:00:00"/>
    <s v="Shipped"/>
    <n v="3"/>
    <x v="3"/>
    <n v="2004"/>
    <x v="1"/>
    <n v="141"/>
    <s v="S18_1129"/>
    <s v="Vida Sport, Ltd"/>
    <s v="0897-034555"/>
    <s v="Grenzacherweg 237"/>
    <m/>
    <s v="Gensve"/>
    <m/>
    <n v="1203"/>
    <s v="Switzerland"/>
    <s v="EMEA"/>
    <s v="Holz"/>
    <s v="Michael"/>
    <s v="Medium"/>
    <n v="4100"/>
  </r>
  <r>
    <n v="10301"/>
    <n v="37"/>
    <n v="100"/>
    <n v="8"/>
    <n v="5917.78"/>
    <d v="2003-10-05T00:00:00"/>
    <s v="Shipped"/>
    <n v="4"/>
    <x v="4"/>
    <n v="2003"/>
    <x v="1"/>
    <n v="141"/>
    <s v="S18_1129"/>
    <s v="Norway Gifts By Mail, Co."/>
    <s v="+47 2212 1555"/>
    <s v="Drammensveien 126 A, PB 744 Sentrum"/>
    <m/>
    <s v="Oslo"/>
    <m/>
    <s v="N 0106"/>
    <s v="Norway"/>
    <s v="EMEA"/>
    <s v="Klaeboe"/>
    <s v="Jan"/>
    <s v="Medium"/>
    <n v="3700"/>
  </r>
  <r>
    <n v="10310"/>
    <n v="37"/>
    <n v="100"/>
    <n v="2"/>
    <n v="6231.91"/>
    <d v="2004-10-16T00:00:00"/>
    <s v="Shipped"/>
    <n v="4"/>
    <x v="4"/>
    <n v="2004"/>
    <x v="1"/>
    <n v="141"/>
    <s v="S18_1129"/>
    <s v="Toms Spezialitten, Ltd"/>
    <s v="0221-5554327"/>
    <s v="Mehrheimerstr. 369"/>
    <m/>
    <s v="Koln"/>
    <m/>
    <n v="50739"/>
    <s v="Germany"/>
    <s v="EMEA"/>
    <s v="Pfalzheim"/>
    <s v="Henriette"/>
    <s v="Medium"/>
    <n v="3700"/>
  </r>
  <r>
    <n v="10321"/>
    <n v="41"/>
    <n v="100"/>
    <n v="10"/>
    <n v="5803.14"/>
    <d v="2004-11-04T00:00:00"/>
    <s v="Shipped"/>
    <n v="4"/>
    <x v="5"/>
    <n v="2004"/>
    <x v="1"/>
    <n v="141"/>
    <s v="S18_1129"/>
    <s v="FunGiftIdeas.com"/>
    <n v="5085552555"/>
    <s v="1785 First Street"/>
    <m/>
    <s v="New Bedford"/>
    <s v="MA"/>
    <n v="50553"/>
    <s v="USA"/>
    <s v="NA"/>
    <s v="Benitez"/>
    <s v="Violeta"/>
    <s v="Medium"/>
    <n v="4100"/>
  </r>
  <r>
    <n v="10331"/>
    <n v="46"/>
    <n v="100"/>
    <n v="6"/>
    <n v="6434.02"/>
    <d v="2004-11-17T00:00:00"/>
    <s v="Shipped"/>
    <n v="4"/>
    <x v="5"/>
    <n v="2004"/>
    <x v="1"/>
    <n v="141"/>
    <s v="S18_1129"/>
    <s v="Motor Mint Distributors Inc."/>
    <n v="2155559857"/>
    <s v="11328 Douglas Av."/>
    <m/>
    <s v="Philadelphia"/>
    <s v="PA"/>
    <n v="71270"/>
    <s v="USA"/>
    <s v="NA"/>
    <s v="Hernandez"/>
    <s v="Rosa"/>
    <s v="Medium"/>
    <n v="4600"/>
  </r>
  <r>
    <n v="10342"/>
    <n v="40"/>
    <n v="100"/>
    <n v="2"/>
    <n v="6454.4"/>
    <d v="2004-11-24T00:00:00"/>
    <s v="Shipped"/>
    <n v="4"/>
    <x v="5"/>
    <n v="2004"/>
    <x v="1"/>
    <n v="141"/>
    <s v="S18_112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4000"/>
  </r>
  <r>
    <n v="10356"/>
    <n v="43"/>
    <n v="97.6"/>
    <n v="8"/>
    <n v="4196.8"/>
    <d v="2004-12-09T00:00:00"/>
    <s v="Shipped"/>
    <n v="4"/>
    <x v="6"/>
    <n v="2004"/>
    <x v="1"/>
    <n v="141"/>
    <s v="S18_1129"/>
    <s v="Lyon Souveniers"/>
    <s v="+33 1 46 62 7555"/>
    <s v="27 rue du Colonel Pierre Avia"/>
    <m/>
    <s v="Paris"/>
    <m/>
    <n v="75508"/>
    <s v="France"/>
    <s v="EMEA"/>
    <s v="Da Cunha"/>
    <s v="Daniel"/>
    <s v="Medium"/>
    <n v="4196.8"/>
  </r>
  <r>
    <n v="10365"/>
    <n v="30"/>
    <n v="87.06"/>
    <n v="1"/>
    <n v="2611.8000000000002"/>
    <d v="2005-01-07T00:00:00"/>
    <s v="Shipped"/>
    <n v="1"/>
    <x v="7"/>
    <n v="2005"/>
    <x v="1"/>
    <n v="141"/>
    <s v="S18_1129"/>
    <s v="Mini Creations Ltd."/>
    <n v="5085559555"/>
    <s v="4575 Hillside Dr."/>
    <m/>
    <s v="New Bedford"/>
    <s v="MA"/>
    <n v="50553"/>
    <s v="USA"/>
    <s v="NA"/>
    <s v="Tam"/>
    <s v="Wing C"/>
    <s v="Small"/>
    <n v="2611.8000000000002"/>
  </r>
  <r>
    <n v="10377"/>
    <n v="35"/>
    <n v="100"/>
    <n v="2"/>
    <n v="5895.05"/>
    <d v="2005-02-09T00:00:00"/>
    <s v="Shipped"/>
    <n v="1"/>
    <x v="0"/>
    <n v="2005"/>
    <x v="1"/>
    <n v="141"/>
    <s v="S18_1129"/>
    <s v="Toys of Finland, Co."/>
    <s v="90-224 8555"/>
    <s v="Keskuskatu 45"/>
    <m/>
    <s v="Helsinki"/>
    <m/>
    <n v="21240"/>
    <s v="Finland"/>
    <s v="EMEA"/>
    <s v="Karttunen"/>
    <s v="Matti"/>
    <s v="Medium"/>
    <n v="3500"/>
  </r>
  <r>
    <n v="10390"/>
    <n v="36"/>
    <n v="93.77"/>
    <n v="14"/>
    <n v="3375.72"/>
    <d v="2005-03-04T00:00:00"/>
    <s v="Shipped"/>
    <n v="1"/>
    <x v="11"/>
    <n v="2005"/>
    <x v="1"/>
    <n v="141"/>
    <s v="S18_1129"/>
    <s v="Mini Gifts Distributors Ltd."/>
    <n v="4155551450"/>
    <s v="5677 Strong St."/>
    <m/>
    <s v="San Rafael"/>
    <s v="CA"/>
    <n v="97562"/>
    <s v="USA"/>
    <s v="NA"/>
    <s v="Nelson"/>
    <s v="Valarie"/>
    <s v="Medium"/>
    <n v="3375.72"/>
  </r>
  <r>
    <n v="10406"/>
    <n v="61"/>
    <n v="100"/>
    <n v="3"/>
    <n v="8374.69"/>
    <d v="2005-04-15T00:00:00"/>
    <s v="Disputed"/>
    <n v="2"/>
    <x v="8"/>
    <n v="2005"/>
    <x v="1"/>
    <n v="141"/>
    <s v="S18_1129"/>
    <s v="Danish Wholesale Imports"/>
    <s v="31 12 3555"/>
    <s v="Vinb'ltet 34"/>
    <m/>
    <s v="Kobenhavn"/>
    <m/>
    <n v="1734"/>
    <s v="Denmark"/>
    <s v="EMEA"/>
    <s v="Petersen"/>
    <s v="Jytte"/>
    <s v="Large"/>
    <n v="6100"/>
  </r>
  <r>
    <n v="10419"/>
    <n v="38"/>
    <n v="100"/>
    <n v="5"/>
    <n v="4464.24"/>
    <d v="2005-05-17T00:00:00"/>
    <s v="Shipped"/>
    <n v="2"/>
    <x v="1"/>
    <n v="2005"/>
    <x v="1"/>
    <n v="141"/>
    <s v="S18_1129"/>
    <s v="Salzburg Collectables"/>
    <s v="6562-9555"/>
    <s v="Geislweg 14"/>
    <m/>
    <s v="Salzburg"/>
    <m/>
    <n v="5020"/>
    <s v="Austria"/>
    <s v="EMEA"/>
    <s v="Pipps"/>
    <s v="Georg"/>
    <s v="Medium"/>
    <n v="3800"/>
  </r>
  <r>
    <n v="10102"/>
    <n v="39"/>
    <n v="100"/>
    <n v="2"/>
    <n v="4808.3100000000004"/>
    <d v="2003-01-10T00:00:00"/>
    <s v="Shipped"/>
    <n v="1"/>
    <x v="7"/>
    <n v="2003"/>
    <x v="3"/>
    <n v="102"/>
    <s v="S18_1342"/>
    <s v="Vitachrome Inc."/>
    <n v="2125551500"/>
    <s v="2678 Kingston Rd."/>
    <s v="Suite 101"/>
    <s v="NYC"/>
    <s v="NY"/>
    <n v="10022"/>
    <s v="USA"/>
    <s v="NA"/>
    <s v="Frick"/>
    <s v="Michael"/>
    <s v="Medium"/>
    <n v="3900"/>
  </r>
  <r>
    <n v="10111"/>
    <n v="33"/>
    <n v="99.66"/>
    <n v="6"/>
    <n v="3288.78"/>
    <d v="2003-03-25T00:00:00"/>
    <s v="Shipped"/>
    <n v="1"/>
    <x v="11"/>
    <n v="2003"/>
    <x v="3"/>
    <n v="102"/>
    <s v="S18_1342"/>
    <s v="Mini Wheels Co."/>
    <n v="6505555787"/>
    <s v="5557 North Pendale Street"/>
    <m/>
    <s v="San Francisco"/>
    <s v="CA"/>
    <m/>
    <s v="USA"/>
    <s v="NA"/>
    <s v="Murphy"/>
    <s v="Julie"/>
    <s v="Medium"/>
    <n v="3288.7799999999997"/>
  </r>
  <r>
    <n v="10125"/>
    <n v="32"/>
    <n v="100"/>
    <n v="1"/>
    <n v="3254.72"/>
    <d v="2003-05-21T00:00:00"/>
    <s v="Shipped"/>
    <n v="2"/>
    <x v="1"/>
    <n v="2003"/>
    <x v="3"/>
    <n v="102"/>
    <s v="S18_134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200"/>
  </r>
  <r>
    <n v="10139"/>
    <n v="31"/>
    <n v="100"/>
    <n v="7"/>
    <n v="3184.94"/>
    <d v="2003-07-16T00:00:00"/>
    <s v="Shipped"/>
    <n v="3"/>
    <x v="2"/>
    <n v="2003"/>
    <x v="3"/>
    <n v="102"/>
    <s v="S18_134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100"/>
  </r>
  <r>
    <n v="10149"/>
    <n v="50"/>
    <n v="100"/>
    <n v="4"/>
    <n v="5907.5"/>
    <d v="2003-09-12T00:00:00"/>
    <s v="Shipped"/>
    <n v="3"/>
    <x v="10"/>
    <n v="2003"/>
    <x v="3"/>
    <n v="102"/>
    <s v="S18_1342"/>
    <s v="Signal Collectibles Ltd."/>
    <n v="4155554312"/>
    <s v="2793 Furth Circle"/>
    <m/>
    <s v="Brisbane"/>
    <s v="CA"/>
    <n v="94217"/>
    <s v="USA"/>
    <s v="NA"/>
    <s v="Taylor"/>
    <s v="Sue"/>
    <s v="Medium"/>
    <n v="5000"/>
  </r>
  <r>
    <n v="10162"/>
    <n v="48"/>
    <n v="91.44"/>
    <n v="2"/>
    <n v="4389.12"/>
    <d v="2003-10-18T00:00:00"/>
    <s v="Shipped"/>
    <n v="4"/>
    <x v="4"/>
    <n v="2003"/>
    <x v="3"/>
    <n v="102"/>
    <s v="S18_1342"/>
    <s v="Corporate Gift Ideas Co."/>
    <n v="6505551386"/>
    <s v="7734 Strong St."/>
    <m/>
    <s v="San Francisco"/>
    <s v="CA"/>
    <m/>
    <s v="USA"/>
    <s v="NA"/>
    <s v="Brown"/>
    <s v="Julie"/>
    <s v="Medium"/>
    <n v="4389.12"/>
  </r>
  <r>
    <n v="10173"/>
    <n v="43"/>
    <n v="100"/>
    <n v="6"/>
    <n v="5036.16"/>
    <d v="2003-11-05T00:00:00"/>
    <s v="Shipped"/>
    <n v="4"/>
    <x v="5"/>
    <n v="2003"/>
    <x v="3"/>
    <n v="102"/>
    <s v="S18_1342"/>
    <s v="Rovelli Gifts"/>
    <s v="035-640555"/>
    <s v="Via Ludovico il Moro 22"/>
    <m/>
    <s v="Bergamo"/>
    <m/>
    <n v="24100"/>
    <s v="Italy"/>
    <s v="EMEA"/>
    <s v="Rovelli"/>
    <s v="Giovanni"/>
    <s v="Medium"/>
    <n v="4300"/>
  </r>
  <r>
    <n v="10182"/>
    <n v="25"/>
    <n v="87.33"/>
    <n v="3"/>
    <n v="2183.25"/>
    <d v="2003-11-12T00:00:00"/>
    <s v="Shipped"/>
    <n v="4"/>
    <x v="5"/>
    <n v="2003"/>
    <x v="3"/>
    <n v="102"/>
    <s v="S18_1342"/>
    <s v="Mini Gifts Distributors Ltd."/>
    <n v="4155551450"/>
    <s v="5677 Strong St."/>
    <m/>
    <s v="San Rafael"/>
    <s v="CA"/>
    <n v="97562"/>
    <s v="USA"/>
    <s v="NA"/>
    <s v="Nelson"/>
    <s v="Valarie"/>
    <s v="Small"/>
    <n v="2183.25"/>
  </r>
  <r>
    <n v="10193"/>
    <n v="28"/>
    <n v="100"/>
    <n v="7"/>
    <n v="3106.88"/>
    <d v="2003-11-21T00:00:00"/>
    <s v="Shipped"/>
    <n v="4"/>
    <x v="5"/>
    <n v="2003"/>
    <x v="3"/>
    <n v="102"/>
    <s v="S18_1342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n v="2800"/>
  </r>
  <r>
    <n v="10205"/>
    <n v="36"/>
    <n v="100"/>
    <n v="2"/>
    <n v="3735.72"/>
    <d v="2003-12-03T00:00:00"/>
    <s v="Shipped"/>
    <n v="4"/>
    <x v="6"/>
    <n v="2003"/>
    <x v="3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Medium"/>
    <n v="3600"/>
  </r>
  <r>
    <n v="10215"/>
    <n v="27"/>
    <n v="89.38"/>
    <n v="10"/>
    <n v="2413.2600000000002"/>
    <d v="2004-01-29T00:00:00"/>
    <s v="Shipped"/>
    <n v="1"/>
    <x v="7"/>
    <n v="2004"/>
    <x v="3"/>
    <n v="102"/>
    <s v="S18_1342"/>
    <s v="West Coast Collectables Co."/>
    <n v="3105553722"/>
    <s v="3675 Furth Circle"/>
    <m/>
    <s v="Burbank"/>
    <s v="CA"/>
    <n v="94019"/>
    <s v="USA"/>
    <s v="NA"/>
    <s v="Thompson"/>
    <s v="Steve"/>
    <s v="Small"/>
    <n v="2413.2599999999998"/>
  </r>
  <r>
    <n v="10227"/>
    <n v="25"/>
    <n v="100"/>
    <n v="3"/>
    <n v="2953.75"/>
    <d v="2004-03-02T00:00:00"/>
    <s v="Shipped"/>
    <n v="1"/>
    <x v="11"/>
    <n v="2004"/>
    <x v="3"/>
    <n v="102"/>
    <s v="S18_1342"/>
    <s v="Saveley &amp; Henriot, Co."/>
    <s v="78.32.5555"/>
    <s v="2, rue du Commerce"/>
    <m/>
    <s v="Lyon"/>
    <m/>
    <n v="69004"/>
    <s v="France"/>
    <s v="EMEA"/>
    <s v="Saveley"/>
    <s v="Mary"/>
    <s v="Small"/>
    <n v="2500"/>
  </r>
  <r>
    <n v="10244"/>
    <n v="40"/>
    <n v="100"/>
    <n v="7"/>
    <n v="4684.8"/>
    <d v="2004-04-29T00:00:00"/>
    <s v="Shipped"/>
    <n v="2"/>
    <x v="8"/>
    <n v="2004"/>
    <x v="3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Medium"/>
    <n v="4000"/>
  </r>
  <r>
    <n v="10256"/>
    <n v="34"/>
    <n v="95.55"/>
    <n v="2"/>
    <n v="3248.7"/>
    <d v="2004-06-08T00:00:00"/>
    <s v="Shipped"/>
    <n v="2"/>
    <x v="9"/>
    <n v="2004"/>
    <x v="3"/>
    <n v="102"/>
    <s v="S18_1342"/>
    <s v="Danish Wholesale Imports"/>
    <s v="31 12 3555"/>
    <s v="Vinb'ltet 34"/>
    <m/>
    <s v="Kobenhavn"/>
    <m/>
    <n v="1734"/>
    <s v="Denmark"/>
    <s v="EMEA"/>
    <s v="Petersen"/>
    <s v="Jytte"/>
    <s v="Medium"/>
    <n v="3248.7"/>
  </r>
  <r>
    <n v="10280"/>
    <n v="50"/>
    <n v="100"/>
    <n v="9"/>
    <n v="5239.5"/>
    <d v="2004-08-17T00:00:00"/>
    <s v="Shipped"/>
    <n v="3"/>
    <x v="3"/>
    <n v="2004"/>
    <x v="3"/>
    <n v="102"/>
    <s v="S18_1342"/>
    <s v="Amica Models &amp; Co."/>
    <s v="011-4988555"/>
    <s v="Via Monte Bianco 34"/>
    <m/>
    <s v="Torino"/>
    <m/>
    <n v="10100"/>
    <s v="Italy"/>
    <s v="EMEA"/>
    <s v="Accorti"/>
    <s v="Paolo"/>
    <s v="Medium"/>
    <n v="5000"/>
  </r>
  <r>
    <n v="10289"/>
    <n v="38"/>
    <n v="100"/>
    <n v="2"/>
    <n v="4567.9799999999996"/>
    <d v="2004-09-03T00:00:00"/>
    <s v="Shipped"/>
    <n v="3"/>
    <x v="10"/>
    <n v="2004"/>
    <x v="3"/>
    <n v="102"/>
    <s v="S18_1342"/>
    <s v="Herkku Gifts"/>
    <s v="+47 2267 3215"/>
    <s v="Drammen 121, PR 744 Sentrum"/>
    <m/>
    <s v="Bergen"/>
    <m/>
    <s v="N 5804"/>
    <s v="Norway"/>
    <s v="EMEA"/>
    <s v="Oeztan"/>
    <s v="Veysel"/>
    <s v="Medium"/>
    <n v="3800"/>
  </r>
  <r>
    <n v="10304"/>
    <n v="37"/>
    <n v="95.55"/>
    <n v="13"/>
    <n v="3535.35"/>
    <d v="2004-10-11T00:00:00"/>
    <s v="Shipped"/>
    <n v="4"/>
    <x v="4"/>
    <n v="2004"/>
    <x v="3"/>
    <n v="102"/>
    <s v="S18_1342"/>
    <s v="Auto Assoc. &amp; Cie."/>
    <s v="30.59.8555"/>
    <s v="67, avenue de l'Europe"/>
    <m/>
    <s v="Versailles"/>
    <m/>
    <n v="78000"/>
    <s v="France"/>
    <s v="EMEA"/>
    <s v="Tonini"/>
    <s v="Daniel"/>
    <s v="Medium"/>
    <n v="3535.35"/>
  </r>
  <r>
    <n v="10312"/>
    <n v="43"/>
    <n v="89.38"/>
    <n v="10"/>
    <n v="3843.34"/>
    <d v="2004-10-21T00:00:00"/>
    <s v="Shipped"/>
    <n v="4"/>
    <x v="4"/>
    <n v="2004"/>
    <x v="3"/>
    <n v="102"/>
    <s v="S18_1342"/>
    <s v="Mini Gifts Distributors Ltd."/>
    <n v="4155551450"/>
    <s v="5677 Strong St."/>
    <m/>
    <s v="San Rafael"/>
    <s v="CA"/>
    <n v="97562"/>
    <s v="USA"/>
    <s v="NA"/>
    <s v="Nelson"/>
    <s v="Valarie"/>
    <s v="Medium"/>
    <n v="3843.3399999999997"/>
  </r>
  <r>
    <n v="10322"/>
    <n v="43"/>
    <n v="86.3"/>
    <n v="14"/>
    <n v="3710.9"/>
    <d v="2004-11-04T00:00:00"/>
    <s v="Shipped"/>
    <n v="4"/>
    <x v="5"/>
    <n v="2004"/>
    <x v="3"/>
    <n v="102"/>
    <s v="S18_1342"/>
    <s v="Online Diecast Creations Co."/>
    <n v="6035558647"/>
    <s v="2304 Long Airport Avenue"/>
    <m/>
    <s v="Nashua"/>
    <s v="NH"/>
    <n v="62005"/>
    <s v="USA"/>
    <s v="NA"/>
    <s v="Young"/>
    <s v="Valarie"/>
    <s v="Medium"/>
    <n v="3710.9"/>
  </r>
  <r>
    <n v="10332"/>
    <n v="46"/>
    <n v="95.13"/>
    <n v="15"/>
    <n v="4375.9799999999996"/>
    <d v="2004-11-17T00:00:00"/>
    <s v="Shipped"/>
    <n v="4"/>
    <x v="5"/>
    <n v="2004"/>
    <x v="3"/>
    <n v="102"/>
    <s v="S18_1342"/>
    <s v="AV Stores, Co."/>
    <s v="(171) 555-1555"/>
    <s v="Fauntleroy Circus"/>
    <m/>
    <s v="Manchester"/>
    <m/>
    <s v="EC2 5NT"/>
    <s v="UK"/>
    <s v="EMEA"/>
    <s v="Ashworth"/>
    <s v="Victoria"/>
    <s v="Medium"/>
    <n v="4375.9799999999996"/>
  </r>
  <r>
    <n v="10346"/>
    <n v="42"/>
    <n v="36.11"/>
    <n v="3"/>
    <n v="1516.62"/>
    <d v="2004-11-29T00:00:00"/>
    <s v="Shipped"/>
    <n v="4"/>
    <x v="5"/>
    <n v="2004"/>
    <x v="3"/>
    <n v="102"/>
    <s v="S18_1342"/>
    <s v="Signal Gift Stores"/>
    <n v="7025551838"/>
    <s v="8489 Strong St."/>
    <m/>
    <s v="Las Vegas"/>
    <s v="NV"/>
    <n v="83030"/>
    <s v="USA"/>
    <s v="NA"/>
    <s v="King"/>
    <s v="Sue"/>
    <s v="Small"/>
    <n v="1516.62"/>
  </r>
  <r>
    <n v="10356"/>
    <n v="50"/>
    <n v="50.18"/>
    <n v="9"/>
    <n v="2509"/>
    <d v="2004-12-09T00:00:00"/>
    <s v="Shipped"/>
    <n v="4"/>
    <x v="6"/>
    <n v="2004"/>
    <x v="3"/>
    <n v="102"/>
    <s v="S18_1342"/>
    <s v="Lyon Souveniers"/>
    <s v="+33 1 46 62 7555"/>
    <s v="27 rue du Colonel Pierre Avia"/>
    <m/>
    <s v="Paris"/>
    <m/>
    <n v="75508"/>
    <s v="France"/>
    <s v="EMEA"/>
    <s v="Da Cunha"/>
    <s v="Daniel"/>
    <s v="Small"/>
    <n v="2509"/>
  </r>
  <r>
    <n v="10369"/>
    <n v="44"/>
    <n v="100"/>
    <n v="8"/>
    <n v="9240.44"/>
    <d v="2005-01-20T00:00:00"/>
    <s v="Shipped"/>
    <n v="1"/>
    <x v="7"/>
    <n v="2005"/>
    <x v="3"/>
    <n v="102"/>
    <s v="S18_1342"/>
    <s v="Collectables For Less Inc."/>
    <n v="6175558555"/>
    <s v="7825 Douglas Av."/>
    <m/>
    <s v="Brickhaven"/>
    <s v="MA"/>
    <n v="58339"/>
    <s v="USA"/>
    <s v="NA"/>
    <s v="Nelson"/>
    <s v="Allen"/>
    <s v="Large"/>
    <n v="4400"/>
  </r>
  <r>
    <n v="10380"/>
    <n v="27"/>
    <n v="93.16"/>
    <n v="13"/>
    <n v="2515.3200000000002"/>
    <d v="2005-02-16T00:00:00"/>
    <s v="Shipped"/>
    <n v="1"/>
    <x v="0"/>
    <n v="2005"/>
    <x v="3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Small"/>
    <n v="2515.3199999999997"/>
  </r>
  <r>
    <n v="10391"/>
    <n v="35"/>
    <n v="100"/>
    <n v="2"/>
    <n v="5548.9"/>
    <d v="2005-03-09T00:00:00"/>
    <s v="Shipped"/>
    <n v="1"/>
    <x v="11"/>
    <n v="2005"/>
    <x v="3"/>
    <n v="102"/>
    <s v="S18_134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500"/>
  </r>
  <r>
    <n v="10422"/>
    <n v="51"/>
    <n v="95.55"/>
    <n v="2"/>
    <n v="4873.05"/>
    <d v="2005-05-30T00:00:00"/>
    <s v="In Process"/>
    <n v="2"/>
    <x v="1"/>
    <n v="2005"/>
    <x v="3"/>
    <n v="102"/>
    <s v="S18_1342"/>
    <s v="Diecast Classics Inc."/>
    <n v="2155551555"/>
    <s v="7586 Pompton St."/>
    <m/>
    <s v="Allentown"/>
    <s v="PA"/>
    <n v="70267"/>
    <s v="USA"/>
    <s v="NA"/>
    <s v="Yu"/>
    <s v="Kyung"/>
    <s v="Medium"/>
    <n v="4873.05"/>
  </r>
  <r>
    <n v="10102"/>
    <n v="41"/>
    <n v="50.14"/>
    <n v="1"/>
    <n v="2055.7399999999998"/>
    <d v="2003-01-10T00:00:00"/>
    <s v="Shipped"/>
    <n v="1"/>
    <x v="7"/>
    <n v="2003"/>
    <x v="3"/>
    <n v="53"/>
    <s v="S18_1367"/>
    <s v="Vitachrome Inc."/>
    <n v="2125551500"/>
    <s v="2678 Kingston Rd."/>
    <s v="Suite 101"/>
    <s v="NYC"/>
    <s v="NY"/>
    <n v="10022"/>
    <s v="USA"/>
    <s v="NA"/>
    <s v="Frick"/>
    <s v="Michael"/>
    <s v="Small"/>
    <n v="2055.7400000000002"/>
  </r>
  <r>
    <n v="10111"/>
    <n v="48"/>
    <n v="49.06"/>
    <n v="5"/>
    <n v="2354.88"/>
    <d v="2003-03-25T00:00:00"/>
    <s v="Shipped"/>
    <n v="1"/>
    <x v="11"/>
    <n v="2003"/>
    <x v="3"/>
    <n v="53"/>
    <s v="S18_1367"/>
    <s v="Mini Wheels Co."/>
    <n v="6505555787"/>
    <s v="5557 North Pendale Street"/>
    <m/>
    <s v="San Francisco"/>
    <s v="CA"/>
    <m/>
    <s v="USA"/>
    <s v="NA"/>
    <s v="Murphy"/>
    <s v="Julie"/>
    <s v="Small"/>
    <n v="2354.88"/>
  </r>
  <r>
    <n v="10126"/>
    <n v="42"/>
    <n v="54.99"/>
    <n v="17"/>
    <n v="2309.58"/>
    <d v="2003-05-28T00:00:00"/>
    <s v="Shipped"/>
    <n v="2"/>
    <x v="1"/>
    <n v="2003"/>
    <x v="3"/>
    <n v="53"/>
    <s v="S18_1367"/>
    <s v="Corrida Auto Replicas, Ltd"/>
    <s v="(91) 555 22 82"/>
    <s v="C/ Araquil, 67"/>
    <m/>
    <s v="Madrid"/>
    <m/>
    <n v="28023"/>
    <s v="Spain"/>
    <s v="EMEA"/>
    <s v="Sommer"/>
    <s v="Mart¡n"/>
    <s v="Small"/>
    <n v="2309.58"/>
  </r>
  <r>
    <n v="10139"/>
    <n v="49"/>
    <n v="43.13"/>
    <n v="6"/>
    <n v="2113.37"/>
    <d v="2003-07-16T00:00:00"/>
    <s v="Shipped"/>
    <n v="3"/>
    <x v="2"/>
    <n v="2003"/>
    <x v="3"/>
    <n v="53"/>
    <s v="S18_136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113.3700000000003"/>
  </r>
  <r>
    <n v="10149"/>
    <n v="30"/>
    <n v="58.22"/>
    <n v="3"/>
    <n v="1746.6"/>
    <d v="2003-09-12T00:00:00"/>
    <s v="Shipped"/>
    <n v="3"/>
    <x v="10"/>
    <n v="2003"/>
    <x v="3"/>
    <n v="53"/>
    <s v="S18_1367"/>
    <s v="Signal Collectibles Ltd."/>
    <n v="4155554312"/>
    <s v="2793 Furth Circle"/>
    <m/>
    <s v="Brisbane"/>
    <s v="CA"/>
    <n v="94217"/>
    <s v="USA"/>
    <s v="NA"/>
    <s v="Taylor"/>
    <s v="Sue"/>
    <s v="Small"/>
    <n v="1746.6"/>
  </r>
  <r>
    <n v="10162"/>
    <n v="45"/>
    <n v="51.21"/>
    <n v="1"/>
    <n v="2304.4499999999998"/>
    <d v="2003-10-18T00:00:00"/>
    <s v="Shipped"/>
    <n v="4"/>
    <x v="4"/>
    <n v="2003"/>
    <x v="3"/>
    <n v="53"/>
    <s v="S18_1367"/>
    <s v="Corporate Gift Ideas Co."/>
    <n v="6505551386"/>
    <s v="7734 Strong St."/>
    <m/>
    <s v="San Francisco"/>
    <s v="CA"/>
    <m/>
    <s v="USA"/>
    <s v="NA"/>
    <s v="Brown"/>
    <s v="Julie"/>
    <s v="Small"/>
    <n v="2304.4499999999998"/>
  </r>
  <r>
    <n v="10173"/>
    <n v="48"/>
    <n v="44.21"/>
    <n v="5"/>
    <n v="2122.08"/>
    <d v="2003-11-05T00:00:00"/>
    <s v="Shipped"/>
    <n v="4"/>
    <x v="5"/>
    <n v="2003"/>
    <x v="3"/>
    <n v="53"/>
    <s v="S18_1367"/>
    <s v="Rovelli Gifts"/>
    <s v="035-640555"/>
    <s v="Via Ludovico il Moro 22"/>
    <m/>
    <s v="Bergamo"/>
    <m/>
    <n v="24100"/>
    <s v="Italy"/>
    <s v="EMEA"/>
    <s v="Rovelli"/>
    <s v="Giovanni"/>
    <s v="Small"/>
    <n v="2122.08"/>
  </r>
  <r>
    <n v="10182"/>
    <n v="32"/>
    <n v="54.45"/>
    <n v="2"/>
    <n v="1742.4"/>
    <d v="2003-11-12T00:00:00"/>
    <s v="Shipped"/>
    <n v="4"/>
    <x v="5"/>
    <n v="2003"/>
    <x v="3"/>
    <n v="53"/>
    <s v="S18_1367"/>
    <s v="Mini Gifts Distributors Ltd."/>
    <n v="4155551450"/>
    <s v="5677 Strong St."/>
    <m/>
    <s v="San Rafael"/>
    <s v="CA"/>
    <n v="97562"/>
    <s v="USA"/>
    <s v="NA"/>
    <s v="Nelson"/>
    <s v="Valarie"/>
    <s v="Small"/>
    <n v="1742.4"/>
  </r>
  <r>
    <n v="10193"/>
    <n v="46"/>
    <n v="53.37"/>
    <n v="6"/>
    <n v="2455.02"/>
    <d v="2003-11-21T00:00:00"/>
    <s v="Shipped"/>
    <n v="4"/>
    <x v="5"/>
    <n v="2003"/>
    <x v="3"/>
    <n v="53"/>
    <s v="S18_1367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2455.02"/>
  </r>
  <r>
    <n v="10205"/>
    <n v="48"/>
    <n v="63.61"/>
    <n v="1"/>
    <n v="3053.28"/>
    <d v="2003-12-03T00:00:00"/>
    <s v="Shipped"/>
    <n v="4"/>
    <x v="6"/>
    <n v="2003"/>
    <x v="3"/>
    <n v="53"/>
    <s v="S18_1367"/>
    <s v="Euro Shopping Channel"/>
    <s v="(91) 555 94 44"/>
    <s v="C/ Moralzarzal, 86"/>
    <m/>
    <s v="Madrid"/>
    <m/>
    <n v="28034"/>
    <s v="Spain"/>
    <s v="EMEA"/>
    <s v="Freyre"/>
    <s v="Diego"/>
    <s v="Medium"/>
    <n v="3053.2799999999997"/>
  </r>
  <r>
    <n v="10215"/>
    <n v="33"/>
    <n v="43.13"/>
    <n v="9"/>
    <n v="1423.29"/>
    <d v="2004-01-29T00:00:00"/>
    <s v="Shipped"/>
    <n v="1"/>
    <x v="7"/>
    <n v="2004"/>
    <x v="3"/>
    <n v="53"/>
    <s v="S18_1367"/>
    <s v="West Coast Collectables Co."/>
    <n v="3105553722"/>
    <s v="3675 Furth Circle"/>
    <m/>
    <s v="Burbank"/>
    <s v="CA"/>
    <n v="94019"/>
    <s v="USA"/>
    <s v="NA"/>
    <s v="Thompson"/>
    <s v="Steve"/>
    <s v="Small"/>
    <n v="1423.2900000000002"/>
  </r>
  <r>
    <n v="10227"/>
    <n v="31"/>
    <n v="48.52"/>
    <n v="2"/>
    <n v="1504.12"/>
    <d v="2004-03-02T00:00:00"/>
    <s v="Shipped"/>
    <n v="1"/>
    <x v="11"/>
    <n v="2004"/>
    <x v="3"/>
    <n v="53"/>
    <s v="S18_1367"/>
    <s v="Saveley &amp; Henriot, Co."/>
    <s v="78.32.5555"/>
    <s v="2, rue du Commerce"/>
    <m/>
    <s v="Lyon"/>
    <m/>
    <n v="69004"/>
    <s v="France"/>
    <s v="EMEA"/>
    <s v="Saveley"/>
    <s v="Mary"/>
    <s v="Small"/>
    <n v="1504.1200000000001"/>
  </r>
  <r>
    <n v="10244"/>
    <n v="20"/>
    <n v="58.22"/>
    <n v="6"/>
    <n v="1164.4000000000001"/>
    <d v="2004-04-29T00:00:00"/>
    <s v="Shipped"/>
    <n v="2"/>
    <x v="8"/>
    <n v="2004"/>
    <x v="3"/>
    <n v="53"/>
    <s v="S18_1367"/>
    <s v="Euro Shopping Channel"/>
    <s v="(91) 555 94 44"/>
    <s v="C/ Moralzarzal, 86"/>
    <m/>
    <s v="Madrid"/>
    <m/>
    <n v="28034"/>
    <s v="Spain"/>
    <s v="EMEA"/>
    <s v="Freyre"/>
    <s v="Diego"/>
    <s v="Small"/>
    <n v="1164.4000000000001"/>
  </r>
  <r>
    <n v="10256"/>
    <n v="29"/>
    <n v="51.75"/>
    <n v="1"/>
    <n v="1500.75"/>
    <d v="2004-06-08T00:00:00"/>
    <s v="Shipped"/>
    <n v="2"/>
    <x v="9"/>
    <n v="2004"/>
    <x v="3"/>
    <n v="53"/>
    <s v="S18_1367"/>
    <s v="Danish Wholesale Imports"/>
    <s v="31 12 3555"/>
    <s v="Vinb'ltet 34"/>
    <m/>
    <s v="Kobenhavn"/>
    <m/>
    <n v="1734"/>
    <s v="Denmark"/>
    <s v="EMEA"/>
    <s v="Petersen"/>
    <s v="Jytte"/>
    <s v="Small"/>
    <n v="1500.75"/>
  </r>
  <r>
    <n v="10280"/>
    <n v="27"/>
    <n v="57.68"/>
    <n v="8"/>
    <n v="1557.36"/>
    <d v="2004-08-17T00:00:00"/>
    <s v="Shipped"/>
    <n v="3"/>
    <x v="3"/>
    <n v="2004"/>
    <x v="3"/>
    <n v="53"/>
    <s v="S18_1367"/>
    <s v="Amica Models &amp; Co."/>
    <s v="011-4988555"/>
    <s v="Via Monte Bianco 34"/>
    <m/>
    <s v="Torino"/>
    <m/>
    <n v="10100"/>
    <s v="Italy"/>
    <s v="EMEA"/>
    <s v="Accorti"/>
    <s v="Paolo"/>
    <s v="Small"/>
    <n v="1557.36"/>
  </r>
  <r>
    <n v="10289"/>
    <n v="24"/>
    <n v="56.07"/>
    <n v="1"/>
    <n v="1345.68"/>
    <d v="2004-09-03T00:00:00"/>
    <s v="Shipped"/>
    <n v="3"/>
    <x v="10"/>
    <n v="2004"/>
    <x v="3"/>
    <n v="53"/>
    <s v="S18_1367"/>
    <s v="Herkku Gifts"/>
    <s v="+47 2267 3215"/>
    <s v="Drammen 121, PR 744 Sentrum"/>
    <m/>
    <s v="Bergen"/>
    <m/>
    <s v="N 5804"/>
    <s v="Norway"/>
    <s v="EMEA"/>
    <s v="Oeztan"/>
    <s v="Veysel"/>
    <s v="Small"/>
    <n v="1345.68"/>
  </r>
  <r>
    <n v="10304"/>
    <n v="37"/>
    <n v="48.52"/>
    <n v="12"/>
    <n v="1795.24"/>
    <d v="2004-10-11T00:00:00"/>
    <s v="Shipped"/>
    <n v="4"/>
    <x v="4"/>
    <n v="2004"/>
    <x v="3"/>
    <n v="53"/>
    <s v="S18_1367"/>
    <s v="Auto Assoc. &amp; Cie."/>
    <s v="30.59.8555"/>
    <s v="67, avenue de l'Europe"/>
    <m/>
    <s v="Versailles"/>
    <m/>
    <n v="78000"/>
    <s v="France"/>
    <s v="EMEA"/>
    <s v="Tonini"/>
    <s v="Daniel"/>
    <s v="Small"/>
    <n v="1795.24"/>
  </r>
  <r>
    <n v="10312"/>
    <n v="25"/>
    <n v="44.21"/>
    <n v="9"/>
    <n v="1105.25"/>
    <d v="2004-10-21T00:00:00"/>
    <s v="Shipped"/>
    <n v="4"/>
    <x v="4"/>
    <n v="2004"/>
    <x v="3"/>
    <n v="53"/>
    <s v="S18_1367"/>
    <s v="Mini Gifts Distributors Ltd."/>
    <n v="4155551450"/>
    <s v="5677 Strong St."/>
    <m/>
    <s v="San Rafael"/>
    <s v="CA"/>
    <n v="97562"/>
    <s v="USA"/>
    <s v="NA"/>
    <s v="Nelson"/>
    <s v="Valarie"/>
    <s v="Small"/>
    <n v="1105.25"/>
  </r>
  <r>
    <n v="10322"/>
    <n v="41"/>
    <n v="57.68"/>
    <n v="5"/>
    <n v="2364.88"/>
    <d v="2004-11-04T00:00:00"/>
    <s v="Shipped"/>
    <n v="4"/>
    <x v="5"/>
    <n v="2004"/>
    <x v="3"/>
    <n v="53"/>
    <s v="S18_1367"/>
    <s v="Online Diecast Creations Co."/>
    <n v="6035558647"/>
    <s v="2304 Long Airport Avenue"/>
    <m/>
    <s v="Nashua"/>
    <s v="NH"/>
    <n v="62005"/>
    <s v="USA"/>
    <s v="NA"/>
    <s v="Young"/>
    <s v="Valarie"/>
    <s v="Small"/>
    <n v="2364.88"/>
  </r>
  <r>
    <n v="10332"/>
    <n v="27"/>
    <n v="89.89"/>
    <n v="16"/>
    <n v="2427.0300000000002"/>
    <d v="2004-11-17T00:00:00"/>
    <s v="Shipped"/>
    <n v="4"/>
    <x v="5"/>
    <n v="2004"/>
    <x v="3"/>
    <n v="53"/>
    <s v="S18_1367"/>
    <s v="AV Stores, Co."/>
    <s v="(171) 555-1555"/>
    <s v="Fauntleroy Circus"/>
    <m/>
    <s v="Manchester"/>
    <m/>
    <s v="EC2 5NT"/>
    <s v="UK"/>
    <s v="EMEA"/>
    <s v="Ashworth"/>
    <s v="Victoria"/>
    <s v="Small"/>
    <n v="2427.0300000000002"/>
  </r>
  <r>
    <n v="10347"/>
    <n v="21"/>
    <n v="58.95"/>
    <n v="7"/>
    <n v="1237.95"/>
    <d v="2004-11-29T00:00:00"/>
    <s v="Shipped"/>
    <n v="4"/>
    <x v="5"/>
    <n v="2004"/>
    <x v="3"/>
    <n v="53"/>
    <s v="S18_136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237.95"/>
  </r>
  <r>
    <n v="10356"/>
    <n v="22"/>
    <n v="72.41"/>
    <n v="6"/>
    <n v="1593.02"/>
    <d v="2004-12-09T00:00:00"/>
    <s v="Shipped"/>
    <n v="4"/>
    <x v="6"/>
    <n v="2004"/>
    <x v="3"/>
    <n v="53"/>
    <s v="S18_1367"/>
    <s v="Lyon Souveniers"/>
    <s v="+33 1 46 62 7555"/>
    <s v="27 rue du Colonel Pierre Avia"/>
    <m/>
    <s v="Paris"/>
    <m/>
    <n v="75508"/>
    <s v="France"/>
    <s v="EMEA"/>
    <s v="Da Cunha"/>
    <s v="Daniel"/>
    <s v="Small"/>
    <n v="1593.02"/>
  </r>
  <r>
    <n v="10369"/>
    <n v="32"/>
    <n v="98.63"/>
    <n v="7"/>
    <n v="3156.16"/>
    <d v="2005-01-20T00:00:00"/>
    <s v="Shipped"/>
    <n v="1"/>
    <x v="7"/>
    <n v="2005"/>
    <x v="3"/>
    <n v="53"/>
    <s v="S18_1367"/>
    <s v="Collectables For Less Inc."/>
    <n v="6175558555"/>
    <s v="7825 Douglas Av."/>
    <m/>
    <s v="Brickhaven"/>
    <s v="MA"/>
    <n v="58339"/>
    <s v="USA"/>
    <s v="NA"/>
    <s v="Nelson"/>
    <s v="Allen"/>
    <s v="Medium"/>
    <n v="3156.16"/>
  </r>
  <r>
    <n v="10381"/>
    <n v="25"/>
    <n v="52.83"/>
    <n v="9"/>
    <n v="1320.75"/>
    <d v="2005-02-17T00:00:00"/>
    <s v="Shipped"/>
    <n v="1"/>
    <x v="0"/>
    <n v="2005"/>
    <x v="3"/>
    <n v="53"/>
    <s v="S18_1367"/>
    <s v="Corporate Gift Ideas Co."/>
    <n v="6505551386"/>
    <s v="7734 Strong St."/>
    <m/>
    <s v="San Francisco"/>
    <s v="CA"/>
    <m/>
    <s v="USA"/>
    <s v="NA"/>
    <s v="Brown"/>
    <s v="Julie"/>
    <s v="Small"/>
    <n v="1320.75"/>
  </r>
  <r>
    <n v="10391"/>
    <n v="42"/>
    <n v="100"/>
    <n v="3"/>
    <n v="4998"/>
    <d v="2005-03-09T00:00:00"/>
    <s v="Shipped"/>
    <n v="1"/>
    <x v="11"/>
    <n v="2005"/>
    <x v="3"/>
    <n v="53"/>
    <s v="S18_136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4200"/>
  </r>
  <r>
    <n v="10422"/>
    <n v="25"/>
    <n v="51.75"/>
    <n v="1"/>
    <n v="1293.75"/>
    <d v="2005-05-30T00:00:00"/>
    <s v="In Process"/>
    <n v="2"/>
    <x v="1"/>
    <n v="2005"/>
    <x v="3"/>
    <n v="53"/>
    <s v="S18_1367"/>
    <s v="Diecast Classics Inc."/>
    <n v="2155551555"/>
    <s v="7586 Pompton St."/>
    <m/>
    <s v="Allentown"/>
    <s v="PA"/>
    <n v="70267"/>
    <s v="USA"/>
    <s v="NA"/>
    <s v="Yu"/>
    <s v="Kyung"/>
    <s v="Small"/>
    <n v="1293.75"/>
  </r>
  <r>
    <n v="10110"/>
    <n v="37"/>
    <n v="100"/>
    <n v="16"/>
    <n v="5433.08"/>
    <d v="2003-03-18T00:00:00"/>
    <s v="Shipped"/>
    <n v="1"/>
    <x v="11"/>
    <n v="2003"/>
    <x v="1"/>
    <n v="124"/>
    <s v="S18_1589"/>
    <s v="AV Stores, Co."/>
    <s v="(171) 555-1555"/>
    <s v="Fauntleroy Circus"/>
    <m/>
    <s v="Manchester"/>
    <m/>
    <s v="EC2 5NT"/>
    <s v="UK"/>
    <s v="EMEA"/>
    <s v="Ashworth"/>
    <s v="Victoria"/>
    <s v="Medium"/>
    <n v="3700"/>
  </r>
  <r>
    <n v="10123"/>
    <n v="26"/>
    <n v="100"/>
    <n v="2"/>
    <n v="3073.72"/>
    <d v="2003-05-20T00:00:00"/>
    <s v="Shipped"/>
    <n v="2"/>
    <x v="1"/>
    <n v="2003"/>
    <x v="1"/>
    <n v="124"/>
    <s v="S18_1589"/>
    <s v="Atelier graphique"/>
    <s v="40.32.2555"/>
    <s v="54, rue Royale"/>
    <m/>
    <s v="Nantes"/>
    <m/>
    <n v="44000"/>
    <s v="France"/>
    <s v="EMEA"/>
    <s v="Schmitt"/>
    <s v="Carine"/>
    <s v="Medium"/>
    <n v="2600"/>
  </r>
  <r>
    <n v="10137"/>
    <n v="44"/>
    <n v="99.55"/>
    <n v="2"/>
    <n v="4380.2"/>
    <d v="2003-07-10T00:00:00"/>
    <s v="Shipped"/>
    <n v="3"/>
    <x v="2"/>
    <n v="2003"/>
    <x v="1"/>
    <n v="124"/>
    <s v="S18_1589"/>
    <s v="Reims Collectables"/>
    <s v="26.47.1555"/>
    <s v="59 rue de l'Abbaye"/>
    <m/>
    <s v="Reims"/>
    <m/>
    <n v="51100"/>
    <s v="France"/>
    <s v="EMEA"/>
    <s v="Henriot"/>
    <s v="Paul"/>
    <s v="Medium"/>
    <n v="4380.2"/>
  </r>
  <r>
    <n v="10148"/>
    <n v="47"/>
    <n v="100"/>
    <n v="9"/>
    <n v="5848.68"/>
    <d v="2003-09-11T00:00:00"/>
    <s v="Shipped"/>
    <n v="3"/>
    <x v="10"/>
    <n v="2003"/>
    <x v="1"/>
    <n v="124"/>
    <s v="S18_158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4700"/>
  </r>
  <r>
    <n v="10161"/>
    <n v="43"/>
    <n v="100"/>
    <n v="8"/>
    <n v="6153.73"/>
    <d v="2003-10-17T00:00:00"/>
    <s v="Shipped"/>
    <n v="4"/>
    <x v="4"/>
    <n v="2003"/>
    <x v="1"/>
    <n v="124"/>
    <s v="S18_1589"/>
    <s v="Heintze Collectables"/>
    <s v="86 21 3555"/>
    <s v="Smagsloget 45"/>
    <m/>
    <s v="Aaarhus"/>
    <m/>
    <n v="8200"/>
    <s v="Denmark"/>
    <s v="EMEA"/>
    <s v="Ibsen"/>
    <s v="Palle"/>
    <s v="Medium"/>
    <n v="4300"/>
  </r>
  <r>
    <n v="10172"/>
    <n v="42"/>
    <n v="100"/>
    <n v="6"/>
    <n v="4965.24"/>
    <d v="2003-11-05T00:00:00"/>
    <s v="Shipped"/>
    <n v="4"/>
    <x v="5"/>
    <n v="2003"/>
    <x v="1"/>
    <n v="124"/>
    <s v="S18_1589"/>
    <s v="Gift Depot Inc."/>
    <n v="2035552570"/>
    <s v="25593 South Bay Ln."/>
    <m/>
    <s v="Bridgewater"/>
    <s v="CT"/>
    <n v="97562"/>
    <s v="USA"/>
    <s v="NA"/>
    <s v="King"/>
    <s v="Julie"/>
    <s v="Medium"/>
    <n v="4200"/>
  </r>
  <r>
    <n v="10181"/>
    <n v="42"/>
    <n v="100"/>
    <n v="2"/>
    <n v="5435.64"/>
    <d v="2003-11-12T00:00:00"/>
    <s v="Shipped"/>
    <n v="4"/>
    <x v="5"/>
    <n v="2003"/>
    <x v="1"/>
    <n v="124"/>
    <s v="S18_1589"/>
    <s v="Herkku Gifts"/>
    <s v="+47 2267 3215"/>
    <s v="Drammen 121, PR 744 Sentrum"/>
    <m/>
    <s v="Bergen"/>
    <m/>
    <s v="N 5804"/>
    <s v="Norway"/>
    <s v="EMEA"/>
    <s v="Oeztan"/>
    <s v="Veysel"/>
    <s v="Medium"/>
    <n v="4200"/>
  </r>
  <r>
    <n v="10192"/>
    <n v="29"/>
    <n v="100"/>
    <n v="7"/>
    <n v="4258.3599999999997"/>
    <d v="2003-11-20T00:00:00"/>
    <s v="Shipped"/>
    <n v="4"/>
    <x v="5"/>
    <n v="2003"/>
    <x v="1"/>
    <n v="124"/>
    <s v="S18_1589"/>
    <s v="Online Diecast Creations Co."/>
    <n v="6035558647"/>
    <s v="2304 Long Airport Avenue"/>
    <m/>
    <s v="Nashua"/>
    <s v="NH"/>
    <n v="62005"/>
    <s v="USA"/>
    <s v="NA"/>
    <s v="Young"/>
    <s v="Valarie"/>
    <s v="Medium"/>
    <n v="2900"/>
  </r>
  <r>
    <n v="10204"/>
    <n v="40"/>
    <n v="100"/>
    <n v="13"/>
    <n v="4032"/>
    <d v="2003-12-02T00:00:00"/>
    <s v="Shipped"/>
    <n v="4"/>
    <x v="6"/>
    <n v="2003"/>
    <x v="1"/>
    <n v="124"/>
    <s v="S18_1589"/>
    <s v="Muscle Machine Inc"/>
    <n v="2125557413"/>
    <s v="4092 Furth Circle"/>
    <s v="Suite 400"/>
    <s v="NYC"/>
    <s v="NY"/>
    <n v="10022"/>
    <s v="USA"/>
    <s v="NA"/>
    <s v="Young"/>
    <s v="Jeff"/>
    <s v="Medium"/>
    <n v="4000"/>
  </r>
  <r>
    <n v="10212"/>
    <n v="38"/>
    <n v="100"/>
    <n v="6"/>
    <n v="4492.3599999999997"/>
    <d v="2004-01-16T00:00:00"/>
    <s v="Shipped"/>
    <n v="1"/>
    <x v="7"/>
    <n v="2004"/>
    <x v="1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Medium"/>
    <n v="3800"/>
  </r>
  <r>
    <n v="10226"/>
    <n v="38"/>
    <n v="100"/>
    <n v="4"/>
    <n v="4161.38"/>
    <d v="2004-02-26T00:00:00"/>
    <s v="Shipped"/>
    <n v="1"/>
    <x v="0"/>
    <n v="2004"/>
    <x v="1"/>
    <n v="124"/>
    <s v="S18_1589"/>
    <s v="Collectable Mini Designs Co."/>
    <n v="7605558146"/>
    <s v="361 Furth Circle"/>
    <m/>
    <s v="San Diego"/>
    <s v="CA"/>
    <n v="91217"/>
    <s v="USA"/>
    <s v="NA"/>
    <s v="Thompson"/>
    <s v="Valarie"/>
    <s v="Medium"/>
    <n v="3800"/>
  </r>
  <r>
    <n v="10241"/>
    <n v="21"/>
    <n v="100"/>
    <n v="11"/>
    <n v="2508.66"/>
    <d v="2004-04-13T00:00:00"/>
    <s v="Shipped"/>
    <n v="2"/>
    <x v="8"/>
    <n v="2004"/>
    <x v="1"/>
    <n v="124"/>
    <s v="S18_1589"/>
    <s v="Mini Caravy"/>
    <s v="88.60.1555"/>
    <s v="24, place Kluber"/>
    <m/>
    <s v="Strasbourg"/>
    <m/>
    <n v="67000"/>
    <s v="France"/>
    <s v="EMEA"/>
    <s v="Citeaux"/>
    <s v="Frederique"/>
    <s v="Small"/>
    <n v="2100"/>
  </r>
  <r>
    <n v="10253"/>
    <n v="24"/>
    <n v="100"/>
    <n v="1"/>
    <n v="3374.88"/>
    <d v="2004-06-01T00:00:00"/>
    <s v="Cancelled"/>
    <n v="2"/>
    <x v="9"/>
    <n v="2004"/>
    <x v="1"/>
    <n v="124"/>
    <s v="S18_1589"/>
    <s v="UK Collectables, Ltd."/>
    <s v="(171) 555-2282"/>
    <s v="Berkeley Gardens 12  Brewery"/>
    <m/>
    <s v="Liverpool"/>
    <m/>
    <s v="WX1 6LT"/>
    <s v="UK"/>
    <s v="EMEA"/>
    <s v="Devon"/>
    <s v="Elizabeth"/>
    <s v="Medium"/>
    <n v="2400"/>
  </r>
  <r>
    <n v="10266"/>
    <n v="36"/>
    <n v="100"/>
    <n v="2"/>
    <n v="5196.6000000000004"/>
    <d v="2004-07-06T00:00:00"/>
    <s v="Shipped"/>
    <n v="3"/>
    <x v="2"/>
    <n v="2004"/>
    <x v="1"/>
    <n v="124"/>
    <s v="S18_1589"/>
    <s v="L'ordine Souveniers"/>
    <s v="0522-556555"/>
    <s v="Strada Provinciale 124"/>
    <m/>
    <s v="Reggio Emilia"/>
    <m/>
    <n v="42100"/>
    <s v="Italy"/>
    <s v="EMEA"/>
    <s v="Moroni"/>
    <s v="Maurizio"/>
    <s v="Medium"/>
    <n v="3600"/>
  </r>
  <r>
    <n v="10278"/>
    <n v="23"/>
    <n v="100"/>
    <n v="2"/>
    <n v="2604.52"/>
    <d v="2004-08-06T00:00:00"/>
    <s v="Shipped"/>
    <n v="3"/>
    <x v="3"/>
    <n v="2004"/>
    <x v="1"/>
    <n v="124"/>
    <s v="S18_1589"/>
    <s v="Signal Gift Stores"/>
    <n v="7025551838"/>
    <s v="8489 Strong St."/>
    <m/>
    <s v="Las Vegas"/>
    <s v="NV"/>
    <n v="83030"/>
    <s v="USA"/>
    <s v="NA"/>
    <s v="King"/>
    <s v="Sue"/>
    <s v="Small"/>
    <n v="2300"/>
  </r>
  <r>
    <n v="10288"/>
    <n v="20"/>
    <n v="100"/>
    <n v="14"/>
    <n v="2936.8"/>
    <d v="2004-09-01T00:00:00"/>
    <s v="Shipped"/>
    <n v="3"/>
    <x v="10"/>
    <n v="2004"/>
    <x v="1"/>
    <n v="124"/>
    <s v="S18_158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000"/>
  </r>
  <r>
    <n v="10301"/>
    <n v="32"/>
    <n v="100"/>
    <n v="4"/>
    <n v="3424.64"/>
    <d v="2003-10-05T00:00:00"/>
    <s v="Shipped"/>
    <n v="4"/>
    <x v="4"/>
    <n v="2003"/>
    <x v="1"/>
    <n v="124"/>
    <s v="S18_1589"/>
    <s v="Norway Gifts By Mail, Co."/>
    <s v="+47 2212 1555"/>
    <s v="Drammensveien 126 A, PB 744 Sentrum"/>
    <m/>
    <s v="Oslo"/>
    <m/>
    <s v="N 0106"/>
    <s v="Norway"/>
    <s v="EMEA"/>
    <s v="Klaeboe"/>
    <s v="Jan"/>
    <s v="Medium"/>
    <n v="3200"/>
  </r>
  <r>
    <n v="10311"/>
    <n v="29"/>
    <n v="100"/>
    <n v="9"/>
    <n v="2923.2"/>
    <d v="2004-10-16T00:00:00"/>
    <s v="Shipped"/>
    <n v="4"/>
    <x v="4"/>
    <n v="2004"/>
    <x v="1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Small"/>
    <n v="2900"/>
  </r>
  <r>
    <n v="10321"/>
    <n v="44"/>
    <n v="100"/>
    <n v="6"/>
    <n v="4489.76"/>
    <d v="2004-11-04T00:00:00"/>
    <s v="Shipped"/>
    <n v="4"/>
    <x v="5"/>
    <n v="2004"/>
    <x v="1"/>
    <n v="124"/>
    <s v="S18_1589"/>
    <s v="FunGiftIdeas.com"/>
    <n v="5085552555"/>
    <s v="1785 First Street"/>
    <m/>
    <s v="New Bedford"/>
    <s v="MA"/>
    <n v="50553"/>
    <s v="USA"/>
    <s v="NA"/>
    <s v="Benitez"/>
    <s v="Violeta"/>
    <s v="Medium"/>
    <n v="4400"/>
  </r>
  <r>
    <n v="10331"/>
    <n v="44"/>
    <n v="100"/>
    <n v="14"/>
    <n v="4849.24"/>
    <d v="2004-11-17T00:00:00"/>
    <s v="Shipped"/>
    <n v="4"/>
    <x v="5"/>
    <n v="2004"/>
    <x v="1"/>
    <n v="124"/>
    <s v="S18_1589"/>
    <s v="Motor Mint Distributors Inc."/>
    <n v="2155559857"/>
    <s v="11328 Douglas Av."/>
    <m/>
    <s v="Philadelphia"/>
    <s v="PA"/>
    <n v="71270"/>
    <s v="USA"/>
    <s v="NA"/>
    <s v="Hernandez"/>
    <s v="Rosa"/>
    <s v="Medium"/>
    <n v="4400"/>
  </r>
  <r>
    <n v="10343"/>
    <n v="36"/>
    <n v="100"/>
    <n v="4"/>
    <n v="5848.92"/>
    <d v="2004-11-24T00:00:00"/>
    <s v="Shipped"/>
    <n v="4"/>
    <x v="5"/>
    <n v="2004"/>
    <x v="1"/>
    <n v="124"/>
    <s v="S18_1589"/>
    <s v="Reims Collectables"/>
    <s v="26.47.1555"/>
    <s v="59 rue de l'Abbaye"/>
    <m/>
    <s v="Reims"/>
    <m/>
    <n v="51100"/>
    <s v="France"/>
    <s v="EMEA"/>
    <s v="Henriot"/>
    <s v="Paul"/>
    <s v="Medium"/>
    <n v="3600"/>
  </r>
  <r>
    <n v="10367"/>
    <n v="49"/>
    <n v="56.3"/>
    <n v="1"/>
    <n v="2758.7"/>
    <d v="2005-01-12T00:00:00"/>
    <s v="Resolved"/>
    <n v="1"/>
    <x v="7"/>
    <n v="2005"/>
    <x v="1"/>
    <n v="124"/>
    <s v="S18_1589"/>
    <s v="Toys4GrownUps.com"/>
    <n v="6265557265"/>
    <s v="78934 Hillside Dr."/>
    <m/>
    <s v="Pasadena"/>
    <s v="CA"/>
    <n v="90003"/>
    <s v="USA"/>
    <s v="NA"/>
    <s v="Young"/>
    <s v="Julie"/>
    <s v="Small"/>
    <n v="2758.7"/>
  </r>
  <r>
    <n v="10378"/>
    <n v="34"/>
    <n v="42.64"/>
    <n v="5"/>
    <n v="1449.76"/>
    <d v="2005-02-10T00:00:00"/>
    <s v="Shipped"/>
    <n v="1"/>
    <x v="0"/>
    <n v="2005"/>
    <x v="1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Small"/>
    <n v="1449.76"/>
  </r>
  <r>
    <n v="10407"/>
    <n v="59"/>
    <n v="100"/>
    <n v="11"/>
    <n v="7048.14"/>
    <d v="2005-04-22T00:00:00"/>
    <s v="On Hold"/>
    <n v="2"/>
    <x v="8"/>
    <n v="2005"/>
    <x v="1"/>
    <n v="124"/>
    <s v="S18_1589"/>
    <s v="The Sharp Gifts Warehouse"/>
    <n v="4085553659"/>
    <s v="3086 Ingle Ln."/>
    <m/>
    <s v="San Jose"/>
    <s v="CA"/>
    <n v="94217"/>
    <s v="USA"/>
    <s v="NA"/>
    <s v="Frick"/>
    <s v="Sue"/>
    <s v="Large"/>
    <n v="5900"/>
  </r>
  <r>
    <n v="10419"/>
    <n v="37"/>
    <n v="100"/>
    <n v="1"/>
    <n v="5202.9399999999996"/>
    <d v="2005-05-17T00:00:00"/>
    <s v="Shipped"/>
    <n v="2"/>
    <x v="1"/>
    <n v="2005"/>
    <x v="1"/>
    <n v="124"/>
    <s v="S18_1589"/>
    <s v="Salzburg Collectables"/>
    <s v="6562-9555"/>
    <s v="Geislweg 14"/>
    <m/>
    <s v="Salzburg"/>
    <m/>
    <n v="5020"/>
    <s v="Austria"/>
    <s v="EMEA"/>
    <s v="Pipps"/>
    <s v="Georg"/>
    <s v="Medium"/>
    <n v="3700"/>
  </r>
  <r>
    <n v="10106"/>
    <n v="36"/>
    <n v="100"/>
    <n v="12"/>
    <n v="5279.4"/>
    <d v="2003-02-17T00:00:00"/>
    <s v="Shipped"/>
    <n v="1"/>
    <x v="0"/>
    <n v="2003"/>
    <x v="4"/>
    <n v="157"/>
    <s v="S18_1662"/>
    <s v="Rovelli Gifts"/>
    <s v="035-640555"/>
    <s v="Via Ludovico il Moro 22"/>
    <m/>
    <s v="Bergamo"/>
    <m/>
    <n v="24100"/>
    <s v="Italy"/>
    <s v="EMEA"/>
    <s v="Rovelli"/>
    <s v="Giovanni"/>
    <s v="Medium"/>
    <n v="3600"/>
  </r>
  <r>
    <n v="10119"/>
    <n v="43"/>
    <n v="100"/>
    <n v="3"/>
    <n v="6916.12"/>
    <d v="2003-04-28T00:00:00"/>
    <s v="Shipped"/>
    <n v="2"/>
    <x v="8"/>
    <n v="2003"/>
    <x v="4"/>
    <n v="157"/>
    <s v="S18_1662"/>
    <s v="Salzburg Collectables"/>
    <s v="6562-9555"/>
    <s v="Geislweg 14"/>
    <m/>
    <s v="Salzburg"/>
    <m/>
    <n v="5020"/>
    <s v="Austria"/>
    <s v="EMEA"/>
    <s v="Pipps"/>
    <s v="Georg"/>
    <s v="Medium"/>
    <n v="4300"/>
  </r>
  <r>
    <n v="10131"/>
    <n v="21"/>
    <n v="100"/>
    <n v="4"/>
    <n v="2781.66"/>
    <d v="2003-06-16T00:00:00"/>
    <s v="Shipped"/>
    <n v="2"/>
    <x v="9"/>
    <n v="2003"/>
    <x v="4"/>
    <n v="157"/>
    <s v="S18_1662"/>
    <s v="Gift Ideas Corp."/>
    <n v="2035554407"/>
    <s v="2440 Pompton St."/>
    <m/>
    <s v="Glendale"/>
    <s v="CT"/>
    <n v="97561"/>
    <s v="USA"/>
    <s v="NA"/>
    <s v="Lewis"/>
    <s v="Dan"/>
    <s v="Small"/>
    <n v="2100"/>
  </r>
  <r>
    <n v="10143"/>
    <n v="32"/>
    <n v="100"/>
    <n v="7"/>
    <n v="5248"/>
    <d v="2003-08-10T00:00:00"/>
    <s v="Shipped"/>
    <n v="3"/>
    <x v="3"/>
    <n v="2003"/>
    <x v="4"/>
    <n v="157"/>
    <s v="S18_1662"/>
    <s v="Mini Creations Ltd."/>
    <n v="5085559555"/>
    <s v="4575 Hillside Dr."/>
    <m/>
    <s v="New Bedford"/>
    <s v="MA"/>
    <n v="50553"/>
    <s v="USA"/>
    <s v="NA"/>
    <s v="Tam"/>
    <s v="Wing C"/>
    <s v="Medium"/>
    <n v="3200"/>
  </r>
  <r>
    <n v="10155"/>
    <n v="38"/>
    <n v="100"/>
    <n v="5"/>
    <n v="6531.44"/>
    <d v="2003-10-06T00:00:00"/>
    <s v="Shipped"/>
    <n v="4"/>
    <x v="4"/>
    <n v="2003"/>
    <x v="4"/>
    <n v="157"/>
    <s v="S18_1662"/>
    <s v="Toys of Finland, Co."/>
    <s v="90-224 8555"/>
    <s v="Keskuskatu 45"/>
    <m/>
    <s v="Helsinki"/>
    <m/>
    <n v="21240"/>
    <s v="Finland"/>
    <s v="EMEA"/>
    <s v="Karttunen"/>
    <s v="Matti"/>
    <s v="Medium"/>
    <n v="3800"/>
  </r>
  <r>
    <n v="10167"/>
    <n v="43"/>
    <n v="100"/>
    <n v="1"/>
    <n v="5763.72"/>
    <d v="2003-10-23T00:00:00"/>
    <s v="Cancelled"/>
    <n v="4"/>
    <x v="4"/>
    <n v="2003"/>
    <x v="4"/>
    <n v="157"/>
    <s v="S18_1662"/>
    <s v="Scandinavian Gift Ideas"/>
    <s v="0695-34 6555"/>
    <s v="?kergatan 24"/>
    <m/>
    <s v="Boras"/>
    <m/>
    <s v="S-844 67"/>
    <s v="Sweden"/>
    <s v="EMEA"/>
    <s v="Larsson"/>
    <s v="Maria"/>
    <s v="Medium"/>
    <n v="4300"/>
  </r>
  <r>
    <n v="10178"/>
    <n v="42"/>
    <n v="100"/>
    <n v="4"/>
    <n v="6490.68"/>
    <d v="2003-11-08T00:00:00"/>
    <s v="Shipped"/>
    <n v="4"/>
    <x v="5"/>
    <n v="2003"/>
    <x v="4"/>
    <n v="157"/>
    <s v="S18_1662"/>
    <s v="Alpha Cognac"/>
    <s v="61.77.6555"/>
    <s v="1 rue Alsace-Lorraine"/>
    <m/>
    <s v="Toulouse"/>
    <m/>
    <n v="31000"/>
    <s v="France"/>
    <s v="EMEA"/>
    <s v="Roulet"/>
    <s v="Annette"/>
    <s v="Medium"/>
    <n v="4200"/>
  </r>
  <r>
    <n v="10186"/>
    <n v="32"/>
    <n v="100"/>
    <n v="1"/>
    <n v="6004.8"/>
    <d v="2003-11-14T00:00:00"/>
    <s v="Shipped"/>
    <n v="4"/>
    <x v="5"/>
    <n v="2003"/>
    <x v="4"/>
    <n v="157"/>
    <s v="S18_1662"/>
    <s v="Double Decker Gift Stores, Ltd"/>
    <s v="(171) 555-7555"/>
    <s v="120 Hanover Sq."/>
    <m/>
    <s v="London"/>
    <m/>
    <s v="WA1 1DP"/>
    <s v="UK"/>
    <s v="EMEA"/>
    <s v="Hardy"/>
    <s v="Thomas"/>
    <s v="Medium"/>
    <n v="3200"/>
  </r>
  <r>
    <n v="10198"/>
    <n v="42"/>
    <n v="100"/>
    <n v="4"/>
    <n v="7483.98"/>
    <d v="2003-11-27T00:00:00"/>
    <s v="Shipped"/>
    <n v="4"/>
    <x v="5"/>
    <n v="2003"/>
    <x v="4"/>
    <n v="157"/>
    <s v="S18_1662"/>
    <s v="Cruz &amp; Sons Co."/>
    <s v="+63 2 555 3587"/>
    <s v="15 McCallum Street - NatWest Center #13-03"/>
    <m/>
    <s v="Makati City"/>
    <m/>
    <s v="1227 MM"/>
    <s v="Philippines"/>
    <s v="Japan"/>
    <s v="Cruz"/>
    <s v="Arnold"/>
    <s v="Large"/>
    <n v="4200"/>
  </r>
  <r>
    <n v="10210"/>
    <n v="31"/>
    <n v="100"/>
    <n v="17"/>
    <n v="5719.5"/>
    <d v="2004-01-12T00:00:00"/>
    <s v="Shipped"/>
    <n v="1"/>
    <x v="7"/>
    <n v="2004"/>
    <x v="4"/>
    <n v="157"/>
    <s v="S18_1662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n v="3100"/>
  </r>
  <r>
    <n v="10222"/>
    <n v="49"/>
    <n v="100"/>
    <n v="4"/>
    <n v="6954.08"/>
    <d v="2004-02-19T00:00:00"/>
    <s v="Shipped"/>
    <n v="1"/>
    <x v="0"/>
    <n v="2004"/>
    <x v="4"/>
    <n v="157"/>
    <s v="S18_1662"/>
    <s v="Collectable Mini Designs Co."/>
    <n v="7605558146"/>
    <s v="361 Furth Circle"/>
    <m/>
    <s v="San Diego"/>
    <s v="CA"/>
    <n v="91217"/>
    <s v="USA"/>
    <s v="NA"/>
    <s v="Thompson"/>
    <s v="Valarie"/>
    <s v="Medium"/>
    <n v="4900"/>
  </r>
  <r>
    <n v="10250"/>
    <n v="45"/>
    <n v="100"/>
    <n v="14"/>
    <n v="8160.3"/>
    <d v="2004-05-11T00:00:00"/>
    <s v="Shipped"/>
    <n v="2"/>
    <x v="1"/>
    <n v="2004"/>
    <x v="4"/>
    <n v="157"/>
    <s v="S18_1662"/>
    <s v="The Sharp Gifts Warehouse"/>
    <n v="4085553659"/>
    <s v="3086 Ingle Ln."/>
    <m/>
    <s v="San Jose"/>
    <s v="CA"/>
    <n v="94217"/>
    <s v="USA"/>
    <s v="NA"/>
    <s v="Frick"/>
    <s v="Sue"/>
    <s v="Large"/>
    <n v="4500"/>
  </r>
  <r>
    <n v="10262"/>
    <n v="49"/>
    <n v="100"/>
    <n v="9"/>
    <n v="6567.96"/>
    <d v="2004-06-24T00:00:00"/>
    <s v="Cancelled"/>
    <n v="2"/>
    <x v="9"/>
    <n v="2004"/>
    <x v="4"/>
    <n v="157"/>
    <s v="S18_1662"/>
    <s v="Euro Shopping Channel"/>
    <s v="(91) 555 94 44"/>
    <s v="C/ Moralzarzal, 86"/>
    <m/>
    <s v="Madrid"/>
    <m/>
    <n v="28034"/>
    <s v="Spain"/>
    <s v="EMEA"/>
    <s v="Freyre"/>
    <s v="Diego"/>
    <s v="Medium"/>
    <n v="4900"/>
  </r>
  <r>
    <n v="10274"/>
    <n v="41"/>
    <n v="100"/>
    <n v="1"/>
    <n v="6724"/>
    <d v="2004-07-21T00:00:00"/>
    <s v="Shipped"/>
    <n v="3"/>
    <x v="2"/>
    <n v="2004"/>
    <x v="4"/>
    <n v="157"/>
    <s v="S18_1662"/>
    <s v="Collectables For Less Inc."/>
    <n v="6175558555"/>
    <s v="7825 Douglas Av."/>
    <m/>
    <s v="Brickhaven"/>
    <s v="MA"/>
    <n v="58339"/>
    <s v="USA"/>
    <s v="NA"/>
    <s v="Nelson"/>
    <s v="Allen"/>
    <s v="Medium"/>
    <n v="4100"/>
  </r>
  <r>
    <n v="10284"/>
    <n v="45"/>
    <n v="100"/>
    <n v="11"/>
    <n v="5747.85"/>
    <d v="2004-08-21T00:00:00"/>
    <s v="Shipped"/>
    <n v="3"/>
    <x v="3"/>
    <n v="2004"/>
    <x v="4"/>
    <n v="157"/>
    <s v="S18_1662"/>
    <s v="Norway Gifts By Mail, Co."/>
    <s v="+47 2212 1555"/>
    <s v="Drammensveien 126 A, PB 744 Sentrum"/>
    <m/>
    <s v="Oslo"/>
    <m/>
    <s v="N 0106"/>
    <s v="Norway"/>
    <s v="EMEA"/>
    <s v="Klaeboe"/>
    <s v="Jan"/>
    <s v="Medium"/>
    <n v="4500"/>
  </r>
  <r>
    <n v="10296"/>
    <n v="36"/>
    <n v="100"/>
    <n v="7"/>
    <n v="5676.84"/>
    <d v="2004-09-15T00:00:00"/>
    <s v="Shipped"/>
    <n v="3"/>
    <x v="10"/>
    <n v="2004"/>
    <x v="4"/>
    <n v="157"/>
    <s v="S18_1662"/>
    <s v="Bavarian Collectables Imports, Co."/>
    <s v="+49 89 61 08 9555"/>
    <s v="Hansastr. 15"/>
    <m/>
    <s v="Munich"/>
    <m/>
    <n v="80686"/>
    <s v="Germany"/>
    <s v="EMEA"/>
    <s v="Donnermeyer"/>
    <s v="Michael"/>
    <s v="Medium"/>
    <n v="3600"/>
  </r>
  <r>
    <n v="10307"/>
    <n v="39"/>
    <n v="100"/>
    <n v="1"/>
    <n v="7379.97"/>
    <d v="2004-10-14T00:00:00"/>
    <s v="Shipped"/>
    <n v="4"/>
    <x v="4"/>
    <n v="2004"/>
    <x v="4"/>
    <n v="157"/>
    <s v="S18_1662"/>
    <s v="Classic Gift Ideas, Inc"/>
    <n v="2155554695"/>
    <s v="782 First Street"/>
    <m/>
    <s v="Philadelphia"/>
    <s v="PA"/>
    <n v="71270"/>
    <s v="USA"/>
    <s v="NA"/>
    <s v="Cervantes"/>
    <s v="Francisca"/>
    <s v="Large"/>
    <n v="3900"/>
  </r>
  <r>
    <n v="10316"/>
    <n v="27"/>
    <n v="100"/>
    <n v="9"/>
    <n v="3704.13"/>
    <d v="2004-11-01T00:00:00"/>
    <s v="Shipped"/>
    <n v="4"/>
    <x v="5"/>
    <n v="2004"/>
    <x v="4"/>
    <n v="157"/>
    <s v="S18_1662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2700"/>
  </r>
  <r>
    <n v="10327"/>
    <n v="25"/>
    <n v="100"/>
    <n v="6"/>
    <n v="2804.75"/>
    <d v="2004-11-10T00:00:00"/>
    <s v="Resolved"/>
    <n v="4"/>
    <x v="5"/>
    <n v="2004"/>
    <x v="4"/>
    <n v="157"/>
    <s v="S18_1662"/>
    <s v="Danish Wholesale Imports"/>
    <s v="31 12 3555"/>
    <s v="Vinb'ltet 34"/>
    <m/>
    <s v="Kobenhavn"/>
    <m/>
    <n v="1734"/>
    <s v="Denmark"/>
    <s v="EMEA"/>
    <s v="Petersen"/>
    <s v="Jytte"/>
    <s v="Small"/>
    <n v="2500"/>
  </r>
  <r>
    <n v="10338"/>
    <n v="41"/>
    <n v="100"/>
    <n v="1"/>
    <n v="5624.79"/>
    <d v="2004-11-22T00:00:00"/>
    <s v="Shipped"/>
    <n v="4"/>
    <x v="5"/>
    <n v="2004"/>
    <x v="4"/>
    <n v="157"/>
    <s v="S18_1662"/>
    <s v="Royale Belge"/>
    <s v="(071) 23 67 2555"/>
    <s v="Boulevard Tirou, 255"/>
    <m/>
    <s v="Charleroi"/>
    <m/>
    <s v="B-6000"/>
    <s v="Belgium"/>
    <s v="EMEA"/>
    <s v="Cartrain"/>
    <s v="Pascale"/>
    <s v="Medium"/>
    <n v="4100"/>
  </r>
  <r>
    <n v="10351"/>
    <n v="39"/>
    <n v="99.52"/>
    <n v="1"/>
    <n v="3881.28"/>
    <d v="2004-12-03T00:00:00"/>
    <s v="Shipped"/>
    <n v="4"/>
    <x v="6"/>
    <n v="2004"/>
    <x v="4"/>
    <n v="157"/>
    <s v="S18_1662"/>
    <s v="Stylish Desk Decors, Co."/>
    <s v="(171) 555-0297"/>
    <s v="35 King George"/>
    <m/>
    <s v="London"/>
    <m/>
    <s v="WX3 6FW"/>
    <s v="UK"/>
    <s v="EMEA"/>
    <s v="Brown"/>
    <s v="Ann"/>
    <s v="Medium"/>
    <n v="3881.2799999999997"/>
  </r>
  <r>
    <n v="10373"/>
    <n v="28"/>
    <n v="57.55"/>
    <n v="4"/>
    <n v="1611.4"/>
    <d v="2005-01-31T00:00:00"/>
    <s v="Shipped"/>
    <n v="1"/>
    <x v="7"/>
    <n v="2005"/>
    <x v="4"/>
    <n v="157"/>
    <s v="S18_1662"/>
    <s v="Oulu Toy Supplies, Inc."/>
    <s v="981-443655"/>
    <s v="Torikatu 38"/>
    <m/>
    <s v="Oulu"/>
    <m/>
    <n v="90110"/>
    <s v="Finland"/>
    <s v="EMEA"/>
    <s v="Koskitalo"/>
    <s v="Pirkko"/>
    <s v="Small"/>
    <n v="1611.3999999999999"/>
  </r>
  <r>
    <n v="10386"/>
    <n v="25"/>
    <n v="54.57"/>
    <n v="7"/>
    <n v="1364.25"/>
    <d v="2005-03-01T00:00:00"/>
    <s v="Resolved"/>
    <n v="1"/>
    <x v="11"/>
    <n v="2005"/>
    <x v="4"/>
    <n v="157"/>
    <s v="S18_1662"/>
    <s v="Euro Shopping Channel"/>
    <s v="(91) 555 94 44"/>
    <s v="C/ Moralzarzal, 86"/>
    <m/>
    <s v="Madrid"/>
    <m/>
    <n v="28034"/>
    <s v="Spain"/>
    <s v="EMEA"/>
    <s v="Freyre"/>
    <s v="Diego"/>
    <s v="Small"/>
    <n v="1364.25"/>
  </r>
  <r>
    <n v="10398"/>
    <n v="33"/>
    <n v="100"/>
    <n v="11"/>
    <n v="4215.09"/>
    <d v="2005-03-30T00:00:00"/>
    <s v="Shipped"/>
    <n v="1"/>
    <x v="11"/>
    <n v="2005"/>
    <x v="4"/>
    <n v="157"/>
    <s v="S18_1662"/>
    <s v="Reims Collectables"/>
    <s v="26.47.1555"/>
    <s v="59 rue de l'Abbaye"/>
    <m/>
    <s v="Reims"/>
    <m/>
    <n v="51100"/>
    <s v="France"/>
    <s v="EMEA"/>
    <s v="Henriot"/>
    <s v="Paul"/>
    <s v="Medium"/>
    <n v="3300"/>
  </r>
  <r>
    <n v="10400"/>
    <n v="34"/>
    <n v="100"/>
    <n v="1"/>
    <n v="6433.82"/>
    <d v="2005-04-01T00:00:00"/>
    <s v="Shipped"/>
    <n v="2"/>
    <x v="8"/>
    <n v="2005"/>
    <x v="4"/>
    <n v="157"/>
    <s v="S18_1662"/>
    <s v="The Sharp Gifts Warehouse"/>
    <n v="4085553659"/>
    <s v="3086 Ingle Ln."/>
    <m/>
    <s v="San Jose"/>
    <s v="CA"/>
    <n v="94217"/>
    <s v="USA"/>
    <s v="NA"/>
    <s v="Frick"/>
    <s v="Sue"/>
    <s v="Medium"/>
    <n v="3400"/>
  </r>
  <r>
    <n v="10416"/>
    <n v="24"/>
    <n v="100"/>
    <n v="14"/>
    <n v="4352.16"/>
    <d v="2005-05-10T00:00:00"/>
    <s v="Shipped"/>
    <n v="2"/>
    <x v="1"/>
    <n v="2005"/>
    <x v="4"/>
    <n v="157"/>
    <s v="S18_1662"/>
    <s v="L'ordine Souveniers"/>
    <s v="0522-556555"/>
    <s v="Strada Provinciale 124"/>
    <m/>
    <s v="Reggio Emilia"/>
    <m/>
    <n v="42100"/>
    <s v="Italy"/>
    <s v="EMEA"/>
    <s v="Moroni"/>
    <s v="Maurizio"/>
    <s v="Medium"/>
    <n v="2400"/>
  </r>
  <r>
    <n v="10100"/>
    <n v="30"/>
    <n v="100"/>
    <n v="3"/>
    <n v="5151"/>
    <d v="2003-01-06T00:00:00"/>
    <s v="Shipped"/>
    <n v="1"/>
    <x v="7"/>
    <n v="2003"/>
    <x v="3"/>
    <n v="170"/>
    <s v="S18_1749"/>
    <s v="Online Diecast Creations Co."/>
    <n v="6035558647"/>
    <s v="2304 Long Airport Avenue"/>
    <m/>
    <s v="Nashua"/>
    <s v="NH"/>
    <n v="62005"/>
    <s v="USA"/>
    <s v="NA"/>
    <s v="Young"/>
    <s v="Valarie"/>
    <s v="Medium"/>
    <n v="3000"/>
  </r>
  <r>
    <n v="10110"/>
    <n v="42"/>
    <n v="100"/>
    <n v="7"/>
    <n v="6069"/>
    <d v="2003-03-18T00:00:00"/>
    <s v="Shipped"/>
    <n v="1"/>
    <x v="11"/>
    <n v="2003"/>
    <x v="3"/>
    <n v="170"/>
    <s v="S18_1749"/>
    <s v="AV Stores, Co."/>
    <s v="(171) 555-1555"/>
    <s v="Fauntleroy Circus"/>
    <m/>
    <s v="Manchester"/>
    <m/>
    <s v="EC2 5NT"/>
    <s v="UK"/>
    <s v="EMEA"/>
    <s v="Ashworth"/>
    <s v="Victoria"/>
    <s v="Medium"/>
    <n v="4200"/>
  </r>
  <r>
    <n v="10124"/>
    <n v="21"/>
    <n v="100"/>
    <n v="6"/>
    <n v="2856"/>
    <d v="2003-05-21T00:00:00"/>
    <s v="Shipped"/>
    <n v="2"/>
    <x v="1"/>
    <n v="2003"/>
    <x v="3"/>
    <n v="170"/>
    <s v="S18_1749"/>
    <s v="Signal Gift Stores"/>
    <n v="7025551838"/>
    <s v="8489 Strong St."/>
    <m/>
    <s v="Las Vegas"/>
    <s v="NV"/>
    <n v="83030"/>
    <s v="USA"/>
    <s v="NA"/>
    <s v="King"/>
    <s v="Sue"/>
    <s v="Small"/>
    <n v="2100"/>
  </r>
  <r>
    <n v="10149"/>
    <n v="34"/>
    <n v="100"/>
    <n v="11"/>
    <n v="5375.4"/>
    <d v="2003-09-12T00:00:00"/>
    <s v="Shipped"/>
    <n v="3"/>
    <x v="10"/>
    <n v="2003"/>
    <x v="3"/>
    <n v="170"/>
    <s v="S18_1749"/>
    <s v="Signal Collectibles Ltd."/>
    <n v="4155554312"/>
    <s v="2793 Furth Circle"/>
    <m/>
    <s v="Brisbane"/>
    <s v="CA"/>
    <n v="94217"/>
    <s v="USA"/>
    <s v="NA"/>
    <s v="Taylor"/>
    <s v="Sue"/>
    <s v="Medium"/>
    <n v="3400"/>
  </r>
  <r>
    <n v="10162"/>
    <n v="29"/>
    <n v="100"/>
    <n v="9"/>
    <n v="5176.5"/>
    <d v="2003-10-18T00:00:00"/>
    <s v="Shipped"/>
    <n v="4"/>
    <x v="4"/>
    <n v="2003"/>
    <x v="3"/>
    <n v="170"/>
    <s v="S18_1749"/>
    <s v="Corporate Gift Ideas Co."/>
    <n v="6505551386"/>
    <s v="7734 Strong St."/>
    <m/>
    <s v="San Francisco"/>
    <s v="CA"/>
    <m/>
    <s v="USA"/>
    <s v="NA"/>
    <s v="Brown"/>
    <s v="Julie"/>
    <s v="Medium"/>
    <n v="2900"/>
  </r>
  <r>
    <n v="10173"/>
    <n v="24"/>
    <n v="100"/>
    <n v="13"/>
    <n v="3508.8"/>
    <d v="2003-11-05T00:00:00"/>
    <s v="Shipped"/>
    <n v="4"/>
    <x v="5"/>
    <n v="2003"/>
    <x v="3"/>
    <n v="170"/>
    <s v="S18_1749"/>
    <s v="Rovelli Gifts"/>
    <s v="035-640555"/>
    <s v="Via Ludovico il Moro 22"/>
    <m/>
    <s v="Bergamo"/>
    <m/>
    <n v="24100"/>
    <s v="Italy"/>
    <s v="EMEA"/>
    <s v="Rovelli"/>
    <s v="Giovanni"/>
    <s v="Medium"/>
    <n v="2400"/>
  </r>
  <r>
    <n v="10182"/>
    <n v="44"/>
    <n v="100"/>
    <n v="10"/>
    <n v="7554.8"/>
    <d v="2003-11-12T00:00:00"/>
    <s v="Shipped"/>
    <n v="4"/>
    <x v="5"/>
    <n v="2003"/>
    <x v="3"/>
    <n v="170"/>
    <s v="S18_1749"/>
    <s v="Mini Gifts Distributors Ltd."/>
    <n v="4155551450"/>
    <s v="5677 Strong St."/>
    <m/>
    <s v="San Rafael"/>
    <s v="CA"/>
    <n v="97562"/>
    <s v="USA"/>
    <s v="NA"/>
    <s v="Nelson"/>
    <s v="Valarie"/>
    <s v="Large"/>
    <n v="4400"/>
  </r>
  <r>
    <n v="10193"/>
    <n v="21"/>
    <n v="100"/>
    <n v="14"/>
    <n v="3141.6"/>
    <d v="2003-11-21T00:00:00"/>
    <s v="Shipped"/>
    <n v="4"/>
    <x v="5"/>
    <n v="2003"/>
    <x v="3"/>
    <n v="170"/>
    <s v="S18_1749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n v="2100"/>
  </r>
  <r>
    <n v="10204"/>
    <n v="33"/>
    <n v="100"/>
    <n v="4"/>
    <n v="5890.5"/>
    <d v="2003-12-02T00:00:00"/>
    <s v="Shipped"/>
    <n v="4"/>
    <x v="6"/>
    <n v="2003"/>
    <x v="3"/>
    <n v="170"/>
    <s v="S18_1749"/>
    <s v="Muscle Machine Inc"/>
    <n v="2125557413"/>
    <s v="4092 Furth Circle"/>
    <s v="Suite 400"/>
    <s v="NYC"/>
    <s v="NY"/>
    <n v="10022"/>
    <s v="USA"/>
    <s v="NA"/>
    <s v="Young"/>
    <s v="Jeff"/>
    <s v="Medium"/>
    <n v="3300"/>
  </r>
  <r>
    <n v="10214"/>
    <n v="30"/>
    <n v="100"/>
    <n v="7"/>
    <n v="5967"/>
    <d v="2004-01-26T00:00:00"/>
    <s v="Shipped"/>
    <n v="1"/>
    <x v="7"/>
    <n v="2004"/>
    <x v="3"/>
    <n v="170"/>
    <s v="S18_1749"/>
    <s v="Corrida Auto Replicas, Ltd"/>
    <s v="(91) 555 22 82"/>
    <s v="C/ Araquil, 67"/>
    <m/>
    <s v="Madrid"/>
    <m/>
    <n v="28023"/>
    <s v="Spain"/>
    <s v="EMEA"/>
    <s v="Sommer"/>
    <s v="Mart¡n"/>
    <s v="Medium"/>
    <n v="3000"/>
  </r>
  <r>
    <n v="10227"/>
    <n v="26"/>
    <n v="100"/>
    <n v="10"/>
    <n v="3712.8"/>
    <d v="2004-03-02T00:00:00"/>
    <s v="Shipped"/>
    <n v="1"/>
    <x v="11"/>
    <n v="2004"/>
    <x v="3"/>
    <n v="170"/>
    <s v="S18_1749"/>
    <s v="Saveley &amp; Henriot, Co."/>
    <s v="78.32.5555"/>
    <s v="2, rue du Commerce"/>
    <m/>
    <s v="Lyon"/>
    <m/>
    <n v="69004"/>
    <s v="France"/>
    <s v="EMEA"/>
    <s v="Saveley"/>
    <s v="Mary"/>
    <s v="Medium"/>
    <n v="2600"/>
  </r>
  <r>
    <n v="10241"/>
    <n v="41"/>
    <n v="100"/>
    <n v="2"/>
    <n v="7597.3"/>
    <d v="2004-04-13T00:00:00"/>
    <s v="Shipped"/>
    <n v="2"/>
    <x v="8"/>
    <n v="2004"/>
    <x v="3"/>
    <n v="170"/>
    <s v="S18_1749"/>
    <s v="Mini Caravy"/>
    <s v="88.60.1555"/>
    <s v="24, place Kluber"/>
    <m/>
    <s v="Strasbourg"/>
    <m/>
    <n v="67000"/>
    <s v="France"/>
    <s v="EMEA"/>
    <s v="Citeaux"/>
    <s v="Frederique"/>
    <s v="Large"/>
    <n v="4100"/>
  </r>
  <r>
    <n v="10280"/>
    <n v="26"/>
    <n v="100"/>
    <n v="16"/>
    <n v="3668.6"/>
    <d v="2004-08-17T00:00:00"/>
    <s v="Shipped"/>
    <n v="3"/>
    <x v="3"/>
    <n v="2004"/>
    <x v="3"/>
    <n v="170"/>
    <s v="S18_1749"/>
    <s v="Amica Models &amp; Co."/>
    <s v="011-4988555"/>
    <s v="Via Monte Bianco 34"/>
    <m/>
    <s v="Torino"/>
    <m/>
    <n v="10100"/>
    <s v="Italy"/>
    <s v="EMEA"/>
    <s v="Accorti"/>
    <s v="Paolo"/>
    <s v="Medium"/>
    <n v="2600"/>
  </r>
  <r>
    <n v="10288"/>
    <n v="32"/>
    <n v="100"/>
    <n v="5"/>
    <n v="5875.2"/>
    <d v="2004-09-01T00:00:00"/>
    <s v="Shipped"/>
    <n v="3"/>
    <x v="10"/>
    <n v="2004"/>
    <x v="3"/>
    <n v="170"/>
    <s v="S18_174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3200"/>
  </r>
  <r>
    <n v="10302"/>
    <n v="43"/>
    <n v="100"/>
    <n v="1"/>
    <n v="7310"/>
    <d v="2003-10-06T00:00:00"/>
    <s v="Shipped"/>
    <n v="4"/>
    <x v="4"/>
    <n v="2003"/>
    <x v="3"/>
    <n v="170"/>
    <s v="S18_1749"/>
    <s v="UK Collectables, Ltd."/>
    <s v="(171) 555-2282"/>
    <s v="Berkeley Gardens 12  Brewery"/>
    <m/>
    <s v="Liverpool"/>
    <m/>
    <s v="WX1 6LT"/>
    <s v="UK"/>
    <s v="EMEA"/>
    <s v="Devon"/>
    <s v="Elizabeth"/>
    <s v="Large"/>
    <n v="4300"/>
  </r>
  <r>
    <n v="10312"/>
    <n v="48"/>
    <n v="100"/>
    <n v="17"/>
    <n v="8078.4"/>
    <d v="2004-10-21T00:00:00"/>
    <s v="Shipped"/>
    <n v="4"/>
    <x v="4"/>
    <n v="2004"/>
    <x v="3"/>
    <n v="170"/>
    <s v="S18_1749"/>
    <s v="Mini Gifts Distributors Ltd."/>
    <n v="4155551450"/>
    <s v="5677 Strong St."/>
    <m/>
    <s v="San Rafael"/>
    <s v="CA"/>
    <n v="97562"/>
    <s v="USA"/>
    <s v="NA"/>
    <s v="Nelson"/>
    <s v="Valarie"/>
    <s v="Large"/>
    <n v="4800"/>
  </r>
  <r>
    <n v="10331"/>
    <n v="44"/>
    <n v="74.040000000000006"/>
    <n v="7"/>
    <n v="3257.76"/>
    <d v="2004-11-17T00:00:00"/>
    <s v="Shipped"/>
    <n v="4"/>
    <x v="5"/>
    <n v="2004"/>
    <x v="3"/>
    <n v="170"/>
    <s v="S18_1749"/>
    <s v="Motor Mint Distributors Inc."/>
    <n v="2155559857"/>
    <s v="11328 Douglas Av."/>
    <m/>
    <s v="Philadelphia"/>
    <s v="PA"/>
    <n v="71270"/>
    <s v="USA"/>
    <s v="NA"/>
    <s v="Hernandez"/>
    <s v="Rosa"/>
    <s v="Medium"/>
    <n v="3257.76"/>
  </r>
  <r>
    <n v="10344"/>
    <n v="45"/>
    <n v="100"/>
    <n v="1"/>
    <n v="7650"/>
    <d v="2004-11-25T00:00:00"/>
    <s v="Shipped"/>
    <n v="4"/>
    <x v="5"/>
    <n v="2004"/>
    <x v="3"/>
    <n v="170"/>
    <s v="S18_1749"/>
    <s v="Marseille Mini Autos"/>
    <s v="91.24.4555"/>
    <s v="12, rue des Bouchers"/>
    <m/>
    <s v="Marseille"/>
    <m/>
    <n v="13008"/>
    <s v="France"/>
    <s v="EMEA"/>
    <s v="Lebihan"/>
    <s v="Laurence"/>
    <s v="Large"/>
    <n v="4500"/>
  </r>
  <r>
    <n v="10367"/>
    <n v="37"/>
    <n v="100"/>
    <n v="3"/>
    <n v="4703.8100000000004"/>
    <d v="2005-01-12T00:00:00"/>
    <s v="Resolved"/>
    <n v="1"/>
    <x v="7"/>
    <n v="2005"/>
    <x v="3"/>
    <n v="170"/>
    <s v="S18_1749"/>
    <s v="Toys4GrownUps.com"/>
    <n v="6265557265"/>
    <s v="78934 Hillside Dr."/>
    <m/>
    <s v="Pasadena"/>
    <s v="CA"/>
    <n v="90003"/>
    <s v="USA"/>
    <s v="NA"/>
    <s v="Young"/>
    <s v="Julie"/>
    <s v="Medium"/>
    <n v="3700"/>
  </r>
  <r>
    <n v="10379"/>
    <n v="39"/>
    <n v="100"/>
    <n v="2"/>
    <n v="5399.55"/>
    <d v="2005-02-10T00:00:00"/>
    <s v="Shipped"/>
    <n v="1"/>
    <x v="0"/>
    <n v="2005"/>
    <x v="3"/>
    <n v="170"/>
    <s v="S18_1749"/>
    <s v="Euro Shopping Channel"/>
    <s v="(91) 555 94 44"/>
    <s v="C/ Moralzarzal, 86"/>
    <m/>
    <s v="Madrid"/>
    <m/>
    <n v="28034"/>
    <s v="Spain"/>
    <s v="EMEA"/>
    <s v="Freyre"/>
    <s v="Diego"/>
    <s v="Medium"/>
    <n v="3900"/>
  </r>
  <r>
    <n v="10407"/>
    <n v="76"/>
    <n v="100"/>
    <n v="2"/>
    <n v="14082.8"/>
    <d v="2005-04-22T00:00:00"/>
    <s v="On Hold"/>
    <n v="2"/>
    <x v="8"/>
    <n v="2005"/>
    <x v="3"/>
    <n v="170"/>
    <s v="S18_1749"/>
    <s v="The Sharp Gifts Warehouse"/>
    <n v="4085553659"/>
    <s v="3086 Ingle Ln."/>
    <m/>
    <s v="San Jose"/>
    <s v="CA"/>
    <n v="94217"/>
    <s v="USA"/>
    <s v="NA"/>
    <s v="Frick"/>
    <s v="Sue"/>
    <s v="Large"/>
    <n v="7600"/>
  </r>
  <r>
    <n v="10420"/>
    <n v="37"/>
    <n v="100"/>
    <n v="5"/>
    <n v="5283.6"/>
    <d v="2005-05-29T00:00:00"/>
    <s v="In Process"/>
    <n v="2"/>
    <x v="1"/>
    <n v="2005"/>
    <x v="3"/>
    <n v="170"/>
    <s v="S18_17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700"/>
  </r>
  <r>
    <n v="10108"/>
    <n v="38"/>
    <n v="82.39"/>
    <n v="2"/>
    <n v="3130.82"/>
    <d v="2003-03-03T00:00:00"/>
    <s v="Shipped"/>
    <n v="1"/>
    <x v="11"/>
    <n v="2003"/>
    <x v="1"/>
    <n v="77"/>
    <s v="S18_1889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3130.82"/>
  </r>
  <r>
    <n v="10122"/>
    <n v="43"/>
    <n v="72.38"/>
    <n v="6"/>
    <n v="3112.34"/>
    <d v="2003-05-08T00:00:00"/>
    <s v="Shipped"/>
    <n v="2"/>
    <x v="1"/>
    <n v="2003"/>
    <x v="1"/>
    <n v="77"/>
    <s v="S18_1889"/>
    <s v="Marseille Mini Autos"/>
    <s v="91.24.4555"/>
    <s v="12, rue des Bouchers"/>
    <m/>
    <s v="Marseille"/>
    <m/>
    <n v="13008"/>
    <s v="France"/>
    <s v="EMEA"/>
    <s v="Lebihan"/>
    <s v="Laurence"/>
    <s v="Medium"/>
    <n v="3112.3399999999997"/>
  </r>
  <r>
    <n v="10135"/>
    <n v="48"/>
    <n v="79.31"/>
    <n v="3"/>
    <n v="3806.88"/>
    <d v="2003-07-02T00:00:00"/>
    <s v="Shipped"/>
    <n v="3"/>
    <x v="2"/>
    <n v="2003"/>
    <x v="1"/>
    <n v="77"/>
    <s v="S18_1889"/>
    <s v="Mini Gifts Distributors Ltd."/>
    <n v="4155551450"/>
    <s v="5677 Strong St."/>
    <m/>
    <s v="San Rafael"/>
    <s v="CA"/>
    <n v="97562"/>
    <s v="USA"/>
    <s v="NA"/>
    <s v="Nelson"/>
    <s v="Valarie"/>
    <s v="Medium"/>
    <n v="3806.88"/>
  </r>
  <r>
    <n v="10147"/>
    <n v="26"/>
    <n v="82.39"/>
    <n v="3"/>
    <n v="2142.14"/>
    <d v="2003-09-05T00:00:00"/>
    <s v="Shipped"/>
    <n v="3"/>
    <x v="10"/>
    <n v="2003"/>
    <x v="1"/>
    <n v="77"/>
    <s v="S18_1889"/>
    <s v="Collectables For Less Inc."/>
    <n v="6175558555"/>
    <s v="7825 Douglas Av."/>
    <m/>
    <s v="Brickhaven"/>
    <s v="MA"/>
    <n v="58339"/>
    <s v="USA"/>
    <s v="NA"/>
    <s v="Nelson"/>
    <s v="Allen"/>
    <s v="Small"/>
    <n v="2142.14"/>
  </r>
  <r>
    <n v="10160"/>
    <n v="38"/>
    <n v="88.55"/>
    <n v="4"/>
    <n v="3364.9"/>
    <d v="2003-10-11T00:00:00"/>
    <s v="Shipped"/>
    <n v="4"/>
    <x v="4"/>
    <n v="2003"/>
    <x v="1"/>
    <n v="77"/>
    <s v="S18_1889"/>
    <s v="Men 'R' US Retailers, Ltd."/>
    <n v="2155554369"/>
    <s v="6047 Douglas Av."/>
    <m/>
    <s v="Los Angeles"/>
    <s v="CA"/>
    <m/>
    <s v="USA"/>
    <s v="NA"/>
    <s v="Chandler"/>
    <s v="Michael"/>
    <s v="Medium"/>
    <n v="3364.9"/>
  </r>
  <r>
    <n v="10170"/>
    <n v="20"/>
    <n v="63.14"/>
    <n v="2"/>
    <n v="1262.8"/>
    <d v="2003-11-04T00:00:00"/>
    <s v="Shipped"/>
    <n v="4"/>
    <x v="5"/>
    <n v="2003"/>
    <x v="1"/>
    <n v="77"/>
    <s v="S18_1889"/>
    <s v="Mini Auto Werke"/>
    <s v="7675-3555"/>
    <s v="Kirchgasse 6"/>
    <m/>
    <s v="Graz"/>
    <m/>
    <n v="8010"/>
    <s v="Austria"/>
    <s v="EMEA"/>
    <s v="Mendel"/>
    <s v="Roland"/>
    <s v="Small"/>
    <n v="1262.8"/>
  </r>
  <r>
    <n v="10181"/>
    <n v="22"/>
    <n v="73.92"/>
    <n v="10"/>
    <n v="1626.24"/>
    <d v="2003-11-12T00:00:00"/>
    <s v="Shipped"/>
    <n v="4"/>
    <x v="5"/>
    <n v="2003"/>
    <x v="1"/>
    <n v="77"/>
    <s v="S18_1889"/>
    <s v="Herkku Gifts"/>
    <s v="+47 2267 3215"/>
    <s v="Drammen 121, PR 744 Sentrum"/>
    <m/>
    <s v="Bergen"/>
    <m/>
    <s v="N 5804"/>
    <s v="Norway"/>
    <s v="EMEA"/>
    <s v="Oeztan"/>
    <s v="Veysel"/>
    <s v="Small"/>
    <n v="1626.24"/>
  </r>
  <r>
    <n v="10192"/>
    <n v="45"/>
    <n v="90.86"/>
    <n v="15"/>
    <n v="4088.7"/>
    <d v="2003-11-20T00:00:00"/>
    <s v="Shipped"/>
    <n v="4"/>
    <x v="5"/>
    <n v="2003"/>
    <x v="1"/>
    <n v="77"/>
    <s v="S18_1889"/>
    <s v="Online Diecast Creations Co."/>
    <n v="6035558647"/>
    <s v="2304 Long Airport Avenue"/>
    <m/>
    <s v="Nashua"/>
    <s v="NH"/>
    <n v="62005"/>
    <s v="USA"/>
    <s v="NA"/>
    <s v="Young"/>
    <s v="Valarie"/>
    <s v="Medium"/>
    <n v="4088.7"/>
  </r>
  <r>
    <n v="10203"/>
    <n v="45"/>
    <n v="85.47"/>
    <n v="4"/>
    <n v="3846.15"/>
    <d v="2003-12-02T00:00:00"/>
    <s v="Shipped"/>
    <n v="4"/>
    <x v="6"/>
    <n v="2003"/>
    <x v="1"/>
    <n v="77"/>
    <s v="S18_1889"/>
    <s v="Euro Shopping Channel"/>
    <s v="(91) 555 94 44"/>
    <s v="C/ Moralzarzal, 86"/>
    <m/>
    <s v="Madrid"/>
    <m/>
    <n v="28034"/>
    <s v="Spain"/>
    <s v="EMEA"/>
    <s v="Freyre"/>
    <s v="Diego"/>
    <s v="Medium"/>
    <n v="3846.15"/>
  </r>
  <r>
    <n v="10212"/>
    <n v="20"/>
    <n v="66.989999999999995"/>
    <n v="14"/>
    <n v="1339.8"/>
    <d v="2004-01-16T00:00:00"/>
    <s v="Shipped"/>
    <n v="1"/>
    <x v="7"/>
    <n v="2004"/>
    <x v="1"/>
    <n v="77"/>
    <s v="S18_1889"/>
    <s v="Euro Shopping Channel"/>
    <s v="(91) 555 94 44"/>
    <s v="C/ Moralzarzal, 86"/>
    <m/>
    <s v="Madrid"/>
    <m/>
    <n v="28034"/>
    <s v="Spain"/>
    <s v="EMEA"/>
    <s v="Freyre"/>
    <s v="Diego"/>
    <s v="Small"/>
    <n v="1339.8"/>
  </r>
  <r>
    <n v="10225"/>
    <n v="47"/>
    <n v="64.680000000000007"/>
    <n v="5"/>
    <n v="3039.96"/>
    <d v="2004-02-22T00:00:00"/>
    <s v="Shipped"/>
    <n v="1"/>
    <x v="0"/>
    <n v="2004"/>
    <x v="1"/>
    <n v="77"/>
    <s v="S18_1889"/>
    <s v="Vida Sport, Ltd"/>
    <s v="0897-034555"/>
    <s v="Grenzacherweg 237"/>
    <m/>
    <s v="Gensve"/>
    <m/>
    <n v="1203"/>
    <s v="Switzerland"/>
    <s v="EMEA"/>
    <s v="Holz"/>
    <s v="Michael"/>
    <s v="Medium"/>
    <n v="3039.9600000000005"/>
  </r>
  <r>
    <n v="10239"/>
    <n v="46"/>
    <n v="73.92"/>
    <n v="4"/>
    <n v="3400.32"/>
    <d v="2004-04-12T00:00:00"/>
    <s v="Shipped"/>
    <n v="2"/>
    <x v="8"/>
    <n v="2004"/>
    <x v="1"/>
    <n v="77"/>
    <s v="S18_1889"/>
    <s v="Oulu Toy Supplies, Inc."/>
    <s v="981-443655"/>
    <s v="Torikatu 38"/>
    <m/>
    <s v="Oulu"/>
    <m/>
    <n v="90110"/>
    <s v="Finland"/>
    <s v="EMEA"/>
    <s v="Koskitalo"/>
    <s v="Pirkko"/>
    <s v="Medium"/>
    <n v="3400.32"/>
  </r>
  <r>
    <n v="10253"/>
    <n v="23"/>
    <n v="83.93"/>
    <n v="9"/>
    <n v="1930.39"/>
    <d v="2004-06-01T00:00:00"/>
    <s v="Cancelled"/>
    <n v="2"/>
    <x v="9"/>
    <n v="2004"/>
    <x v="1"/>
    <n v="77"/>
    <s v="S18_1889"/>
    <s v="UK Collectables, Ltd."/>
    <s v="(171) 555-2282"/>
    <s v="Berkeley Gardens 12  Brewery"/>
    <m/>
    <s v="Liverpool"/>
    <m/>
    <s v="WX1 6LT"/>
    <s v="UK"/>
    <s v="EMEA"/>
    <s v="Devon"/>
    <s v="Elizabeth"/>
    <s v="Small"/>
    <n v="1930.39"/>
  </r>
  <r>
    <n v="10266"/>
    <n v="33"/>
    <n v="74.69"/>
    <n v="10"/>
    <n v="2464.77"/>
    <d v="2004-07-06T00:00:00"/>
    <s v="Shipped"/>
    <n v="3"/>
    <x v="2"/>
    <n v="2004"/>
    <x v="1"/>
    <n v="77"/>
    <s v="S18_1889"/>
    <s v="L'ordine Souveniers"/>
    <s v="0522-556555"/>
    <s v="Strada Provinciale 124"/>
    <m/>
    <s v="Reggio Emilia"/>
    <m/>
    <n v="42100"/>
    <s v="Italy"/>
    <s v="EMEA"/>
    <s v="Moroni"/>
    <s v="Maurizio"/>
    <s v="Small"/>
    <n v="2464.77"/>
  </r>
  <r>
    <n v="10278"/>
    <n v="29"/>
    <n v="90.86"/>
    <n v="10"/>
    <n v="2634.94"/>
    <d v="2004-08-06T00:00:00"/>
    <s v="Shipped"/>
    <n v="3"/>
    <x v="3"/>
    <n v="2004"/>
    <x v="1"/>
    <n v="77"/>
    <s v="S18_1889"/>
    <s v="Signal Gift Stores"/>
    <n v="7025551838"/>
    <s v="8489 Strong St."/>
    <m/>
    <s v="Las Vegas"/>
    <s v="NV"/>
    <n v="83030"/>
    <s v="USA"/>
    <s v="NA"/>
    <s v="King"/>
    <s v="Sue"/>
    <s v="Small"/>
    <n v="2634.94"/>
  </r>
  <r>
    <n v="10287"/>
    <n v="44"/>
    <n v="82.39"/>
    <n v="8"/>
    <n v="3625.16"/>
    <d v="2004-08-30T00:00:00"/>
    <s v="Shipped"/>
    <n v="3"/>
    <x v="3"/>
    <n v="2004"/>
    <x v="1"/>
    <n v="77"/>
    <s v="S18_1889"/>
    <s v="Vida Sport, Ltd"/>
    <s v="0897-034555"/>
    <s v="Grenzacherweg 237"/>
    <m/>
    <s v="Gensve"/>
    <m/>
    <n v="1203"/>
    <s v="Switzerland"/>
    <s v="EMEA"/>
    <s v="Holz"/>
    <s v="Michael"/>
    <s v="Medium"/>
    <n v="3625.16"/>
  </r>
  <r>
    <n v="10300"/>
    <n v="41"/>
    <n v="92.4"/>
    <n v="1"/>
    <n v="3788.4"/>
    <d v="2003-10-04T00:00:00"/>
    <s v="Shipped"/>
    <n v="4"/>
    <x v="4"/>
    <n v="2003"/>
    <x v="1"/>
    <n v="77"/>
    <s v="S18_1889"/>
    <s v="Blauer See Auto, Co."/>
    <s v="+49 69 66 90 2555"/>
    <s v="Lyonerstr. 34"/>
    <m/>
    <s v="Frankfurt"/>
    <m/>
    <n v="60528"/>
    <s v="Germany"/>
    <s v="EMEA"/>
    <s v="Keitel"/>
    <s v="Roland"/>
    <s v="Medium"/>
    <n v="3788.4"/>
  </r>
  <r>
    <n v="10310"/>
    <n v="20"/>
    <n v="91.63"/>
    <n v="6"/>
    <n v="1832.6"/>
    <d v="2004-10-16T00:00:00"/>
    <s v="Shipped"/>
    <n v="4"/>
    <x v="4"/>
    <n v="2004"/>
    <x v="1"/>
    <n v="77"/>
    <s v="S18_1889"/>
    <s v="Toms Spezialitten, Ltd"/>
    <s v="0221-5554327"/>
    <s v="Mehrheimerstr. 369"/>
    <m/>
    <s v="Koln"/>
    <m/>
    <n v="50739"/>
    <s v="Germany"/>
    <s v="EMEA"/>
    <s v="Pfalzheim"/>
    <s v="Henriette"/>
    <s v="Small"/>
    <n v="1832.6"/>
  </r>
  <r>
    <n v="10321"/>
    <n v="37"/>
    <n v="78.540000000000006"/>
    <n v="14"/>
    <n v="2905.98"/>
    <d v="2004-11-04T00:00:00"/>
    <s v="Shipped"/>
    <n v="4"/>
    <x v="5"/>
    <n v="2004"/>
    <x v="1"/>
    <n v="77"/>
    <s v="S18_1889"/>
    <s v="FunGiftIdeas.com"/>
    <n v="5085552555"/>
    <s v="1785 First Street"/>
    <m/>
    <s v="New Bedford"/>
    <s v="MA"/>
    <n v="50553"/>
    <s v="USA"/>
    <s v="NA"/>
    <s v="Benitez"/>
    <s v="Violeta"/>
    <s v="Small"/>
    <n v="2905.98"/>
  </r>
  <r>
    <n v="10329"/>
    <n v="29"/>
    <n v="100"/>
    <n v="9"/>
    <n v="2954.81"/>
    <d v="2004-11-15T00:00:00"/>
    <s v="Shipped"/>
    <n v="4"/>
    <x v="5"/>
    <n v="2004"/>
    <x v="1"/>
    <n v="77"/>
    <s v="S18_1889"/>
    <s v="Land of Toys Inc."/>
    <n v="2125557818"/>
    <s v="897 Long Airport Avenue"/>
    <m/>
    <s v="NYC"/>
    <s v="NY"/>
    <n v="10022"/>
    <s v="USA"/>
    <s v="NA"/>
    <s v="Yu"/>
    <s v="Kwai"/>
    <s v="Small"/>
    <n v="2900"/>
  </r>
  <r>
    <n v="10342"/>
    <n v="55"/>
    <n v="65.45"/>
    <n v="1"/>
    <n v="3599.75"/>
    <d v="2004-11-24T00:00:00"/>
    <s v="Shipped"/>
    <n v="4"/>
    <x v="5"/>
    <n v="2004"/>
    <x v="1"/>
    <n v="77"/>
    <s v="S18_188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599.75"/>
  </r>
  <r>
    <n v="10363"/>
    <n v="22"/>
    <n v="100"/>
    <n v="7"/>
    <n v="3686.54"/>
    <d v="2005-01-06T00:00:00"/>
    <s v="Shipped"/>
    <n v="1"/>
    <x v="7"/>
    <n v="2005"/>
    <x v="1"/>
    <n v="77"/>
    <s v="S18_1889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2200"/>
  </r>
  <r>
    <n v="10377"/>
    <n v="31"/>
    <n v="67.760000000000005"/>
    <n v="4"/>
    <n v="2100.56"/>
    <d v="2005-02-09T00:00:00"/>
    <s v="Shipped"/>
    <n v="1"/>
    <x v="0"/>
    <n v="2005"/>
    <x v="1"/>
    <n v="77"/>
    <s v="S18_1889"/>
    <s v="Toys of Finland, Co."/>
    <s v="90-224 8555"/>
    <s v="Keskuskatu 45"/>
    <m/>
    <s v="Helsinki"/>
    <m/>
    <n v="21240"/>
    <s v="Finland"/>
    <s v="EMEA"/>
    <s v="Karttunen"/>
    <s v="Matti"/>
    <s v="Small"/>
    <n v="2100.56"/>
  </r>
  <r>
    <n v="10389"/>
    <n v="49"/>
    <n v="79.22"/>
    <n v="3"/>
    <n v="3881.78"/>
    <d v="2005-03-03T00:00:00"/>
    <s v="Shipped"/>
    <n v="1"/>
    <x v="11"/>
    <n v="2005"/>
    <x v="1"/>
    <n v="77"/>
    <s v="S18_1889"/>
    <s v="Scandinavian Gift Ideas"/>
    <s v="0695-34 6555"/>
    <s v="?kergatan 24"/>
    <m/>
    <s v="Boras"/>
    <m/>
    <s v="S-844 67"/>
    <s v="Sweden"/>
    <s v="EMEA"/>
    <s v="Larsson"/>
    <s v="Maria"/>
    <s v="Medium"/>
    <n v="3881.7799999999997"/>
  </r>
  <r>
    <n v="10405"/>
    <n v="61"/>
    <n v="73.92"/>
    <n v="4"/>
    <n v="4509.12"/>
    <d v="2005-04-14T00:00:00"/>
    <s v="Shipped"/>
    <n v="2"/>
    <x v="8"/>
    <n v="2005"/>
    <x v="1"/>
    <n v="77"/>
    <s v="S18_1889"/>
    <s v="Mini Caravy"/>
    <s v="88.60.1555"/>
    <s v="24, place Kluber"/>
    <m/>
    <s v="Strasbourg"/>
    <m/>
    <n v="67000"/>
    <s v="France"/>
    <s v="EMEA"/>
    <s v="Citeaux"/>
    <s v="Frederique"/>
    <s v="Medium"/>
    <n v="4509.12"/>
  </r>
  <r>
    <n v="10419"/>
    <n v="39"/>
    <n v="83.93"/>
    <n v="9"/>
    <n v="3273.27"/>
    <d v="2005-05-17T00:00:00"/>
    <s v="Shipped"/>
    <n v="2"/>
    <x v="1"/>
    <n v="2005"/>
    <x v="1"/>
    <n v="77"/>
    <s v="S18_1889"/>
    <s v="Salzburg Collectables"/>
    <s v="6562-9555"/>
    <s v="Geislweg 14"/>
    <m/>
    <s v="Salzburg"/>
    <m/>
    <n v="5020"/>
    <s v="Austria"/>
    <s v="EMEA"/>
    <s v="Pipps"/>
    <s v="Georg"/>
    <s v="Medium"/>
    <n v="3273.2700000000004"/>
  </r>
  <r>
    <n v="10109"/>
    <n v="38"/>
    <n v="100"/>
    <n v="3"/>
    <n v="4432.7"/>
    <d v="2003-03-10T00:00:00"/>
    <s v="Shipped"/>
    <n v="1"/>
    <x v="11"/>
    <n v="2003"/>
    <x v="1"/>
    <n v="142"/>
    <s v="S18_1984"/>
    <s v="Motor Mint Distributors Inc."/>
    <n v="2155559857"/>
    <s v="11328 Douglas Av."/>
    <m/>
    <s v="Philadelphia"/>
    <s v="PA"/>
    <n v="71270"/>
    <s v="USA"/>
    <s v="NA"/>
    <s v="Hernandez"/>
    <s v="Rosa"/>
    <s v="Medium"/>
    <n v="3800"/>
  </r>
  <r>
    <n v="10122"/>
    <n v="31"/>
    <n v="100"/>
    <n v="1"/>
    <n v="4100.99"/>
    <d v="2003-05-08T00:00:00"/>
    <s v="Shipped"/>
    <n v="2"/>
    <x v="1"/>
    <n v="2003"/>
    <x v="1"/>
    <n v="142"/>
    <s v="S18_1984"/>
    <s v="Marseille Mini Autos"/>
    <s v="91.24.4555"/>
    <s v="12, rue des Bouchers"/>
    <m/>
    <s v="Marseille"/>
    <m/>
    <n v="13008"/>
    <s v="France"/>
    <s v="EMEA"/>
    <s v="Lebihan"/>
    <s v="Laurence"/>
    <s v="Medium"/>
    <n v="3100"/>
  </r>
  <r>
    <n v="10136"/>
    <n v="36"/>
    <n v="100"/>
    <n v="1"/>
    <n v="5274.72"/>
    <d v="2003-07-04T00:00:00"/>
    <s v="Shipped"/>
    <n v="3"/>
    <x v="2"/>
    <n v="2003"/>
    <x v="1"/>
    <n v="142"/>
    <s v="S18_1984"/>
    <s v="Alpha Cognac"/>
    <s v="61.77.6555"/>
    <s v="1 rue Alsace-Lorraine"/>
    <m/>
    <s v="Toulouse"/>
    <m/>
    <n v="31000"/>
    <s v="France"/>
    <s v="EMEA"/>
    <s v="Roulet"/>
    <s v="Annette"/>
    <s v="Medium"/>
    <n v="3600"/>
  </r>
  <r>
    <n v="10148"/>
    <n v="25"/>
    <n v="100"/>
    <n v="12"/>
    <n v="4232"/>
    <d v="2003-09-11T00:00:00"/>
    <s v="Shipped"/>
    <n v="3"/>
    <x v="10"/>
    <n v="2003"/>
    <x v="1"/>
    <n v="142"/>
    <s v="S18_1984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2500"/>
  </r>
  <r>
    <n v="10161"/>
    <n v="48"/>
    <n v="100"/>
    <n v="11"/>
    <n v="6145.44"/>
    <d v="2003-10-17T00:00:00"/>
    <s v="Shipped"/>
    <n v="4"/>
    <x v="4"/>
    <n v="2003"/>
    <x v="1"/>
    <n v="142"/>
    <s v="S18_1984"/>
    <s v="Heintze Collectables"/>
    <s v="86 21 3555"/>
    <s v="Smagsloget 45"/>
    <m/>
    <s v="Aaarhus"/>
    <m/>
    <n v="8200"/>
    <s v="Denmark"/>
    <s v="EMEA"/>
    <s v="Ibsen"/>
    <s v="Palle"/>
    <s v="Medium"/>
    <n v="4800"/>
  </r>
  <r>
    <n v="10171"/>
    <n v="35"/>
    <n v="100"/>
    <n v="1"/>
    <n v="4680.2"/>
    <d v="2003-11-05T00:00:00"/>
    <s v="Shipped"/>
    <n v="4"/>
    <x v="5"/>
    <n v="2003"/>
    <x v="1"/>
    <n v="142"/>
    <s v="S18_1984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3500"/>
  </r>
  <r>
    <n v="10181"/>
    <n v="21"/>
    <n v="100"/>
    <n v="5"/>
    <n v="3286.08"/>
    <d v="2003-11-12T00:00:00"/>
    <s v="Shipped"/>
    <n v="4"/>
    <x v="5"/>
    <n v="2003"/>
    <x v="1"/>
    <n v="142"/>
    <s v="S18_1984"/>
    <s v="Herkku Gifts"/>
    <s v="+47 2267 3215"/>
    <s v="Drammen 121, PR 744 Sentrum"/>
    <m/>
    <s v="Bergen"/>
    <m/>
    <s v="N 5804"/>
    <s v="Norway"/>
    <s v="EMEA"/>
    <s v="Oeztan"/>
    <s v="Veysel"/>
    <s v="Medium"/>
    <n v="2100"/>
  </r>
  <r>
    <n v="10192"/>
    <n v="47"/>
    <n v="100"/>
    <n v="10"/>
    <n v="7421.3"/>
    <d v="2003-11-20T00:00:00"/>
    <s v="Shipped"/>
    <n v="4"/>
    <x v="5"/>
    <n v="2003"/>
    <x v="1"/>
    <n v="142"/>
    <s v="S18_1984"/>
    <s v="Online Diecast Creations Co."/>
    <n v="6035558647"/>
    <s v="2304 Long Airport Avenue"/>
    <m/>
    <s v="Nashua"/>
    <s v="NH"/>
    <n v="62005"/>
    <s v="USA"/>
    <s v="NA"/>
    <s v="Young"/>
    <s v="Valarie"/>
    <s v="Large"/>
    <n v="4700"/>
  </r>
  <r>
    <n v="10204"/>
    <n v="38"/>
    <n v="100"/>
    <n v="16"/>
    <n v="6432.64"/>
    <d v="2003-12-02T00:00:00"/>
    <s v="Shipped"/>
    <n v="4"/>
    <x v="6"/>
    <n v="2003"/>
    <x v="1"/>
    <n v="142"/>
    <s v="S18_1984"/>
    <s v="Muscle Machine Inc"/>
    <n v="2125557413"/>
    <s v="4092 Furth Circle"/>
    <s v="Suite 400"/>
    <s v="NYC"/>
    <s v="NY"/>
    <n v="10022"/>
    <s v="USA"/>
    <s v="NA"/>
    <s v="Young"/>
    <s v="Jeff"/>
    <s v="Medium"/>
    <n v="3800"/>
  </r>
  <r>
    <n v="10212"/>
    <n v="41"/>
    <n v="100"/>
    <n v="9"/>
    <n v="4840.87"/>
    <d v="2004-01-16T00:00:00"/>
    <s v="Shipped"/>
    <n v="1"/>
    <x v="7"/>
    <n v="2004"/>
    <x v="1"/>
    <n v="142"/>
    <s v="S18_1984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226"/>
    <n v="24"/>
    <n v="100"/>
    <n v="7"/>
    <n v="3892.08"/>
    <d v="2004-02-26T00:00:00"/>
    <s v="Shipped"/>
    <n v="1"/>
    <x v="0"/>
    <n v="2004"/>
    <x v="1"/>
    <n v="142"/>
    <s v="S18_1984"/>
    <s v="Collectable Mini Designs Co."/>
    <n v="7605558146"/>
    <s v="361 Furth Circle"/>
    <m/>
    <s v="San Diego"/>
    <s v="CA"/>
    <n v="91217"/>
    <s v="USA"/>
    <s v="NA"/>
    <s v="Thompson"/>
    <s v="Valarie"/>
    <s v="Medium"/>
    <n v="2400"/>
  </r>
  <r>
    <n v="10240"/>
    <n v="37"/>
    <n v="100"/>
    <n v="2"/>
    <n v="5526.32"/>
    <d v="2004-04-13T00:00:00"/>
    <s v="Shipped"/>
    <n v="2"/>
    <x v="8"/>
    <n v="2004"/>
    <x v="1"/>
    <n v="142"/>
    <s v="S18_1984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n v="3700"/>
  </r>
  <r>
    <n v="10253"/>
    <n v="33"/>
    <n v="100"/>
    <n v="4"/>
    <n v="4459.62"/>
    <d v="2004-06-01T00:00:00"/>
    <s v="Cancelled"/>
    <n v="2"/>
    <x v="9"/>
    <n v="2004"/>
    <x v="1"/>
    <n v="142"/>
    <s v="S18_1984"/>
    <s v="UK Collectables, Ltd."/>
    <s v="(171) 555-2282"/>
    <s v="Berkeley Gardens 12  Brewery"/>
    <m/>
    <s v="Liverpool"/>
    <m/>
    <s v="WX1 6LT"/>
    <s v="UK"/>
    <s v="EMEA"/>
    <s v="Devon"/>
    <s v="Elizabeth"/>
    <s v="Medium"/>
    <n v="3300"/>
  </r>
  <r>
    <n v="10266"/>
    <n v="49"/>
    <n v="100"/>
    <n v="5"/>
    <n v="6203.4"/>
    <d v="2004-07-06T00:00:00"/>
    <s v="Shipped"/>
    <n v="3"/>
    <x v="2"/>
    <n v="2004"/>
    <x v="1"/>
    <n v="142"/>
    <s v="S18_1984"/>
    <s v="L'ordine Souveniers"/>
    <s v="0522-556555"/>
    <s v="Strada Provinciale 124"/>
    <m/>
    <s v="Reggio Emilia"/>
    <m/>
    <n v="42100"/>
    <s v="Italy"/>
    <s v="EMEA"/>
    <s v="Moroni"/>
    <s v="Maurizio"/>
    <s v="Medium"/>
    <n v="4900"/>
  </r>
  <r>
    <n v="10278"/>
    <n v="29"/>
    <n v="100"/>
    <n v="5"/>
    <n v="3754.05"/>
    <d v="2004-08-06T00:00:00"/>
    <s v="Shipped"/>
    <n v="3"/>
    <x v="3"/>
    <n v="2004"/>
    <x v="1"/>
    <n v="142"/>
    <s v="S18_1984"/>
    <s v="Signal Gift Stores"/>
    <n v="7025551838"/>
    <s v="8489 Strong St."/>
    <m/>
    <s v="Las Vegas"/>
    <s v="NV"/>
    <n v="83030"/>
    <s v="USA"/>
    <s v="NA"/>
    <s v="King"/>
    <s v="Sue"/>
    <s v="Medium"/>
    <n v="2900"/>
  </r>
  <r>
    <n v="10287"/>
    <n v="24"/>
    <n v="100"/>
    <n v="3"/>
    <n v="3516.48"/>
    <d v="2004-08-30T00:00:00"/>
    <s v="Shipped"/>
    <n v="3"/>
    <x v="3"/>
    <n v="2004"/>
    <x v="1"/>
    <n v="142"/>
    <s v="S18_1984"/>
    <s v="Vida Sport, Ltd"/>
    <s v="0897-034555"/>
    <s v="Grenzacherweg 237"/>
    <m/>
    <s v="Gensve"/>
    <m/>
    <n v="1203"/>
    <s v="Switzerland"/>
    <s v="EMEA"/>
    <s v="Holz"/>
    <s v="Michael"/>
    <s v="Medium"/>
    <n v="2400"/>
  </r>
  <r>
    <n v="10301"/>
    <n v="47"/>
    <n v="100"/>
    <n v="7"/>
    <n v="7488.04"/>
    <d v="2003-10-05T00:00:00"/>
    <s v="Shipped"/>
    <n v="4"/>
    <x v="4"/>
    <n v="2003"/>
    <x v="1"/>
    <n v="142"/>
    <s v="S18_1984"/>
    <s v="Norway Gifts By Mail, Co."/>
    <s v="+47 2212 1555"/>
    <s v="Drammensveien 126 A, PB 744 Sentrum"/>
    <m/>
    <s v="Oslo"/>
    <m/>
    <s v="N 0106"/>
    <s v="Norway"/>
    <s v="EMEA"/>
    <s v="Klaeboe"/>
    <s v="Jan"/>
    <s v="Large"/>
    <n v="4700"/>
  </r>
  <r>
    <n v="10310"/>
    <n v="24"/>
    <n v="100"/>
    <n v="1"/>
    <n v="3448.08"/>
    <d v="2004-10-16T00:00:00"/>
    <s v="Shipped"/>
    <n v="4"/>
    <x v="4"/>
    <n v="2004"/>
    <x v="1"/>
    <n v="142"/>
    <s v="S18_1984"/>
    <s v="Toms Spezialitten, Ltd"/>
    <s v="0221-5554327"/>
    <s v="Mehrheimerstr. 369"/>
    <m/>
    <s v="Koln"/>
    <m/>
    <n v="50739"/>
    <s v="Germany"/>
    <s v="EMEA"/>
    <s v="Pfalzheim"/>
    <s v="Henriette"/>
    <s v="Medium"/>
    <n v="2400"/>
  </r>
  <r>
    <n v="10321"/>
    <n v="25"/>
    <n v="100"/>
    <n v="9"/>
    <n v="3734"/>
    <d v="2004-11-04T00:00:00"/>
    <s v="Shipped"/>
    <n v="4"/>
    <x v="5"/>
    <n v="2004"/>
    <x v="1"/>
    <n v="142"/>
    <s v="S18_1984"/>
    <s v="FunGiftIdeas.com"/>
    <n v="5085552555"/>
    <s v="1785 First Street"/>
    <m/>
    <s v="New Bedford"/>
    <s v="MA"/>
    <n v="50553"/>
    <s v="USA"/>
    <s v="NA"/>
    <s v="Benitez"/>
    <s v="Violeta"/>
    <s v="Medium"/>
    <n v="2500"/>
  </r>
  <r>
    <n v="10331"/>
    <n v="30"/>
    <n v="32.47"/>
    <n v="8"/>
    <n v="974.1"/>
    <d v="2004-11-17T00:00:00"/>
    <s v="Shipped"/>
    <n v="4"/>
    <x v="5"/>
    <n v="2004"/>
    <x v="1"/>
    <n v="142"/>
    <s v="S18_1984"/>
    <s v="Motor Mint Distributors Inc."/>
    <n v="2155559857"/>
    <s v="11328 Douglas Av."/>
    <m/>
    <s v="Philadelphia"/>
    <s v="PA"/>
    <n v="71270"/>
    <s v="USA"/>
    <s v="NA"/>
    <s v="Hernandez"/>
    <s v="Rosa"/>
    <s v="Small"/>
    <n v="974.09999999999991"/>
  </r>
  <r>
    <n v="10342"/>
    <n v="22"/>
    <n v="100"/>
    <n v="3"/>
    <n v="3160.74"/>
    <d v="2004-11-24T00:00:00"/>
    <s v="Shipped"/>
    <n v="4"/>
    <x v="5"/>
    <n v="2004"/>
    <x v="1"/>
    <n v="142"/>
    <s v="S18_198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2200"/>
  </r>
  <r>
    <n v="10356"/>
    <n v="27"/>
    <n v="64.69"/>
    <n v="2"/>
    <n v="1746.63"/>
    <d v="2004-12-09T00:00:00"/>
    <s v="Shipped"/>
    <n v="4"/>
    <x v="6"/>
    <n v="2004"/>
    <x v="1"/>
    <n v="142"/>
    <s v="S18_1984"/>
    <s v="Lyon Souveniers"/>
    <s v="+33 1 46 62 7555"/>
    <s v="27 rue du Colonel Pierre Avia"/>
    <m/>
    <s v="Paris"/>
    <m/>
    <n v="75508"/>
    <s v="France"/>
    <s v="EMEA"/>
    <s v="Da Cunha"/>
    <s v="Daniel"/>
    <s v="Small"/>
    <n v="1746.6299999999999"/>
  </r>
  <r>
    <n v="10366"/>
    <n v="34"/>
    <n v="100"/>
    <n v="3"/>
    <n v="4207.84"/>
    <d v="2005-01-10T00:00:00"/>
    <s v="Shipped"/>
    <n v="1"/>
    <x v="7"/>
    <n v="2005"/>
    <x v="1"/>
    <n v="142"/>
    <s v="S18_1984"/>
    <s v="Royale Belge"/>
    <s v="(071) 23 67 2555"/>
    <s v="Boulevard Tirou, 255"/>
    <m/>
    <s v="Charleroi"/>
    <m/>
    <s v="B-6000"/>
    <s v="Belgium"/>
    <s v="EMEA"/>
    <s v="Cartrain"/>
    <s v="Pascale"/>
    <s v="Medium"/>
    <n v="3400"/>
  </r>
  <r>
    <n v="10377"/>
    <n v="36"/>
    <n v="100"/>
    <n v="6"/>
    <n v="4352.76"/>
    <d v="2005-02-09T00:00:00"/>
    <s v="Shipped"/>
    <n v="1"/>
    <x v="0"/>
    <n v="2005"/>
    <x v="1"/>
    <n v="142"/>
    <s v="S18_1984"/>
    <s v="Toys of Finland, Co."/>
    <s v="90-224 8555"/>
    <s v="Keskuskatu 45"/>
    <m/>
    <s v="Helsinki"/>
    <m/>
    <n v="21240"/>
    <s v="Finland"/>
    <s v="EMEA"/>
    <s v="Karttunen"/>
    <s v="Matti"/>
    <s v="Medium"/>
    <n v="3600"/>
  </r>
  <r>
    <n v="10390"/>
    <n v="34"/>
    <n v="43.05"/>
    <n v="15"/>
    <n v="1463.7"/>
    <d v="2005-03-04T00:00:00"/>
    <s v="Shipped"/>
    <n v="1"/>
    <x v="11"/>
    <n v="2005"/>
    <x v="1"/>
    <n v="142"/>
    <s v="S18_1984"/>
    <s v="Mini Gifts Distributors Ltd."/>
    <n v="4155551450"/>
    <s v="5677 Strong St."/>
    <m/>
    <s v="San Rafael"/>
    <s v="CA"/>
    <n v="97562"/>
    <s v="USA"/>
    <s v="NA"/>
    <s v="Nelson"/>
    <s v="Valarie"/>
    <s v="Small"/>
    <n v="1463.6999999999998"/>
  </r>
  <r>
    <n v="10406"/>
    <n v="48"/>
    <n v="100"/>
    <n v="2"/>
    <n v="7169.28"/>
    <d v="2005-04-15T00:00:00"/>
    <s v="Disputed"/>
    <n v="2"/>
    <x v="8"/>
    <n v="2005"/>
    <x v="1"/>
    <n v="142"/>
    <s v="S18_1984"/>
    <s v="Danish Wholesale Imports"/>
    <s v="31 12 3555"/>
    <s v="Vinb'ltet 34"/>
    <m/>
    <s v="Kobenhavn"/>
    <m/>
    <n v="1734"/>
    <s v="Denmark"/>
    <s v="EMEA"/>
    <s v="Petersen"/>
    <s v="Jytte"/>
    <s v="Large"/>
    <n v="4800"/>
  </r>
  <r>
    <n v="10419"/>
    <n v="34"/>
    <n v="100"/>
    <n v="4"/>
    <n v="4594.76"/>
    <d v="2005-05-17T00:00:00"/>
    <s v="Shipped"/>
    <n v="2"/>
    <x v="1"/>
    <n v="2005"/>
    <x v="1"/>
    <n v="142"/>
    <s v="S18_1984"/>
    <s v="Salzburg Collectables"/>
    <s v="6562-9555"/>
    <s v="Geislweg 14"/>
    <m/>
    <s v="Salzburg"/>
    <m/>
    <n v="5020"/>
    <s v="Austria"/>
    <s v="EMEA"/>
    <s v="Pipps"/>
    <s v="Georg"/>
    <s v="Medium"/>
    <n v="3400"/>
  </r>
  <r>
    <n v="10104"/>
    <n v="24"/>
    <n v="100"/>
    <n v="8"/>
    <n v="3457.92"/>
    <d v="2003-01-31T00:00:00"/>
    <s v="Shipped"/>
    <n v="1"/>
    <x v="7"/>
    <n v="2003"/>
    <x v="1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  <n v="2400"/>
  </r>
  <r>
    <n v="10115"/>
    <n v="46"/>
    <n v="100"/>
    <n v="4"/>
    <n v="7381.16"/>
    <d v="2003-04-04T00:00:00"/>
    <s v="Shipped"/>
    <n v="2"/>
    <x v="8"/>
    <n v="2003"/>
    <x v="1"/>
    <n v="163"/>
    <s v="S18_2238"/>
    <s v="Classic Legends Inc."/>
    <n v="2125558493"/>
    <s v="5905 Pompton St."/>
    <s v="Suite 750"/>
    <s v="NYC"/>
    <s v="NY"/>
    <n v="10022"/>
    <s v="USA"/>
    <s v="NA"/>
    <s v="Hernandez"/>
    <s v="Maria"/>
    <s v="Large"/>
    <n v="4600"/>
  </r>
  <r>
    <n v="10127"/>
    <n v="45"/>
    <n v="100"/>
    <n v="10"/>
    <n v="7146.9"/>
    <d v="2003-06-03T00:00:00"/>
    <s v="Shipped"/>
    <n v="2"/>
    <x v="9"/>
    <n v="2003"/>
    <x v="1"/>
    <n v="163"/>
    <s v="S18_2238"/>
    <s v="Muscle Machine Inc"/>
    <n v="2125557413"/>
    <s v="4092 Furth Circle"/>
    <s v="Suite 400"/>
    <s v="NYC"/>
    <s v="NY"/>
    <n v="10022"/>
    <s v="USA"/>
    <s v="NA"/>
    <s v="Young"/>
    <s v="Jeff"/>
    <s v="Large"/>
    <n v="4500"/>
  </r>
  <r>
    <n v="10141"/>
    <n v="39"/>
    <n v="100"/>
    <n v="4"/>
    <n v="5938.53"/>
    <d v="2003-08-01T00:00:00"/>
    <s v="Shipped"/>
    <n v="3"/>
    <x v="3"/>
    <n v="2003"/>
    <x v="1"/>
    <n v="163"/>
    <s v="S18_2238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3900"/>
  </r>
  <r>
    <n v="10151"/>
    <n v="43"/>
    <n v="100"/>
    <n v="2"/>
    <n v="7110.91"/>
    <d v="2003-09-21T00:00:00"/>
    <s v="Shipped"/>
    <n v="3"/>
    <x v="10"/>
    <n v="2003"/>
    <x v="1"/>
    <n v="163"/>
    <s v="S18_2238"/>
    <s v="Oulu Toy Supplies, Inc."/>
    <s v="981-443655"/>
    <s v="Torikatu 38"/>
    <m/>
    <s v="Oulu"/>
    <m/>
    <n v="90110"/>
    <s v="Finland"/>
    <s v="EMEA"/>
    <s v="Koskitalo"/>
    <s v="Pirkko"/>
    <s v="Large"/>
    <n v="4300"/>
  </r>
  <r>
    <n v="10165"/>
    <n v="29"/>
    <n v="100"/>
    <n v="11"/>
    <n v="5032.95"/>
    <d v="2003-10-22T00:00:00"/>
    <s v="Shipped"/>
    <n v="4"/>
    <x v="4"/>
    <n v="2003"/>
    <x v="1"/>
    <n v="163"/>
    <s v="S18_223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2900"/>
  </r>
  <r>
    <n v="10176"/>
    <n v="20"/>
    <n v="100"/>
    <n v="10"/>
    <n v="3667.6"/>
    <d v="2003-11-06T00:00:00"/>
    <s v="Shipped"/>
    <n v="4"/>
    <x v="5"/>
    <n v="2003"/>
    <x v="1"/>
    <n v="163"/>
    <s v="S18_2238"/>
    <s v="L'ordine Souveniers"/>
    <s v="0522-556555"/>
    <s v="Strada Provinciale 124"/>
    <m/>
    <s v="Reggio Emilia"/>
    <m/>
    <n v="42100"/>
    <s v="Italy"/>
    <s v="EMEA"/>
    <s v="Moroni"/>
    <s v="Maurizio"/>
    <s v="Medium"/>
    <n v="2000"/>
  </r>
  <r>
    <n v="10184"/>
    <n v="46"/>
    <n v="100"/>
    <n v="5"/>
    <n v="7381.16"/>
    <d v="2003-11-14T00:00:00"/>
    <s v="Shipped"/>
    <n v="4"/>
    <x v="5"/>
    <n v="2003"/>
    <x v="1"/>
    <n v="163"/>
    <s v="S18_2238"/>
    <s v="Iberia Gift Imports, Corp."/>
    <s v="(95) 555 82 82"/>
    <s v="C/ Romero, 33"/>
    <m/>
    <s v="Sevilla"/>
    <m/>
    <n v="41101"/>
    <s v="Spain"/>
    <s v="EMEA"/>
    <s v="Roel"/>
    <s v="Jose Pedro"/>
    <s v="Large"/>
    <n v="4600"/>
  </r>
  <r>
    <n v="10195"/>
    <n v="27"/>
    <n v="100"/>
    <n v="5"/>
    <n v="5128.1099999999997"/>
    <d v="2003-11-25T00:00:00"/>
    <s v="Shipped"/>
    <n v="4"/>
    <x v="5"/>
    <n v="2003"/>
    <x v="1"/>
    <n v="163"/>
    <s v="S18_2238"/>
    <s v="Mini Classics"/>
    <n v="9145554562"/>
    <s v="3758 North Pendale Street"/>
    <m/>
    <s v="White Plains"/>
    <s v="NY"/>
    <n v="24067"/>
    <s v="USA"/>
    <s v="NA"/>
    <s v="Frick"/>
    <s v="Steve"/>
    <s v="Medium"/>
    <n v="2700"/>
  </r>
  <r>
    <n v="10207"/>
    <n v="44"/>
    <n v="100"/>
    <n v="6"/>
    <n v="7060.24"/>
    <d v="2003-12-09T00:00:00"/>
    <s v="Shipped"/>
    <n v="4"/>
    <x v="6"/>
    <n v="2003"/>
    <x v="1"/>
    <n v="163"/>
    <s v="S18_2238"/>
    <s v="Diecast Collectables"/>
    <n v="6175552555"/>
    <s v="6251 Ingle Ln."/>
    <m/>
    <s v="Boston"/>
    <s v="MA"/>
    <n v="51003"/>
    <s v="USA"/>
    <s v="NA"/>
    <s v="Franco"/>
    <s v="Valarie"/>
    <s v="Large"/>
    <n v="4400"/>
  </r>
  <r>
    <n v="10219"/>
    <n v="43"/>
    <n v="100"/>
    <n v="1"/>
    <n v="8448.64"/>
    <d v="2004-02-10T00:00:00"/>
    <s v="Shipped"/>
    <n v="1"/>
    <x v="0"/>
    <n v="2004"/>
    <x v="1"/>
    <n v="163"/>
    <s v="S18_2238"/>
    <s v="Signal Collectibles Ltd."/>
    <n v="4155554312"/>
    <s v="2793 Furth Circle"/>
    <m/>
    <s v="Brisbane"/>
    <s v="CA"/>
    <n v="94217"/>
    <s v="USA"/>
    <s v="NA"/>
    <s v="Taylor"/>
    <s v="Sue"/>
    <s v="Large"/>
    <n v="4300"/>
  </r>
  <r>
    <n v="10230"/>
    <n v="49"/>
    <n v="100"/>
    <n v="8"/>
    <n v="7300.51"/>
    <d v="2004-03-15T00:00:00"/>
    <s v="Shipped"/>
    <n v="1"/>
    <x v="11"/>
    <n v="2004"/>
    <x v="1"/>
    <n v="163"/>
    <s v="S18_2238"/>
    <s v="Blauer See Auto, Co."/>
    <s v="+49 69 66 90 2555"/>
    <s v="Lyonerstr. 34"/>
    <m/>
    <s v="Frankfurt"/>
    <m/>
    <n v="60528"/>
    <s v="Germany"/>
    <s v="EMEA"/>
    <s v="Keitel"/>
    <s v="Roland"/>
    <s v="Large"/>
    <n v="4900"/>
  </r>
  <r>
    <n v="10246"/>
    <n v="40"/>
    <n v="100"/>
    <n v="4"/>
    <n v="6549.2"/>
    <d v="2004-05-05T00:00:00"/>
    <s v="Shipped"/>
    <n v="2"/>
    <x v="1"/>
    <n v="2004"/>
    <x v="1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  <n v="4000"/>
  </r>
  <r>
    <n v="10259"/>
    <n v="30"/>
    <n v="100"/>
    <n v="3"/>
    <n v="5697.9"/>
    <d v="2004-06-15T00:00:00"/>
    <s v="Shipped"/>
    <n v="2"/>
    <x v="9"/>
    <n v="2004"/>
    <x v="1"/>
    <n v="163"/>
    <s v="S18_223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3000"/>
  </r>
  <r>
    <n v="10271"/>
    <n v="50"/>
    <n v="100"/>
    <n v="4"/>
    <n v="9169"/>
    <d v="2004-07-20T00:00:00"/>
    <s v="Shipped"/>
    <n v="3"/>
    <x v="2"/>
    <n v="2004"/>
    <x v="1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Large"/>
    <n v="5000"/>
  </r>
  <r>
    <n v="10282"/>
    <n v="23"/>
    <n v="100"/>
    <n v="13"/>
    <n v="3238.63"/>
    <d v="2004-08-20T00:00:00"/>
    <s v="Shipped"/>
    <n v="3"/>
    <x v="3"/>
    <n v="2004"/>
    <x v="1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Medium"/>
    <n v="2300"/>
  </r>
  <r>
    <n v="10292"/>
    <n v="26"/>
    <n v="100"/>
    <n v="7"/>
    <n v="4554.9399999999996"/>
    <d v="2004-09-08T00:00:00"/>
    <s v="Shipped"/>
    <n v="3"/>
    <x v="10"/>
    <n v="2004"/>
    <x v="1"/>
    <n v="163"/>
    <s v="S18_2238"/>
    <s v="Land of Toys Inc."/>
    <n v="2125557818"/>
    <s v="897 Long Airport Avenue"/>
    <m/>
    <s v="NYC"/>
    <s v="NY"/>
    <n v="10022"/>
    <s v="USA"/>
    <s v="NA"/>
    <s v="Yu"/>
    <s v="Kwai"/>
    <s v="Medium"/>
    <n v="2600"/>
  </r>
  <r>
    <n v="10305"/>
    <n v="27"/>
    <n v="100"/>
    <n v="4"/>
    <n v="3934.44"/>
    <d v="2004-10-13T00:00:00"/>
    <s v="Shipped"/>
    <n v="4"/>
    <x v="4"/>
    <n v="2004"/>
    <x v="1"/>
    <n v="163"/>
    <s v="S18_2238"/>
    <s v="Marta's Replicas Co."/>
    <n v="6175558555"/>
    <s v="39323 Spinnaker Dr."/>
    <m/>
    <s v="Cambridge"/>
    <s v="MA"/>
    <n v="51247"/>
    <s v="USA"/>
    <s v="NA"/>
    <s v="Hernandez"/>
    <s v="Marta"/>
    <s v="Medium"/>
    <n v="2700"/>
  </r>
  <r>
    <n v="10314"/>
    <n v="42"/>
    <n v="100"/>
    <n v="13"/>
    <n v="5776.26"/>
    <d v="2004-10-22T00:00:00"/>
    <s v="Shipped"/>
    <n v="4"/>
    <x v="4"/>
    <n v="2004"/>
    <x v="1"/>
    <n v="163"/>
    <s v="S18_2238"/>
    <s v="Heintze Collectables"/>
    <s v="86 21 3555"/>
    <s v="Smagsloget 45"/>
    <m/>
    <s v="Aaarhus"/>
    <m/>
    <n v="8200"/>
    <s v="Denmark"/>
    <s v="EMEA"/>
    <s v="Ibsen"/>
    <s v="Palle"/>
    <s v="Medium"/>
    <n v="4200"/>
  </r>
  <r>
    <n v="10324"/>
    <n v="47"/>
    <n v="100"/>
    <n v="8"/>
    <n v="7207.45"/>
    <d v="2004-11-05T00:00:00"/>
    <s v="Shipped"/>
    <n v="4"/>
    <x v="5"/>
    <n v="2004"/>
    <x v="1"/>
    <n v="163"/>
    <s v="S18_2238"/>
    <s v="Vitachrome Inc."/>
    <n v="2125551500"/>
    <s v="2678 Kingston Rd."/>
    <s v="Suite 101"/>
    <s v="NYC"/>
    <s v="NY"/>
    <n v="10022"/>
    <s v="USA"/>
    <s v="NA"/>
    <s v="Frick"/>
    <s v="Michael"/>
    <s v="Large"/>
    <n v="4700"/>
  </r>
  <r>
    <n v="10336"/>
    <n v="49"/>
    <n v="100"/>
    <n v="6"/>
    <n v="7460.74"/>
    <d v="2004-11-20T00:00:00"/>
    <s v="Shipped"/>
    <n v="4"/>
    <x v="5"/>
    <n v="2004"/>
    <x v="1"/>
    <n v="163"/>
    <s v="S18_2238"/>
    <s v="La Corne D'abondance, Co."/>
    <s v="(1) 42.34.2555"/>
    <s v="265, boulevard Charonne"/>
    <m/>
    <s v="Paris"/>
    <m/>
    <n v="75012"/>
    <s v="France"/>
    <s v="EMEA"/>
    <s v="Bertrand"/>
    <s v="Marie"/>
    <s v="Large"/>
    <n v="4900"/>
  </r>
  <r>
    <n v="10349"/>
    <n v="38"/>
    <n v="100"/>
    <n v="8"/>
    <n v="6719.54"/>
    <d v="2004-12-01T00:00:00"/>
    <s v="Shipped"/>
    <n v="4"/>
    <x v="6"/>
    <n v="2004"/>
    <x v="1"/>
    <n v="163"/>
    <s v="S18_2238"/>
    <s v="Muscle Machine Inc"/>
    <n v="2125557413"/>
    <s v="4092 Furth Circle"/>
    <s v="Suite 400"/>
    <s v="NYC"/>
    <s v="NY"/>
    <n v="10022"/>
    <s v="USA"/>
    <s v="NA"/>
    <s v="Young"/>
    <s v="Jeff"/>
    <s v="Medium"/>
    <n v="3800"/>
  </r>
  <r>
    <n v="10358"/>
    <n v="20"/>
    <n v="100"/>
    <n v="10"/>
    <n v="2428"/>
    <d v="2004-12-10T00:00:00"/>
    <s v="Shipped"/>
    <n v="4"/>
    <x v="6"/>
    <n v="2004"/>
    <x v="1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Small"/>
    <n v="2000"/>
  </r>
  <r>
    <n v="10371"/>
    <n v="25"/>
    <n v="100"/>
    <n v="7"/>
    <n v="2602.25"/>
    <d v="2005-01-23T00:00:00"/>
    <s v="Shipped"/>
    <n v="1"/>
    <x v="7"/>
    <n v="2005"/>
    <x v="1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Small"/>
    <n v="2500"/>
  </r>
  <r>
    <n v="10382"/>
    <n v="25"/>
    <n v="88"/>
    <n v="5"/>
    <n v="2200"/>
    <d v="2005-02-17T00:00:00"/>
    <s v="Shipped"/>
    <n v="1"/>
    <x v="0"/>
    <n v="2005"/>
    <x v="1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Small"/>
    <n v="2200"/>
  </r>
  <r>
    <n v="10412"/>
    <n v="41"/>
    <n v="100"/>
    <n v="4"/>
    <n v="6712.93"/>
    <d v="2005-05-03T00:00:00"/>
    <s v="Shipped"/>
    <n v="2"/>
    <x v="1"/>
    <n v="2005"/>
    <x v="1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425"/>
    <n v="28"/>
    <n v="100"/>
    <n v="3"/>
    <n v="5318.04"/>
    <d v="2005-05-31T00:00:00"/>
    <s v="In Process"/>
    <n v="2"/>
    <x v="1"/>
    <n v="2005"/>
    <x v="1"/>
    <n v="163"/>
    <s v="S18_2238"/>
    <s v="La Rochelle Gifts"/>
    <s v="40.67.8555"/>
    <s v="67, rue des Cinquante Otages"/>
    <m/>
    <s v="Nantes"/>
    <m/>
    <n v="44000"/>
    <s v="France"/>
    <s v="EMEA"/>
    <s v="Labrune"/>
    <s v="Janine"/>
    <s v="Medium"/>
    <n v="2800"/>
  </r>
  <r>
    <n v="10100"/>
    <n v="50"/>
    <n v="67.8"/>
    <n v="2"/>
    <n v="3390"/>
    <d v="2003-01-06T00:00:00"/>
    <s v="Shipped"/>
    <n v="1"/>
    <x v="7"/>
    <n v="2003"/>
    <x v="3"/>
    <n v="60"/>
    <s v="S18_2248"/>
    <s v="Online Diecast Creations Co."/>
    <n v="6035558647"/>
    <s v="2304 Long Airport Avenue"/>
    <m/>
    <s v="Nashua"/>
    <s v="NH"/>
    <n v="62005"/>
    <s v="USA"/>
    <s v="NA"/>
    <s v="Young"/>
    <s v="Valarie"/>
    <s v="Medium"/>
    <n v="3390"/>
  </r>
  <r>
    <n v="10110"/>
    <n v="32"/>
    <n v="50.25"/>
    <n v="6"/>
    <n v="1608"/>
    <d v="2003-03-18T00:00:00"/>
    <s v="Shipped"/>
    <n v="1"/>
    <x v="11"/>
    <n v="2003"/>
    <x v="3"/>
    <n v="60"/>
    <s v="S18_2248"/>
    <s v="AV Stores, Co."/>
    <s v="(171) 555-1555"/>
    <s v="Fauntleroy Circus"/>
    <m/>
    <s v="Manchester"/>
    <m/>
    <s v="EC2 5NT"/>
    <s v="UK"/>
    <s v="EMEA"/>
    <s v="Ashworth"/>
    <s v="Victoria"/>
    <s v="Small"/>
    <n v="1608"/>
  </r>
  <r>
    <n v="10124"/>
    <n v="42"/>
    <n v="53.88"/>
    <n v="5"/>
    <n v="2262.96"/>
    <d v="2003-05-21T00:00:00"/>
    <s v="Shipped"/>
    <n v="2"/>
    <x v="1"/>
    <n v="2003"/>
    <x v="3"/>
    <n v="60"/>
    <s v="S18_2248"/>
    <s v="Signal Gift Stores"/>
    <n v="7025551838"/>
    <s v="8489 Strong St."/>
    <m/>
    <s v="Las Vegas"/>
    <s v="NV"/>
    <n v="83030"/>
    <s v="USA"/>
    <s v="NA"/>
    <s v="King"/>
    <s v="Sue"/>
    <s v="Small"/>
    <n v="2262.96"/>
  </r>
  <r>
    <n v="10149"/>
    <n v="24"/>
    <n v="62.36"/>
    <n v="10"/>
    <n v="1496.64"/>
    <d v="2003-09-12T00:00:00"/>
    <s v="Shipped"/>
    <n v="3"/>
    <x v="10"/>
    <n v="2003"/>
    <x v="3"/>
    <n v="60"/>
    <s v="S18_2248"/>
    <s v="Signal Collectibles Ltd."/>
    <n v="4155554312"/>
    <s v="2793 Furth Circle"/>
    <m/>
    <s v="Brisbane"/>
    <s v="CA"/>
    <n v="94217"/>
    <s v="USA"/>
    <s v="NA"/>
    <s v="Taylor"/>
    <s v="Sue"/>
    <s v="Small"/>
    <n v="1496.6399999999999"/>
  </r>
  <r>
    <n v="10162"/>
    <n v="27"/>
    <n v="69.62"/>
    <n v="8"/>
    <n v="1879.74"/>
    <d v="2003-10-18T00:00:00"/>
    <s v="Shipped"/>
    <n v="4"/>
    <x v="4"/>
    <n v="2003"/>
    <x v="3"/>
    <n v="60"/>
    <s v="S18_2248"/>
    <s v="Corporate Gift Ideas Co."/>
    <n v="6505551386"/>
    <s v="7734 Strong St."/>
    <m/>
    <s v="San Francisco"/>
    <s v="CA"/>
    <m/>
    <s v="USA"/>
    <s v="NA"/>
    <s v="Brown"/>
    <s v="Julie"/>
    <s v="Small"/>
    <n v="1879.7400000000002"/>
  </r>
  <r>
    <n v="10173"/>
    <n v="26"/>
    <n v="57.51"/>
    <n v="12"/>
    <n v="1495.26"/>
    <d v="2003-11-05T00:00:00"/>
    <s v="Shipped"/>
    <n v="4"/>
    <x v="5"/>
    <n v="2003"/>
    <x v="3"/>
    <n v="60"/>
    <s v="S18_2248"/>
    <s v="Rovelli Gifts"/>
    <s v="035-640555"/>
    <s v="Via Ludovico il Moro 22"/>
    <m/>
    <s v="Bergamo"/>
    <m/>
    <n v="24100"/>
    <s v="Italy"/>
    <s v="EMEA"/>
    <s v="Rovelli"/>
    <s v="Giovanni"/>
    <s v="Small"/>
    <n v="1495.26"/>
  </r>
  <r>
    <n v="10182"/>
    <n v="38"/>
    <n v="61.15"/>
    <n v="9"/>
    <n v="2323.6999999999998"/>
    <d v="2003-11-12T00:00:00"/>
    <s v="Shipped"/>
    <n v="4"/>
    <x v="5"/>
    <n v="2003"/>
    <x v="3"/>
    <n v="60"/>
    <s v="S18_2248"/>
    <s v="Mini Gifts Distributors Ltd."/>
    <n v="4155551450"/>
    <s v="5677 Strong St."/>
    <m/>
    <s v="San Rafael"/>
    <s v="CA"/>
    <n v="97562"/>
    <s v="USA"/>
    <s v="NA"/>
    <s v="Nelson"/>
    <s v="Valarie"/>
    <s v="Small"/>
    <n v="2323.6999999999998"/>
  </r>
  <r>
    <n v="10193"/>
    <n v="42"/>
    <n v="59.33"/>
    <n v="13"/>
    <n v="2491.86"/>
    <d v="2003-11-21T00:00:00"/>
    <s v="Shipped"/>
    <n v="4"/>
    <x v="5"/>
    <n v="2003"/>
    <x v="3"/>
    <n v="60"/>
    <s v="S18_2248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2491.86"/>
  </r>
  <r>
    <n v="10204"/>
    <n v="23"/>
    <n v="71.44"/>
    <n v="3"/>
    <n v="1643.12"/>
    <d v="2003-12-02T00:00:00"/>
    <s v="Shipped"/>
    <n v="4"/>
    <x v="6"/>
    <n v="2003"/>
    <x v="3"/>
    <n v="60"/>
    <s v="S18_2248"/>
    <s v="Muscle Machine Inc"/>
    <n v="2125557413"/>
    <s v="4092 Furth Circle"/>
    <s v="Suite 400"/>
    <s v="NYC"/>
    <s v="NY"/>
    <n v="10022"/>
    <s v="USA"/>
    <s v="NA"/>
    <s v="Young"/>
    <s v="Jeff"/>
    <s v="Small"/>
    <n v="1643.12"/>
  </r>
  <r>
    <n v="10214"/>
    <n v="21"/>
    <n v="62.96"/>
    <n v="6"/>
    <n v="1322.16"/>
    <d v="2004-01-26T00:00:00"/>
    <s v="Shipped"/>
    <n v="1"/>
    <x v="7"/>
    <n v="2004"/>
    <x v="3"/>
    <n v="60"/>
    <s v="S18_2248"/>
    <s v="Corrida Auto Replicas, Ltd"/>
    <s v="(91) 555 22 82"/>
    <s v="C/ Araquil, 67"/>
    <m/>
    <s v="Madrid"/>
    <m/>
    <n v="28023"/>
    <s v="Spain"/>
    <s v="EMEA"/>
    <s v="Sommer"/>
    <s v="Mart¡n"/>
    <s v="Small"/>
    <n v="1322.16"/>
  </r>
  <r>
    <n v="10227"/>
    <n v="28"/>
    <n v="50.85"/>
    <n v="9"/>
    <n v="1423.8"/>
    <d v="2004-03-02T00:00:00"/>
    <s v="Shipped"/>
    <n v="1"/>
    <x v="11"/>
    <n v="2004"/>
    <x v="3"/>
    <n v="60"/>
    <s v="S18_2248"/>
    <s v="Saveley &amp; Henriot, Co."/>
    <s v="78.32.5555"/>
    <s v="2, rue du Commerce"/>
    <m/>
    <s v="Lyon"/>
    <m/>
    <n v="69004"/>
    <s v="France"/>
    <s v="EMEA"/>
    <s v="Saveley"/>
    <s v="Mary"/>
    <s v="Small"/>
    <n v="1423.8"/>
  </r>
  <r>
    <n v="10241"/>
    <n v="33"/>
    <n v="72.650000000000006"/>
    <n v="1"/>
    <n v="2397.4499999999998"/>
    <d v="2004-04-13T00:00:00"/>
    <s v="Shipped"/>
    <n v="2"/>
    <x v="8"/>
    <n v="2004"/>
    <x v="3"/>
    <n v="60"/>
    <s v="S18_2248"/>
    <s v="Mini Caravy"/>
    <s v="88.60.1555"/>
    <s v="24, place Kluber"/>
    <m/>
    <s v="Strasbourg"/>
    <m/>
    <n v="67000"/>
    <s v="France"/>
    <s v="EMEA"/>
    <s v="Citeaux"/>
    <s v="Frederique"/>
    <s v="Small"/>
    <n v="2397.4500000000003"/>
  </r>
  <r>
    <n v="10280"/>
    <n v="25"/>
    <n v="62.96"/>
    <n v="15"/>
    <n v="1574"/>
    <d v="2004-08-17T00:00:00"/>
    <s v="Shipped"/>
    <n v="3"/>
    <x v="3"/>
    <n v="2004"/>
    <x v="3"/>
    <n v="60"/>
    <s v="S18_2248"/>
    <s v="Amica Models &amp; Co."/>
    <s v="011-4988555"/>
    <s v="Via Monte Bianco 34"/>
    <m/>
    <s v="Torino"/>
    <m/>
    <n v="10100"/>
    <s v="Italy"/>
    <s v="EMEA"/>
    <s v="Accorti"/>
    <s v="Paolo"/>
    <s v="Small"/>
    <n v="1574"/>
  </r>
  <r>
    <n v="10288"/>
    <n v="28"/>
    <n v="61.75"/>
    <n v="4"/>
    <n v="1729"/>
    <d v="2004-09-01T00:00:00"/>
    <s v="Shipped"/>
    <n v="3"/>
    <x v="10"/>
    <n v="2004"/>
    <x v="3"/>
    <n v="60"/>
    <s v="S18_224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729"/>
  </r>
  <r>
    <n v="10303"/>
    <n v="46"/>
    <n v="49.04"/>
    <n v="2"/>
    <n v="2255.84"/>
    <d v="2004-10-06T00:00:00"/>
    <s v="Shipped"/>
    <n v="4"/>
    <x v="4"/>
    <n v="2004"/>
    <x v="3"/>
    <n v="60"/>
    <s v="S18_2248"/>
    <s v="Iberia Gift Imports, Corp."/>
    <s v="(95) 555 82 82"/>
    <s v="C/ Romero, 33"/>
    <m/>
    <s v="Sevilla"/>
    <m/>
    <n v="41101"/>
    <s v="Spain"/>
    <s v="EMEA"/>
    <s v="Roel"/>
    <s v="Jose Pedro"/>
    <s v="Small"/>
    <n v="2255.84"/>
  </r>
  <r>
    <n v="10312"/>
    <n v="30"/>
    <n v="61.15"/>
    <n v="16"/>
    <n v="1834.5"/>
    <d v="2004-10-21T00:00:00"/>
    <s v="Shipped"/>
    <n v="4"/>
    <x v="4"/>
    <n v="2004"/>
    <x v="3"/>
    <n v="60"/>
    <s v="S18_2248"/>
    <s v="Mini Gifts Distributors Ltd."/>
    <n v="4155551450"/>
    <s v="5677 Strong St."/>
    <m/>
    <s v="San Rafael"/>
    <s v="CA"/>
    <n v="97562"/>
    <s v="USA"/>
    <s v="NA"/>
    <s v="Nelson"/>
    <s v="Valarie"/>
    <s v="Small"/>
    <n v="1834.5"/>
  </r>
  <r>
    <n v="10332"/>
    <n v="38"/>
    <n v="84.25"/>
    <n v="9"/>
    <n v="3201.5"/>
    <d v="2004-11-17T00:00:00"/>
    <s v="Shipped"/>
    <n v="4"/>
    <x v="5"/>
    <n v="2004"/>
    <x v="3"/>
    <n v="60"/>
    <s v="S18_2248"/>
    <s v="AV Stores, Co."/>
    <s v="(171) 555-1555"/>
    <s v="Fauntleroy Circus"/>
    <m/>
    <s v="Manchester"/>
    <m/>
    <s v="EC2 5NT"/>
    <s v="UK"/>
    <s v="EMEA"/>
    <s v="Ashworth"/>
    <s v="Victoria"/>
    <s v="Medium"/>
    <n v="3201.5"/>
  </r>
  <r>
    <n v="10344"/>
    <n v="40"/>
    <n v="56.91"/>
    <n v="2"/>
    <n v="2276.4"/>
    <d v="2004-11-25T00:00:00"/>
    <s v="Shipped"/>
    <n v="4"/>
    <x v="5"/>
    <n v="2004"/>
    <x v="3"/>
    <n v="60"/>
    <s v="S18_2248"/>
    <s v="Marseille Mini Autos"/>
    <s v="91.24.4555"/>
    <s v="12, rue des Bouchers"/>
    <m/>
    <s v="Marseille"/>
    <m/>
    <n v="13008"/>
    <s v="France"/>
    <s v="EMEA"/>
    <s v="Lebihan"/>
    <s v="Laurence"/>
    <s v="Small"/>
    <n v="2276.3999999999996"/>
  </r>
  <r>
    <n v="10367"/>
    <n v="45"/>
    <n v="100"/>
    <n v="4"/>
    <n v="8884.7999999999993"/>
    <d v="2005-01-12T00:00:00"/>
    <s v="Resolved"/>
    <n v="1"/>
    <x v="7"/>
    <n v="2005"/>
    <x v="3"/>
    <n v="60"/>
    <s v="S18_2248"/>
    <s v="Toys4GrownUps.com"/>
    <n v="6265557265"/>
    <s v="78934 Hillside Dr."/>
    <m/>
    <s v="Pasadena"/>
    <s v="CA"/>
    <n v="90003"/>
    <s v="USA"/>
    <s v="NA"/>
    <s v="Young"/>
    <s v="Julie"/>
    <s v="Large"/>
    <n v="4500"/>
  </r>
  <r>
    <n v="10379"/>
    <n v="27"/>
    <n v="49.3"/>
    <n v="1"/>
    <n v="1331.1"/>
    <d v="2005-02-10T00:00:00"/>
    <s v="Shipped"/>
    <n v="1"/>
    <x v="0"/>
    <n v="2005"/>
    <x v="3"/>
    <n v="60"/>
    <s v="S18_2248"/>
    <s v="Euro Shopping Channel"/>
    <s v="(91) 555 94 44"/>
    <s v="C/ Moralzarzal, 86"/>
    <m/>
    <s v="Madrid"/>
    <m/>
    <n v="28034"/>
    <s v="Spain"/>
    <s v="EMEA"/>
    <s v="Freyre"/>
    <s v="Diego"/>
    <s v="Small"/>
    <n v="1331.1"/>
  </r>
  <r>
    <n v="10407"/>
    <n v="42"/>
    <n v="72.650000000000006"/>
    <n v="1"/>
    <n v="3051.3"/>
    <d v="2005-04-22T00:00:00"/>
    <s v="On Hold"/>
    <n v="2"/>
    <x v="8"/>
    <n v="2005"/>
    <x v="3"/>
    <n v="60"/>
    <s v="S18_2248"/>
    <s v="The Sharp Gifts Warehouse"/>
    <n v="4085553659"/>
    <s v="3086 Ingle Ln."/>
    <m/>
    <s v="San Jose"/>
    <s v="CA"/>
    <n v="94217"/>
    <s v="USA"/>
    <s v="NA"/>
    <s v="Frick"/>
    <s v="Sue"/>
    <s v="Medium"/>
    <n v="3051.3"/>
  </r>
  <r>
    <n v="10420"/>
    <n v="36"/>
    <n v="63.57"/>
    <n v="4"/>
    <n v="2288.52"/>
    <d v="2005-05-29T00:00:00"/>
    <s v="In Process"/>
    <n v="2"/>
    <x v="1"/>
    <n v="2005"/>
    <x v="3"/>
    <n v="60"/>
    <s v="S18_224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288.52"/>
  </r>
  <r>
    <n v="10104"/>
    <n v="29"/>
    <n v="100"/>
    <n v="12"/>
    <n v="3772.61"/>
    <d v="2003-01-31T00:00:00"/>
    <s v="Shipped"/>
    <n v="1"/>
    <x v="7"/>
    <n v="2003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  <n v="2900"/>
  </r>
  <r>
    <n v="10114"/>
    <n v="39"/>
    <n v="100"/>
    <n v="3"/>
    <n v="4164.42"/>
    <d v="2003-04-01T00:00:00"/>
    <s v="Shipped"/>
    <n v="2"/>
    <x v="8"/>
    <n v="2003"/>
    <x v="2"/>
    <n v="122"/>
    <s v="S18_2319"/>
    <s v="La Corne D'abondance, Co."/>
    <s v="(1) 42.34.2555"/>
    <s v="265, boulevard Charonne"/>
    <m/>
    <s v="Paris"/>
    <m/>
    <n v="75012"/>
    <s v="France"/>
    <s v="EMEA"/>
    <s v="Bertrand"/>
    <s v="Marie"/>
    <s v="Medium"/>
    <n v="3900"/>
  </r>
  <r>
    <n v="10127"/>
    <n v="45"/>
    <n v="100"/>
    <n v="14"/>
    <n v="6295.95"/>
    <d v="2003-06-03T00:00:00"/>
    <s v="Shipped"/>
    <n v="2"/>
    <x v="9"/>
    <n v="2003"/>
    <x v="2"/>
    <n v="122"/>
    <s v="S18_2319"/>
    <s v="Muscle Machine Inc"/>
    <n v="2125557413"/>
    <s v="4092 Furth Circle"/>
    <s v="Suite 400"/>
    <s v="NYC"/>
    <s v="NY"/>
    <n v="10022"/>
    <s v="USA"/>
    <s v="NA"/>
    <s v="Young"/>
    <s v="Jeff"/>
    <s v="Medium"/>
    <n v="4500"/>
  </r>
  <r>
    <n v="10141"/>
    <n v="47"/>
    <n v="100"/>
    <n v="8"/>
    <n v="6287.66"/>
    <d v="2003-08-01T00:00:00"/>
    <s v="Shipped"/>
    <n v="3"/>
    <x v="3"/>
    <n v="2003"/>
    <x v="2"/>
    <n v="122"/>
    <s v="S18_2319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4700"/>
  </r>
  <r>
    <n v="10151"/>
    <n v="49"/>
    <n v="100"/>
    <n v="6"/>
    <n v="5412.54"/>
    <d v="2003-09-21T00:00:00"/>
    <s v="Shipped"/>
    <n v="3"/>
    <x v="10"/>
    <n v="2003"/>
    <x v="2"/>
    <n v="122"/>
    <s v="S18_2319"/>
    <s v="Oulu Toy Supplies, Inc."/>
    <s v="981-443655"/>
    <s v="Torikatu 38"/>
    <m/>
    <s v="Oulu"/>
    <m/>
    <n v="90110"/>
    <s v="Finland"/>
    <s v="EMEA"/>
    <s v="Koskitalo"/>
    <s v="Pirkko"/>
    <s v="Medium"/>
    <n v="4900"/>
  </r>
  <r>
    <n v="10165"/>
    <n v="46"/>
    <n v="100"/>
    <n v="15"/>
    <n v="5984.14"/>
    <d v="2003-10-22T00:00:00"/>
    <s v="Shipped"/>
    <n v="4"/>
    <x v="4"/>
    <n v="2003"/>
    <x v="2"/>
    <n v="122"/>
    <s v="S18_231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4600"/>
  </r>
  <r>
    <n v="10175"/>
    <n v="48"/>
    <n v="100"/>
    <n v="4"/>
    <n v="5891.04"/>
    <d v="2003-11-06T00:00:00"/>
    <s v="Shipped"/>
    <n v="4"/>
    <x v="5"/>
    <n v="2003"/>
    <x v="2"/>
    <n v="122"/>
    <s v="S18_2319"/>
    <s v="Stylish Desk Decors, Co."/>
    <s v="(171) 555-0297"/>
    <s v="35 King George"/>
    <m/>
    <s v="London"/>
    <m/>
    <s v="WX3 6FW"/>
    <s v="UK"/>
    <s v="EMEA"/>
    <s v="Brown"/>
    <s v="Ann"/>
    <s v="Medium"/>
    <n v="4800"/>
  </r>
  <r>
    <n v="10184"/>
    <n v="46"/>
    <n v="100"/>
    <n v="9"/>
    <n v="5984.14"/>
    <d v="2003-11-14T00:00:00"/>
    <s v="Shipped"/>
    <n v="4"/>
    <x v="5"/>
    <n v="2003"/>
    <x v="2"/>
    <n v="122"/>
    <s v="S18_2319"/>
    <s v="Iberia Gift Imports, Corp."/>
    <s v="(95) 555 82 82"/>
    <s v="C/ Romero, 33"/>
    <m/>
    <s v="Sevilla"/>
    <m/>
    <n v="41101"/>
    <s v="Spain"/>
    <s v="EMEA"/>
    <s v="Roel"/>
    <s v="Jose Pedro"/>
    <s v="Medium"/>
    <n v="4600"/>
  </r>
  <r>
    <n v="10195"/>
    <n v="35"/>
    <n v="100"/>
    <n v="9"/>
    <n v="3608.15"/>
    <d v="2003-11-25T00:00:00"/>
    <s v="Shipped"/>
    <n v="4"/>
    <x v="5"/>
    <n v="2003"/>
    <x v="2"/>
    <n v="122"/>
    <s v="S18_2319"/>
    <s v="Mini Classics"/>
    <n v="9145554562"/>
    <s v="3758 North Pendale Street"/>
    <m/>
    <s v="White Plains"/>
    <s v="NY"/>
    <n v="24067"/>
    <s v="USA"/>
    <s v="NA"/>
    <s v="Frick"/>
    <s v="Steve"/>
    <s v="Medium"/>
    <n v="3500"/>
  </r>
  <r>
    <n v="10207"/>
    <n v="43"/>
    <n v="100"/>
    <n v="10"/>
    <n v="5752.54"/>
    <d v="2003-12-09T00:00:00"/>
    <s v="Shipped"/>
    <n v="4"/>
    <x v="6"/>
    <n v="2003"/>
    <x v="2"/>
    <n v="122"/>
    <s v="S18_2319"/>
    <s v="Diecast Collectables"/>
    <n v="6175552555"/>
    <s v="6251 Ingle Ln."/>
    <m/>
    <s v="Boston"/>
    <s v="MA"/>
    <n v="51003"/>
    <s v="USA"/>
    <s v="NA"/>
    <s v="Franco"/>
    <s v="Valarie"/>
    <s v="Medium"/>
    <n v="4300"/>
  </r>
  <r>
    <n v="10229"/>
    <n v="26"/>
    <n v="100"/>
    <n v="4"/>
    <n v="3765.32"/>
    <d v="2004-03-11T00:00:00"/>
    <s v="Shipped"/>
    <n v="1"/>
    <x v="11"/>
    <n v="2004"/>
    <x v="2"/>
    <n v="122"/>
    <s v="S18_2319"/>
    <s v="Mini Gifts Distributors Ltd."/>
    <n v="4155551450"/>
    <s v="5677 Strong St."/>
    <m/>
    <s v="San Rafael"/>
    <s v="CA"/>
    <n v="97562"/>
    <s v="USA"/>
    <s v="NA"/>
    <s v="Nelson"/>
    <s v="Valarie"/>
    <s v="Medium"/>
    <n v="2600"/>
  </r>
  <r>
    <n v="10246"/>
    <n v="22"/>
    <n v="98.18"/>
    <n v="8"/>
    <n v="2159.96"/>
    <d v="2004-05-05T00:00:00"/>
    <s v="Shipped"/>
    <n v="2"/>
    <x v="1"/>
    <n v="2004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Small"/>
    <n v="2159.96"/>
  </r>
  <r>
    <n v="10259"/>
    <n v="34"/>
    <n v="99.41"/>
    <n v="7"/>
    <n v="3379.94"/>
    <d v="2004-06-15T00:00:00"/>
    <s v="Shipped"/>
    <n v="2"/>
    <x v="9"/>
    <n v="2004"/>
    <x v="2"/>
    <n v="122"/>
    <s v="S18_231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3379.94"/>
  </r>
  <r>
    <n v="10271"/>
    <n v="50"/>
    <n v="100"/>
    <n v="8"/>
    <n v="5093.5"/>
    <d v="2004-07-20T00:00:00"/>
    <s v="Shipped"/>
    <n v="3"/>
    <x v="2"/>
    <n v="2004"/>
    <x v="2"/>
    <n v="122"/>
    <s v="S18_2319"/>
    <s v="Mini Gifts Distributors Ltd."/>
    <n v="4155551450"/>
    <s v="5677 Strong St."/>
    <m/>
    <s v="San Rafael"/>
    <s v="CA"/>
    <n v="97562"/>
    <s v="USA"/>
    <s v="NA"/>
    <s v="Nelson"/>
    <s v="Valarie"/>
    <s v="Medium"/>
    <n v="5000"/>
  </r>
  <r>
    <n v="10281"/>
    <n v="48"/>
    <n v="100"/>
    <n v="4"/>
    <n v="5773.44"/>
    <d v="2004-08-19T00:00:00"/>
    <s v="Shipped"/>
    <n v="3"/>
    <x v="3"/>
    <n v="2004"/>
    <x v="2"/>
    <n v="122"/>
    <s v="S18_2319"/>
    <s v="Diecast Classics Inc."/>
    <n v="2155551555"/>
    <s v="7586 Pompton St."/>
    <m/>
    <s v="Allentown"/>
    <s v="PA"/>
    <n v="70267"/>
    <s v="USA"/>
    <s v="NA"/>
    <s v="Yu"/>
    <s v="Kyung"/>
    <s v="Medium"/>
    <n v="4800"/>
  </r>
  <r>
    <n v="10292"/>
    <n v="41"/>
    <n v="100"/>
    <n v="11"/>
    <n v="4528.8599999999997"/>
    <d v="2004-09-08T00:00:00"/>
    <s v="Shipped"/>
    <n v="3"/>
    <x v="10"/>
    <n v="2004"/>
    <x v="2"/>
    <n v="122"/>
    <s v="S18_2319"/>
    <s v="Land of Toys Inc."/>
    <n v="2125557818"/>
    <s v="897 Long Airport Avenue"/>
    <m/>
    <s v="NYC"/>
    <s v="NY"/>
    <n v="10022"/>
    <s v="USA"/>
    <s v="NA"/>
    <s v="Yu"/>
    <s v="Kwai"/>
    <s v="Medium"/>
    <n v="4100"/>
  </r>
  <r>
    <n v="10305"/>
    <n v="36"/>
    <n v="100"/>
    <n v="8"/>
    <n v="4816.08"/>
    <d v="2004-10-13T00:00:00"/>
    <s v="Shipped"/>
    <n v="4"/>
    <x v="4"/>
    <n v="2004"/>
    <x v="2"/>
    <n v="122"/>
    <s v="S18_2319"/>
    <s v="Marta's Replicas Co."/>
    <n v="6175558555"/>
    <s v="39323 Spinnaker Dr."/>
    <m/>
    <s v="Cambridge"/>
    <s v="MA"/>
    <n v="51247"/>
    <s v="USA"/>
    <s v="NA"/>
    <s v="Hernandez"/>
    <s v="Marta"/>
    <s v="Medium"/>
    <n v="3600"/>
  </r>
  <r>
    <n v="10313"/>
    <n v="29"/>
    <n v="100"/>
    <n v="2"/>
    <n v="3416.78"/>
    <d v="2004-10-22T00:00:00"/>
    <s v="Shipped"/>
    <n v="4"/>
    <x v="4"/>
    <n v="2004"/>
    <x v="2"/>
    <n v="122"/>
    <s v="S18_2319"/>
    <s v="Canadian Gift Exchange Network"/>
    <s v="(604) 555-3392"/>
    <s v="1900 Oak St."/>
    <m/>
    <s v="Vancouver"/>
    <s v="BC"/>
    <s v="V3F 2K1"/>
    <s v="Canada"/>
    <s v="NA"/>
    <s v="Tannamuri"/>
    <s v="Yoshi"/>
    <s v="Medium"/>
    <n v="2900"/>
  </r>
  <r>
    <n v="10324"/>
    <n v="33"/>
    <n v="37.479999999999997"/>
    <n v="10"/>
    <n v="1236.8399999999999"/>
    <d v="2004-11-05T00:00:00"/>
    <s v="Shipped"/>
    <n v="4"/>
    <x v="5"/>
    <n v="2004"/>
    <x v="2"/>
    <n v="122"/>
    <s v="S18_2319"/>
    <s v="Vitachrome Inc."/>
    <n v="2125551500"/>
    <s v="2678 Kingston Rd."/>
    <s v="Suite 101"/>
    <s v="NYC"/>
    <s v="NY"/>
    <n v="10022"/>
    <s v="USA"/>
    <s v="NA"/>
    <s v="Frick"/>
    <s v="Michael"/>
    <s v="Small"/>
    <n v="1236.8399999999999"/>
  </r>
  <r>
    <n v="10334"/>
    <n v="46"/>
    <n v="100"/>
    <n v="6"/>
    <n v="5814.86"/>
    <d v="2004-11-19T00:00:00"/>
    <s v="On Hold"/>
    <n v="4"/>
    <x v="5"/>
    <n v="2004"/>
    <x v="2"/>
    <n v="122"/>
    <s v="S18_2319"/>
    <s v="Volvo Model Replicas, Co"/>
    <s v="0921-12 3555"/>
    <s v="Berguvsv„gen  8"/>
    <m/>
    <s v="Lule"/>
    <m/>
    <s v="S-958 22"/>
    <s v="Sweden"/>
    <s v="EMEA"/>
    <s v="Berglund"/>
    <s v="Christina"/>
    <s v="Medium"/>
    <n v="4600"/>
  </r>
  <r>
    <n v="10349"/>
    <n v="38"/>
    <n v="100"/>
    <n v="7"/>
    <n v="5223.4799999999996"/>
    <d v="2004-12-01T00:00:00"/>
    <s v="Shipped"/>
    <n v="4"/>
    <x v="6"/>
    <n v="2004"/>
    <x v="2"/>
    <n v="122"/>
    <s v="S18_2319"/>
    <s v="Muscle Machine Inc"/>
    <n v="2125557413"/>
    <s v="4092 Furth Circle"/>
    <s v="Suite 400"/>
    <s v="NYC"/>
    <s v="NY"/>
    <n v="10022"/>
    <s v="USA"/>
    <s v="NA"/>
    <s v="Young"/>
    <s v="Jeff"/>
    <s v="Medium"/>
    <n v="3800"/>
  </r>
  <r>
    <n v="10358"/>
    <n v="20"/>
    <n v="36.42"/>
    <n v="11"/>
    <n v="728.4"/>
    <d v="2004-12-10T00:00:00"/>
    <s v="Shipped"/>
    <n v="4"/>
    <x v="6"/>
    <n v="2004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Small"/>
    <n v="728.40000000000009"/>
  </r>
  <r>
    <n v="10370"/>
    <n v="22"/>
    <n v="100"/>
    <n v="5"/>
    <n v="3949"/>
    <d v="2005-01-20T00:00:00"/>
    <s v="Shipped"/>
    <n v="1"/>
    <x v="7"/>
    <n v="2005"/>
    <x v="2"/>
    <n v="122"/>
    <s v="S18_231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2200"/>
  </r>
  <r>
    <n v="10383"/>
    <n v="27"/>
    <n v="100"/>
    <n v="11"/>
    <n v="3843.99"/>
    <d v="2005-02-22T00:00:00"/>
    <s v="Shipped"/>
    <n v="1"/>
    <x v="0"/>
    <n v="2005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  <n v="2700"/>
  </r>
  <r>
    <n v="10412"/>
    <n v="56"/>
    <n v="98.18"/>
    <n v="8"/>
    <n v="5498.08"/>
    <d v="2005-05-03T00:00:00"/>
    <s v="Shipped"/>
    <n v="2"/>
    <x v="1"/>
    <n v="2005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  <n v="5498.08"/>
  </r>
  <r>
    <n v="10425"/>
    <n v="38"/>
    <n v="99.41"/>
    <n v="7"/>
    <n v="3777.58"/>
    <d v="2005-05-31T00:00:00"/>
    <s v="In Process"/>
    <n v="2"/>
    <x v="1"/>
    <n v="2005"/>
    <x v="2"/>
    <n v="122"/>
    <s v="S18_2319"/>
    <s v="La Rochelle Gifts"/>
    <s v="40.67.8555"/>
    <s v="67, rue des Cinquante Otages"/>
    <m/>
    <s v="Nantes"/>
    <m/>
    <n v="44000"/>
    <s v="France"/>
    <s v="EMEA"/>
    <s v="Labrune"/>
    <s v="Janine"/>
    <s v="Medium"/>
    <n v="3777.58"/>
  </r>
  <r>
    <n v="10101"/>
    <n v="25"/>
    <n v="100"/>
    <n v="4"/>
    <n v="3782"/>
    <d v="2003-01-09T00:00:00"/>
    <s v="Shipped"/>
    <n v="1"/>
    <x v="7"/>
    <n v="2003"/>
    <x v="3"/>
    <n v="127"/>
    <s v="S18_2325"/>
    <s v="Blauer See Auto, Co."/>
    <s v="+49 69 66 90 2555"/>
    <s v="Lyonerstr. 34"/>
    <m/>
    <s v="Frankfurt"/>
    <m/>
    <n v="60528"/>
    <s v="Germany"/>
    <s v="EMEA"/>
    <s v="Keitel"/>
    <s v="Roland"/>
    <s v="Medium"/>
    <n v="2500"/>
  </r>
  <r>
    <n v="10110"/>
    <n v="33"/>
    <n v="100"/>
    <n v="4"/>
    <n v="3859.68"/>
    <d v="2003-03-18T00:00:00"/>
    <s v="Shipped"/>
    <n v="1"/>
    <x v="11"/>
    <n v="2003"/>
    <x v="3"/>
    <n v="127"/>
    <s v="S18_2325"/>
    <s v="AV Stores, Co."/>
    <s v="(171) 555-1555"/>
    <s v="Fauntleroy Circus"/>
    <m/>
    <s v="Manchester"/>
    <m/>
    <s v="EC2 5NT"/>
    <s v="UK"/>
    <s v="EMEA"/>
    <s v="Ashworth"/>
    <s v="Victoria"/>
    <s v="Medium"/>
    <n v="3300"/>
  </r>
  <r>
    <n v="10124"/>
    <n v="42"/>
    <n v="100"/>
    <n v="3"/>
    <n v="4431.84"/>
    <d v="2003-05-21T00:00:00"/>
    <s v="Shipped"/>
    <n v="2"/>
    <x v="1"/>
    <n v="2003"/>
    <x v="3"/>
    <n v="127"/>
    <s v="S18_2325"/>
    <s v="Signal Gift Stores"/>
    <n v="7025551838"/>
    <s v="8489 Strong St."/>
    <m/>
    <s v="Las Vegas"/>
    <s v="NV"/>
    <n v="83030"/>
    <s v="USA"/>
    <s v="NA"/>
    <s v="King"/>
    <s v="Sue"/>
    <s v="Medium"/>
    <n v="4200"/>
  </r>
  <r>
    <n v="10149"/>
    <n v="33"/>
    <n v="100"/>
    <n v="8"/>
    <n v="4950.33"/>
    <d v="2003-09-12T00:00:00"/>
    <s v="Shipped"/>
    <n v="3"/>
    <x v="10"/>
    <n v="2003"/>
    <x v="3"/>
    <n v="127"/>
    <s v="S18_2325"/>
    <s v="Signal Collectibles Ltd."/>
    <n v="4155554312"/>
    <s v="2793 Furth Circle"/>
    <m/>
    <s v="Brisbane"/>
    <s v="CA"/>
    <n v="94217"/>
    <s v="USA"/>
    <s v="NA"/>
    <s v="Taylor"/>
    <s v="Sue"/>
    <s v="Medium"/>
    <n v="3300"/>
  </r>
  <r>
    <n v="10162"/>
    <n v="38"/>
    <n v="100"/>
    <n v="6"/>
    <n v="4299.7"/>
    <d v="2003-10-18T00:00:00"/>
    <s v="Shipped"/>
    <n v="4"/>
    <x v="4"/>
    <n v="2003"/>
    <x v="3"/>
    <n v="127"/>
    <s v="S18_2325"/>
    <s v="Corporate Gift Ideas Co."/>
    <n v="6505551386"/>
    <s v="7734 Strong St."/>
    <m/>
    <s v="San Francisco"/>
    <s v="CA"/>
    <m/>
    <s v="USA"/>
    <s v="NA"/>
    <s v="Brown"/>
    <s v="Julie"/>
    <s v="Medium"/>
    <n v="3800"/>
  </r>
  <r>
    <n v="10173"/>
    <n v="31"/>
    <n v="100"/>
    <n v="10"/>
    <n v="4492.83"/>
    <d v="2003-11-05T00:00:00"/>
    <s v="Shipped"/>
    <n v="4"/>
    <x v="5"/>
    <n v="2003"/>
    <x v="3"/>
    <n v="127"/>
    <s v="S18_2325"/>
    <s v="Rovelli Gifts"/>
    <s v="035-640555"/>
    <s v="Via Ludovico il Moro 22"/>
    <m/>
    <s v="Bergamo"/>
    <m/>
    <n v="24100"/>
    <s v="Italy"/>
    <s v="EMEA"/>
    <s v="Rovelli"/>
    <s v="Giovanni"/>
    <s v="Medium"/>
    <n v="3100"/>
  </r>
  <r>
    <n v="10182"/>
    <n v="20"/>
    <n v="100"/>
    <n v="7"/>
    <n v="2212"/>
    <d v="2003-11-12T00:00:00"/>
    <s v="Shipped"/>
    <n v="4"/>
    <x v="5"/>
    <n v="2003"/>
    <x v="3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Small"/>
    <n v="2000"/>
  </r>
  <r>
    <n v="10193"/>
    <n v="44"/>
    <n v="100"/>
    <n v="11"/>
    <n v="4642.88"/>
    <d v="2003-11-21T00:00:00"/>
    <s v="Shipped"/>
    <n v="4"/>
    <x v="5"/>
    <n v="2003"/>
    <x v="3"/>
    <n v="127"/>
    <s v="S18_2325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n v="4400"/>
  </r>
  <r>
    <n v="10204"/>
    <n v="26"/>
    <n v="100"/>
    <n v="1"/>
    <n v="3206.32"/>
    <d v="2003-12-02T00:00:00"/>
    <s v="Shipped"/>
    <n v="4"/>
    <x v="6"/>
    <n v="2003"/>
    <x v="3"/>
    <n v="127"/>
    <s v="S18_2325"/>
    <s v="Muscle Machine Inc"/>
    <n v="2125557413"/>
    <s v="4092 Furth Circle"/>
    <s v="Suite 400"/>
    <s v="NYC"/>
    <s v="NY"/>
    <n v="10022"/>
    <s v="USA"/>
    <s v="NA"/>
    <s v="Young"/>
    <s v="Jeff"/>
    <s v="Medium"/>
    <n v="2600"/>
  </r>
  <r>
    <n v="10214"/>
    <n v="27"/>
    <n v="100"/>
    <n v="4"/>
    <n v="3604.23"/>
    <d v="2004-01-26T00:00:00"/>
    <s v="Shipped"/>
    <n v="1"/>
    <x v="7"/>
    <n v="2004"/>
    <x v="3"/>
    <n v="127"/>
    <s v="S18_2325"/>
    <s v="Corrida Auto Replicas, Ltd"/>
    <s v="(91) 555 22 82"/>
    <s v="C/ Araquil, 67"/>
    <m/>
    <s v="Madrid"/>
    <m/>
    <n v="28023"/>
    <s v="Spain"/>
    <s v="EMEA"/>
    <s v="Sommer"/>
    <s v="Mart¡n"/>
    <s v="Medium"/>
    <n v="2700"/>
  </r>
  <r>
    <n v="10227"/>
    <n v="46"/>
    <n v="100"/>
    <n v="7"/>
    <n v="7017.76"/>
    <d v="2004-03-02T00:00:00"/>
    <s v="Shipped"/>
    <n v="1"/>
    <x v="11"/>
    <n v="2004"/>
    <x v="3"/>
    <n v="127"/>
    <s v="S18_2325"/>
    <s v="Saveley &amp; Henriot, Co."/>
    <s v="78.32.5555"/>
    <s v="2, rue du Commerce"/>
    <m/>
    <s v="Lyon"/>
    <m/>
    <n v="69004"/>
    <s v="France"/>
    <s v="EMEA"/>
    <s v="Saveley"/>
    <s v="Mary"/>
    <s v="Large"/>
    <n v="4600"/>
  </r>
  <r>
    <n v="10243"/>
    <n v="47"/>
    <n v="100"/>
    <n v="2"/>
    <n v="6154.18"/>
    <d v="2004-04-26T00:00:00"/>
    <s v="Shipped"/>
    <n v="2"/>
    <x v="8"/>
    <n v="2004"/>
    <x v="3"/>
    <n v="127"/>
    <s v="S18_2325"/>
    <s v="Diecast Collectables"/>
    <n v="6175552555"/>
    <s v="6251 Ingle Ln."/>
    <m/>
    <s v="Boston"/>
    <s v="MA"/>
    <n v="51003"/>
    <s v="USA"/>
    <s v="NA"/>
    <s v="Franco"/>
    <s v="Valarie"/>
    <s v="Medium"/>
    <n v="4700"/>
  </r>
  <r>
    <n v="10280"/>
    <n v="37"/>
    <n v="100"/>
    <n v="13"/>
    <n v="4750.8"/>
    <d v="2004-08-17T00:00:00"/>
    <s v="Shipped"/>
    <n v="3"/>
    <x v="3"/>
    <n v="2004"/>
    <x v="3"/>
    <n v="127"/>
    <s v="S18_2325"/>
    <s v="Amica Models &amp; Co."/>
    <s v="011-4988555"/>
    <s v="Via Monte Bianco 34"/>
    <m/>
    <s v="Torino"/>
    <m/>
    <n v="10100"/>
    <s v="Italy"/>
    <s v="EMEA"/>
    <s v="Accorti"/>
    <s v="Paolo"/>
    <s v="Medium"/>
    <n v="3700"/>
  </r>
  <r>
    <n v="10288"/>
    <n v="31"/>
    <n v="100"/>
    <n v="2"/>
    <n v="3822.92"/>
    <d v="2004-09-01T00:00:00"/>
    <s v="Shipped"/>
    <n v="3"/>
    <x v="10"/>
    <n v="2004"/>
    <x v="3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3100"/>
  </r>
  <r>
    <n v="10304"/>
    <n v="24"/>
    <n v="100"/>
    <n v="17"/>
    <n v="2440.8000000000002"/>
    <d v="2004-10-11T00:00:00"/>
    <s v="Shipped"/>
    <n v="4"/>
    <x v="4"/>
    <n v="2004"/>
    <x v="3"/>
    <n v="127"/>
    <s v="S18_2325"/>
    <s v="Auto Assoc. &amp; Cie."/>
    <s v="30.59.8555"/>
    <s v="67, avenue de l'Europe"/>
    <m/>
    <s v="Versailles"/>
    <m/>
    <n v="78000"/>
    <s v="France"/>
    <s v="EMEA"/>
    <s v="Tonini"/>
    <s v="Daniel"/>
    <s v="Small"/>
    <n v="2400"/>
  </r>
  <r>
    <n v="10312"/>
    <n v="31"/>
    <n v="100"/>
    <n v="14"/>
    <n v="4729.3599999999997"/>
    <d v="2004-10-21T00:00:00"/>
    <s v="Shipped"/>
    <n v="4"/>
    <x v="4"/>
    <n v="2004"/>
    <x v="3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Medium"/>
    <n v="3100"/>
  </r>
  <r>
    <n v="10322"/>
    <n v="50"/>
    <n v="100"/>
    <n v="6"/>
    <n v="12536.5"/>
    <d v="2004-11-04T00:00:00"/>
    <s v="Shipped"/>
    <n v="4"/>
    <x v="5"/>
    <n v="2004"/>
    <x v="3"/>
    <n v="127"/>
    <s v="S18_2325"/>
    <s v="Online Diecast Creations Co."/>
    <n v="6035558647"/>
    <s v="2304 Long Airport Avenue"/>
    <m/>
    <s v="Nashua"/>
    <s v="NH"/>
    <n v="62005"/>
    <s v="USA"/>
    <s v="NA"/>
    <s v="Young"/>
    <s v="Valarie"/>
    <s v="Large"/>
    <n v="5000"/>
  </r>
  <r>
    <n v="10332"/>
    <n v="35"/>
    <n v="64.69"/>
    <n v="8"/>
    <n v="2264.15"/>
    <d v="2004-11-17T00:00:00"/>
    <s v="Shipped"/>
    <n v="4"/>
    <x v="5"/>
    <n v="2004"/>
    <x v="3"/>
    <n v="127"/>
    <s v="S18_2325"/>
    <s v="AV Stores, Co."/>
    <s v="(171) 555-1555"/>
    <s v="Fauntleroy Circus"/>
    <m/>
    <s v="Manchester"/>
    <m/>
    <s v="EC2 5NT"/>
    <s v="UK"/>
    <s v="EMEA"/>
    <s v="Ashworth"/>
    <s v="Victoria"/>
    <s v="Small"/>
    <n v="2264.15"/>
  </r>
  <r>
    <n v="10344"/>
    <n v="30"/>
    <n v="100"/>
    <n v="3"/>
    <n v="3928.2"/>
    <d v="2004-11-25T00:00:00"/>
    <s v="Shipped"/>
    <n v="4"/>
    <x v="5"/>
    <n v="2004"/>
    <x v="3"/>
    <n v="127"/>
    <s v="S18_2325"/>
    <s v="Marseille Mini Autos"/>
    <s v="91.24.4555"/>
    <s v="12, rue des Bouchers"/>
    <m/>
    <s v="Marseille"/>
    <m/>
    <n v="13008"/>
    <s v="France"/>
    <s v="EMEA"/>
    <s v="Lebihan"/>
    <s v="Laurence"/>
    <s v="Medium"/>
    <n v="3000"/>
  </r>
  <r>
    <n v="10356"/>
    <n v="29"/>
    <n v="100"/>
    <n v="3"/>
    <n v="3630.22"/>
    <d v="2004-12-09T00:00:00"/>
    <s v="Shipped"/>
    <n v="4"/>
    <x v="6"/>
    <n v="2004"/>
    <x v="3"/>
    <n v="127"/>
    <s v="S18_2325"/>
    <s v="Lyon Souveniers"/>
    <s v="+33 1 46 62 7555"/>
    <s v="27 rue du Colonel Pierre Avia"/>
    <m/>
    <s v="Paris"/>
    <m/>
    <n v="75508"/>
    <s v="France"/>
    <s v="EMEA"/>
    <s v="Da Cunha"/>
    <s v="Daniel"/>
    <s v="Medium"/>
    <n v="2900"/>
  </r>
  <r>
    <n v="10367"/>
    <n v="27"/>
    <n v="100"/>
    <n v="5"/>
    <n v="4196.07"/>
    <d v="2005-01-12T00:00:00"/>
    <s v="Resolved"/>
    <n v="1"/>
    <x v="7"/>
    <n v="2005"/>
    <x v="3"/>
    <n v="127"/>
    <s v="S18_2325"/>
    <s v="Toys4GrownUps.com"/>
    <n v="6265557265"/>
    <s v="78934 Hillside Dr."/>
    <m/>
    <s v="Pasadena"/>
    <s v="CA"/>
    <n v="90003"/>
    <s v="USA"/>
    <s v="NA"/>
    <s v="Young"/>
    <s v="Julie"/>
    <s v="Medium"/>
    <n v="2700"/>
  </r>
  <r>
    <n v="10380"/>
    <n v="40"/>
    <n v="100"/>
    <n v="10"/>
    <n v="4931.6000000000004"/>
    <d v="2005-02-16T00:00:00"/>
    <s v="Shipped"/>
    <n v="1"/>
    <x v="0"/>
    <n v="2005"/>
    <x v="3"/>
    <n v="127"/>
    <s v="S18_2325"/>
    <s v="Euro Shopping Channel"/>
    <s v="(91) 555 94 44"/>
    <s v="C/ Moralzarzal, 86"/>
    <m/>
    <s v="Madrid"/>
    <m/>
    <n v="28034"/>
    <s v="Spain"/>
    <s v="EMEA"/>
    <s v="Freyre"/>
    <s v="Diego"/>
    <s v="Medium"/>
    <n v="4000"/>
  </r>
  <r>
    <n v="10390"/>
    <n v="31"/>
    <n v="98.99"/>
    <n v="16"/>
    <n v="3068.69"/>
    <d v="2005-03-04T00:00:00"/>
    <s v="Shipped"/>
    <n v="1"/>
    <x v="11"/>
    <n v="2005"/>
    <x v="3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Medium"/>
    <n v="3068.69"/>
  </r>
  <r>
    <n v="10409"/>
    <n v="6"/>
    <n v="100"/>
    <n v="2"/>
    <n v="785.64"/>
    <d v="2005-04-23T00:00:00"/>
    <s v="Shipped"/>
    <n v="2"/>
    <x v="8"/>
    <n v="2005"/>
    <x v="3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600"/>
  </r>
  <r>
    <n v="10420"/>
    <n v="45"/>
    <n v="100"/>
    <n v="2"/>
    <n v="4977"/>
    <d v="2005-05-29T00:00:00"/>
    <s v="In Process"/>
    <n v="2"/>
    <x v="1"/>
    <n v="2005"/>
    <x v="3"/>
    <n v="127"/>
    <s v="S18_2325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4500"/>
  </r>
  <r>
    <n v="10103"/>
    <n v="22"/>
    <n v="54.09"/>
    <n v="2"/>
    <n v="1189.98"/>
    <d v="2003-01-29T00:00:00"/>
    <s v="Shipped"/>
    <n v="1"/>
    <x v="7"/>
    <n v="2003"/>
    <x v="2"/>
    <n v="60"/>
    <s v="S18_2432"/>
    <s v="Baane Mini Imports"/>
    <s v="07-98 9555"/>
    <s v="Erling Skakkes gate 78"/>
    <m/>
    <s v="Stavern"/>
    <m/>
    <n v="4110"/>
    <s v="Norway"/>
    <s v="EMEA"/>
    <s v="Bergulfsen"/>
    <s v="Jonas"/>
    <s v="Small"/>
    <n v="1189.98"/>
  </r>
  <r>
    <n v="10114"/>
    <n v="45"/>
    <n v="68.67"/>
    <n v="6"/>
    <n v="3090.15"/>
    <d v="2003-04-01T00:00:00"/>
    <s v="Shipped"/>
    <n v="2"/>
    <x v="8"/>
    <n v="2003"/>
    <x v="2"/>
    <n v="60"/>
    <s v="S18_2432"/>
    <s v="La Corne D'abondance, Co."/>
    <s v="(1) 42.34.2555"/>
    <s v="265, boulevard Charonne"/>
    <m/>
    <s v="Paris"/>
    <m/>
    <n v="75012"/>
    <s v="France"/>
    <s v="EMEA"/>
    <s v="Bertrand"/>
    <s v="Marie"/>
    <s v="Medium"/>
    <n v="3090.15"/>
  </r>
  <r>
    <n v="10126"/>
    <n v="43"/>
    <n v="65.02"/>
    <n v="2"/>
    <n v="2795.86"/>
    <d v="2003-05-28T00:00:00"/>
    <s v="Shipped"/>
    <n v="2"/>
    <x v="1"/>
    <n v="2003"/>
    <x v="2"/>
    <n v="60"/>
    <s v="S18_2432"/>
    <s v="Corrida Auto Replicas, Ltd"/>
    <s v="(91) 555 22 82"/>
    <s v="C/ Araquil, 67"/>
    <m/>
    <s v="Madrid"/>
    <m/>
    <n v="28023"/>
    <s v="Spain"/>
    <s v="EMEA"/>
    <s v="Sommer"/>
    <s v="Mart¡n"/>
    <s v="Small"/>
    <n v="2795.8599999999997"/>
  </r>
  <r>
    <n v="10140"/>
    <n v="46"/>
    <n v="61.99"/>
    <n v="2"/>
    <n v="2851.54"/>
    <d v="2003-07-24T00:00:00"/>
    <s v="Shipped"/>
    <n v="3"/>
    <x v="2"/>
    <n v="2003"/>
    <x v="2"/>
    <n v="60"/>
    <s v="S18_2432"/>
    <s v="Technics Stores Inc."/>
    <n v="6505556809"/>
    <s v="9408 Furth Circle"/>
    <m/>
    <s v="Burlingame"/>
    <s v="CA"/>
    <n v="94217"/>
    <s v="USA"/>
    <s v="NA"/>
    <s v="Hirano"/>
    <s v="Juri"/>
    <s v="Small"/>
    <n v="2851.54"/>
  </r>
  <r>
    <n v="10151"/>
    <n v="39"/>
    <n v="69.28"/>
    <n v="9"/>
    <n v="2701.92"/>
    <d v="2003-09-21T00:00:00"/>
    <s v="Shipped"/>
    <n v="3"/>
    <x v="10"/>
    <n v="2003"/>
    <x v="2"/>
    <n v="60"/>
    <s v="S18_2432"/>
    <s v="Oulu Toy Supplies, Inc."/>
    <s v="981-443655"/>
    <s v="Torikatu 38"/>
    <m/>
    <s v="Oulu"/>
    <m/>
    <n v="90110"/>
    <s v="Finland"/>
    <s v="EMEA"/>
    <s v="Koskitalo"/>
    <s v="Pirkko"/>
    <s v="Small"/>
    <n v="2701.92"/>
  </r>
  <r>
    <n v="10165"/>
    <n v="31"/>
    <n v="71.099999999999994"/>
    <n v="18"/>
    <n v="2204.1"/>
    <d v="2003-10-22T00:00:00"/>
    <s v="Shipped"/>
    <n v="4"/>
    <x v="4"/>
    <n v="2003"/>
    <x v="2"/>
    <n v="60"/>
    <s v="S18_243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204.1"/>
  </r>
  <r>
    <n v="10175"/>
    <n v="41"/>
    <n v="69.28"/>
    <n v="7"/>
    <n v="2840.48"/>
    <d v="2003-11-06T00:00:00"/>
    <s v="Shipped"/>
    <n v="4"/>
    <x v="5"/>
    <n v="2003"/>
    <x v="2"/>
    <n v="60"/>
    <s v="S18_2432"/>
    <s v="Stylish Desk Decors, Co."/>
    <s v="(171) 555-0297"/>
    <s v="35 King George"/>
    <m/>
    <s v="London"/>
    <m/>
    <s v="WX3 6FW"/>
    <s v="UK"/>
    <s v="EMEA"/>
    <s v="Brown"/>
    <s v="Ann"/>
    <s v="Small"/>
    <n v="2840.48"/>
  </r>
  <r>
    <n v="10184"/>
    <n v="44"/>
    <n v="60.16"/>
    <n v="12"/>
    <n v="2647.04"/>
    <d v="2003-11-14T00:00:00"/>
    <s v="Shipped"/>
    <n v="4"/>
    <x v="5"/>
    <n v="2003"/>
    <x v="2"/>
    <n v="60"/>
    <s v="S18_2432"/>
    <s v="Iberia Gift Imports, Corp."/>
    <s v="(95) 555 82 82"/>
    <s v="C/ Romero, 33"/>
    <m/>
    <s v="Sevilla"/>
    <m/>
    <n v="41101"/>
    <s v="Spain"/>
    <s v="EMEA"/>
    <s v="Roel"/>
    <s v="Jose Pedro"/>
    <s v="Small"/>
    <n v="2647.04"/>
  </r>
  <r>
    <n v="10194"/>
    <n v="45"/>
    <n v="70.489999999999995"/>
    <n v="2"/>
    <n v="3172.05"/>
    <d v="2003-11-25T00:00:00"/>
    <s v="Shipped"/>
    <n v="4"/>
    <x v="5"/>
    <n v="2003"/>
    <x v="2"/>
    <n v="60"/>
    <s v="S18_2432"/>
    <s v="Saveley &amp; Henriot, Co."/>
    <s v="78.32.5555"/>
    <s v="2, rue du Commerce"/>
    <m/>
    <s v="Lyon"/>
    <m/>
    <n v="69004"/>
    <s v="France"/>
    <s v="EMEA"/>
    <s v="Saveley"/>
    <s v="Mary"/>
    <s v="Medium"/>
    <n v="3172.0499999999997"/>
  </r>
  <r>
    <n v="10207"/>
    <n v="37"/>
    <n v="69.89"/>
    <n v="13"/>
    <n v="2585.9299999999998"/>
    <d v="2003-12-09T00:00:00"/>
    <s v="Shipped"/>
    <n v="4"/>
    <x v="6"/>
    <n v="2003"/>
    <x v="2"/>
    <n v="60"/>
    <s v="S18_2432"/>
    <s v="Diecast Collectables"/>
    <n v="6175552555"/>
    <s v="6251 Ingle Ln."/>
    <m/>
    <s v="Boston"/>
    <s v="MA"/>
    <n v="51003"/>
    <s v="USA"/>
    <s v="NA"/>
    <s v="Franco"/>
    <s v="Valarie"/>
    <s v="Small"/>
    <n v="2585.9299999999998"/>
  </r>
  <r>
    <n v="10217"/>
    <n v="35"/>
    <n v="61.38"/>
    <n v="2"/>
    <n v="2148.3000000000002"/>
    <d v="2004-02-04T00:00:00"/>
    <s v="Shipped"/>
    <n v="1"/>
    <x v="0"/>
    <n v="2004"/>
    <x v="2"/>
    <n v="60"/>
    <s v="S18_2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148.3000000000002"/>
  </r>
  <r>
    <n v="10229"/>
    <n v="28"/>
    <n v="59.55"/>
    <n v="7"/>
    <n v="1667.4"/>
    <d v="2004-03-11T00:00:00"/>
    <s v="Shipped"/>
    <n v="1"/>
    <x v="11"/>
    <n v="2004"/>
    <x v="2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  <n v="1667.3999999999999"/>
  </r>
  <r>
    <n v="10246"/>
    <n v="30"/>
    <n v="61.99"/>
    <n v="11"/>
    <n v="1859.7"/>
    <d v="2004-05-05T00:00:00"/>
    <s v="Shipped"/>
    <n v="2"/>
    <x v="1"/>
    <n v="2004"/>
    <x v="2"/>
    <n v="60"/>
    <s v="S18_2432"/>
    <s v="Euro Shopping Channel"/>
    <s v="(91) 555 94 44"/>
    <s v="C/ Moralzarzal, 86"/>
    <m/>
    <s v="Madrid"/>
    <m/>
    <n v="28034"/>
    <s v="Spain"/>
    <s v="EMEA"/>
    <s v="Freyre"/>
    <s v="Diego"/>
    <s v="Small"/>
    <n v="1859.7"/>
  </r>
  <r>
    <n v="10259"/>
    <n v="30"/>
    <n v="49.22"/>
    <n v="10"/>
    <n v="1476.6"/>
    <d v="2004-06-15T00:00:00"/>
    <s v="Shipped"/>
    <n v="2"/>
    <x v="9"/>
    <n v="2004"/>
    <x v="2"/>
    <n v="60"/>
    <s v="S18_2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476.6"/>
  </r>
  <r>
    <n v="10271"/>
    <n v="25"/>
    <n v="69.28"/>
    <n v="11"/>
    <n v="1732"/>
    <d v="2004-07-20T00:00:00"/>
    <s v="Shipped"/>
    <n v="3"/>
    <x v="2"/>
    <n v="2004"/>
    <x v="2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  <n v="1732"/>
  </r>
  <r>
    <n v="10281"/>
    <n v="29"/>
    <n v="57.73"/>
    <n v="7"/>
    <n v="1674.17"/>
    <d v="2004-08-19T00:00:00"/>
    <s v="Shipped"/>
    <n v="3"/>
    <x v="3"/>
    <n v="2004"/>
    <x v="2"/>
    <n v="60"/>
    <s v="S18_2432"/>
    <s v="Diecast Classics Inc."/>
    <n v="2155551555"/>
    <s v="7586 Pompton St."/>
    <m/>
    <s v="Allentown"/>
    <s v="PA"/>
    <n v="70267"/>
    <s v="USA"/>
    <s v="NA"/>
    <s v="Yu"/>
    <s v="Kyung"/>
    <s v="Small"/>
    <n v="1674.1699999999998"/>
  </r>
  <r>
    <n v="10291"/>
    <n v="26"/>
    <n v="57.73"/>
    <n v="2"/>
    <n v="1500.98"/>
    <d v="2004-09-08T00:00:00"/>
    <s v="Shipped"/>
    <n v="3"/>
    <x v="10"/>
    <n v="2004"/>
    <x v="2"/>
    <n v="60"/>
    <s v="S18_2432"/>
    <s v="Scandinavian Gift Ideas"/>
    <s v="0695-34 6555"/>
    <s v="?kergatan 24"/>
    <m/>
    <s v="Boras"/>
    <m/>
    <s v="S-844 67"/>
    <s v="Sweden"/>
    <s v="EMEA"/>
    <s v="Larsson"/>
    <s v="Maria"/>
    <s v="Small"/>
    <n v="1500.98"/>
  </r>
  <r>
    <n v="10305"/>
    <n v="41"/>
    <n v="53.48"/>
    <n v="11"/>
    <n v="2192.6799999999998"/>
    <d v="2004-10-13T00:00:00"/>
    <s v="Shipped"/>
    <n v="4"/>
    <x v="4"/>
    <n v="2004"/>
    <x v="2"/>
    <n v="60"/>
    <s v="S18_2432"/>
    <s v="Marta's Replicas Co."/>
    <n v="6175558555"/>
    <s v="39323 Spinnaker Dr."/>
    <m/>
    <s v="Cambridge"/>
    <s v="MA"/>
    <n v="51247"/>
    <s v="USA"/>
    <s v="NA"/>
    <s v="Hernandez"/>
    <s v="Marta"/>
    <s v="Small"/>
    <n v="2192.6799999999998"/>
  </r>
  <r>
    <n v="10313"/>
    <n v="34"/>
    <n v="52.87"/>
    <n v="5"/>
    <n v="1797.58"/>
    <d v="2004-10-22T00:00:00"/>
    <s v="Shipped"/>
    <n v="4"/>
    <x v="4"/>
    <n v="2004"/>
    <x v="2"/>
    <n v="60"/>
    <s v="S18_2432"/>
    <s v="Canadian Gift Exchange Network"/>
    <s v="(604) 555-3392"/>
    <s v="1900 Oak St."/>
    <m/>
    <s v="Vancouver"/>
    <s v="BC"/>
    <s v="V3F 2K1"/>
    <s v="Canada"/>
    <s v="NA"/>
    <s v="Tannamuri"/>
    <s v="Yoshi"/>
    <s v="Small"/>
    <n v="1797.58"/>
  </r>
  <r>
    <n v="10322"/>
    <n v="35"/>
    <n v="61.21"/>
    <n v="11"/>
    <n v="2142.35"/>
    <d v="2004-11-04T00:00:00"/>
    <s v="Shipped"/>
    <n v="4"/>
    <x v="5"/>
    <n v="2004"/>
    <x v="2"/>
    <n v="60"/>
    <s v="S18_2432"/>
    <s v="Online Diecast Creations Co."/>
    <n v="6035558647"/>
    <s v="2304 Long Airport Avenue"/>
    <m/>
    <s v="Nashua"/>
    <s v="NH"/>
    <n v="62005"/>
    <s v="USA"/>
    <s v="NA"/>
    <s v="Young"/>
    <s v="Valarie"/>
    <s v="Small"/>
    <n v="2142.35"/>
  </r>
  <r>
    <n v="10334"/>
    <n v="34"/>
    <n v="61.38"/>
    <n v="1"/>
    <n v="2086.92"/>
    <d v="2004-11-19T00:00:00"/>
    <s v="On Hold"/>
    <n v="4"/>
    <x v="5"/>
    <n v="2004"/>
    <x v="2"/>
    <n v="60"/>
    <s v="S18_2432"/>
    <s v="Volvo Model Replicas, Co"/>
    <s v="0921-12 3555"/>
    <s v="Berguvsv„gen  8"/>
    <m/>
    <s v="Lule"/>
    <m/>
    <s v="S-958 22"/>
    <s v="Sweden"/>
    <s v="EMEA"/>
    <s v="Berglund"/>
    <s v="Christina"/>
    <s v="Small"/>
    <n v="2086.92"/>
  </r>
  <r>
    <n v="10347"/>
    <n v="50"/>
    <n v="100"/>
    <n v="8"/>
    <n v="6834.5"/>
    <d v="2004-11-29T00:00:00"/>
    <s v="Shipped"/>
    <n v="4"/>
    <x v="5"/>
    <n v="2004"/>
    <x v="2"/>
    <n v="60"/>
    <s v="S18_243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5000"/>
  </r>
  <r>
    <n v="10357"/>
    <n v="41"/>
    <n v="61.99"/>
    <n v="7"/>
    <n v="2541.59"/>
    <d v="2004-12-10T00:00:00"/>
    <s v="Shipped"/>
    <n v="4"/>
    <x v="6"/>
    <n v="2004"/>
    <x v="2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  <n v="2541.59"/>
  </r>
  <r>
    <n v="10370"/>
    <n v="22"/>
    <n v="96.86"/>
    <n v="7"/>
    <n v="2130.92"/>
    <d v="2005-01-20T00:00:00"/>
    <s v="Shipped"/>
    <n v="1"/>
    <x v="7"/>
    <n v="2005"/>
    <x v="2"/>
    <n v="60"/>
    <s v="S18_24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130.92"/>
  </r>
  <r>
    <n v="10381"/>
    <n v="35"/>
    <n v="48.62"/>
    <n v="7"/>
    <n v="1701.7"/>
    <d v="2005-02-17T00:00:00"/>
    <s v="Shipped"/>
    <n v="1"/>
    <x v="0"/>
    <n v="2005"/>
    <x v="2"/>
    <n v="60"/>
    <s v="S18_2432"/>
    <s v="Corporate Gift Ideas Co."/>
    <n v="6505551386"/>
    <s v="7734 Strong St."/>
    <m/>
    <s v="San Francisco"/>
    <s v="CA"/>
    <m/>
    <s v="USA"/>
    <s v="NA"/>
    <s v="Brown"/>
    <s v="Julie"/>
    <s v="Small"/>
    <n v="1701.6999999999998"/>
  </r>
  <r>
    <n v="10391"/>
    <n v="44"/>
    <n v="38.5"/>
    <n v="5"/>
    <n v="1694"/>
    <d v="2005-03-09T00:00:00"/>
    <s v="Shipped"/>
    <n v="1"/>
    <x v="11"/>
    <n v="2005"/>
    <x v="2"/>
    <n v="60"/>
    <s v="S18_24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694"/>
  </r>
  <r>
    <n v="10412"/>
    <n v="47"/>
    <n v="61.99"/>
    <n v="11"/>
    <n v="2913.53"/>
    <d v="2005-05-03T00:00:00"/>
    <s v="Shipped"/>
    <n v="2"/>
    <x v="1"/>
    <n v="2005"/>
    <x v="2"/>
    <n v="60"/>
    <s v="S18_2432"/>
    <s v="Euro Shopping Channel"/>
    <s v="(91) 555 94 44"/>
    <s v="C/ Moralzarzal, 86"/>
    <m/>
    <s v="Madrid"/>
    <m/>
    <n v="28034"/>
    <s v="Spain"/>
    <s v="EMEA"/>
    <s v="Freyre"/>
    <s v="Diego"/>
    <s v="Small"/>
    <n v="2913.53"/>
  </r>
  <r>
    <n v="10425"/>
    <n v="19"/>
    <n v="49.22"/>
    <n v="10"/>
    <n v="935.18"/>
    <d v="2005-05-31T00:00:00"/>
    <s v="In Process"/>
    <n v="2"/>
    <x v="1"/>
    <n v="2005"/>
    <x v="2"/>
    <n v="60"/>
    <s v="S18_2432"/>
    <s v="La Rochelle Gifts"/>
    <s v="40.67.8555"/>
    <s v="67, rue des Cinquante Otages"/>
    <m/>
    <s v="Nantes"/>
    <m/>
    <n v="44000"/>
    <s v="France"/>
    <s v="EMEA"/>
    <s v="Labrune"/>
    <s v="Janine"/>
    <s v="Small"/>
    <n v="935.18"/>
  </r>
  <r>
    <n v="10106"/>
    <n v="34"/>
    <n v="90.39"/>
    <n v="2"/>
    <n v="3073.26"/>
    <d v="2003-02-17T00:00:00"/>
    <s v="Shipped"/>
    <n v="1"/>
    <x v="0"/>
    <n v="2003"/>
    <x v="4"/>
    <n v="84"/>
    <s v="S18_2581"/>
    <s v="Rovelli Gifts"/>
    <s v="035-640555"/>
    <s v="Via Ludovico il Moro 22"/>
    <m/>
    <s v="Bergamo"/>
    <m/>
    <n v="24100"/>
    <s v="Italy"/>
    <s v="EMEA"/>
    <s v="Rovelli"/>
    <s v="Giovanni"/>
    <s v="Medium"/>
    <n v="3073.26"/>
  </r>
  <r>
    <n v="10120"/>
    <n v="29"/>
    <n v="71.81"/>
    <n v="8"/>
    <n v="2082.4899999999998"/>
    <d v="2003-04-29T00:00:00"/>
    <s v="Shipped"/>
    <n v="2"/>
    <x v="8"/>
    <n v="2003"/>
    <x v="4"/>
    <n v="84"/>
    <s v="S18_258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082.4900000000002"/>
  </r>
  <r>
    <n v="10133"/>
    <n v="49"/>
    <n v="69.27"/>
    <n v="3"/>
    <n v="3394.23"/>
    <d v="2003-06-27T00:00:00"/>
    <s v="Shipped"/>
    <n v="2"/>
    <x v="9"/>
    <n v="2003"/>
    <x v="4"/>
    <n v="84"/>
    <s v="S18_2581"/>
    <s v="Euro Shopping Channel"/>
    <s v="(91) 555 94 44"/>
    <s v="C/ Moralzarzal, 86"/>
    <m/>
    <s v="Madrid"/>
    <m/>
    <n v="28034"/>
    <s v="Spain"/>
    <s v="EMEA"/>
    <s v="Freyre"/>
    <s v="Diego"/>
    <s v="Medium"/>
    <n v="3394.23"/>
  </r>
  <r>
    <n v="10145"/>
    <n v="30"/>
    <n v="85.32"/>
    <n v="14"/>
    <n v="2559.6"/>
    <d v="2003-08-25T00:00:00"/>
    <s v="Shipped"/>
    <n v="3"/>
    <x v="3"/>
    <n v="2003"/>
    <x v="4"/>
    <n v="84"/>
    <s v="S18_2581"/>
    <s v="Toys4GrownUps.com"/>
    <n v="6265557265"/>
    <s v="78934 Hillside Dr."/>
    <m/>
    <s v="Pasadena"/>
    <s v="CA"/>
    <n v="90003"/>
    <s v="USA"/>
    <s v="NA"/>
    <s v="Young"/>
    <s v="Julie"/>
    <s v="Small"/>
    <n v="2559.6"/>
  </r>
  <r>
    <n v="10168"/>
    <n v="21"/>
    <n v="70.959999999999994"/>
    <n v="9"/>
    <n v="1490.16"/>
    <d v="2003-10-28T00:00:00"/>
    <s v="Shipped"/>
    <n v="4"/>
    <x v="4"/>
    <n v="2003"/>
    <x v="4"/>
    <n v="84"/>
    <s v="S18_2581"/>
    <s v="Technics Stores Inc."/>
    <n v="6505556809"/>
    <s v="9408 Furth Circle"/>
    <m/>
    <s v="Burlingame"/>
    <s v="CA"/>
    <n v="94217"/>
    <s v="USA"/>
    <s v="NA"/>
    <s v="Hirano"/>
    <s v="Juri"/>
    <s v="Small"/>
    <n v="1490.1599999999999"/>
  </r>
  <r>
    <n v="10210"/>
    <n v="50"/>
    <n v="76.88"/>
    <n v="7"/>
    <n v="3844"/>
    <d v="2004-01-12T00:00:00"/>
    <s v="Shipped"/>
    <n v="1"/>
    <x v="7"/>
    <n v="2004"/>
    <x v="4"/>
    <n v="84"/>
    <s v="S18_2581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n v="3844"/>
  </r>
  <r>
    <n v="10223"/>
    <n v="47"/>
    <n v="100"/>
    <n v="9"/>
    <n v="4724.91"/>
    <d v="2004-02-20T00:00:00"/>
    <s v="Shipped"/>
    <n v="1"/>
    <x v="0"/>
    <n v="2004"/>
    <x v="4"/>
    <n v="84"/>
    <s v="S18_258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4700"/>
  </r>
  <r>
    <n v="10235"/>
    <n v="24"/>
    <n v="76.03"/>
    <n v="3"/>
    <n v="1824.72"/>
    <d v="2004-04-02T00:00:00"/>
    <s v="Shipped"/>
    <n v="2"/>
    <x v="8"/>
    <n v="2004"/>
    <x v="4"/>
    <n v="84"/>
    <s v="S18_258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1824.72"/>
  </r>
  <r>
    <n v="10250"/>
    <n v="27"/>
    <n v="98.84"/>
    <n v="4"/>
    <n v="2668.68"/>
    <d v="2004-05-11T00:00:00"/>
    <s v="Shipped"/>
    <n v="2"/>
    <x v="1"/>
    <n v="2004"/>
    <x v="4"/>
    <n v="84"/>
    <s v="S18_2581"/>
    <s v="The Sharp Gifts Warehouse"/>
    <n v="4085553659"/>
    <s v="3086 Ingle Ln."/>
    <m/>
    <s v="San Jose"/>
    <s v="CA"/>
    <n v="94217"/>
    <s v="USA"/>
    <s v="NA"/>
    <s v="Frick"/>
    <s v="Sue"/>
    <s v="Small"/>
    <n v="2668.6800000000003"/>
  </r>
  <r>
    <n v="10263"/>
    <n v="33"/>
    <n v="86.17"/>
    <n v="10"/>
    <n v="2843.61"/>
    <d v="2004-06-28T00:00:00"/>
    <s v="Shipped"/>
    <n v="2"/>
    <x v="9"/>
    <n v="2004"/>
    <x v="4"/>
    <n v="84"/>
    <s v="S18_2581"/>
    <s v="Gift Depot Inc."/>
    <n v="2035552570"/>
    <s v="25593 South Bay Ln."/>
    <m/>
    <s v="Bridgewater"/>
    <s v="CT"/>
    <n v="97562"/>
    <s v="USA"/>
    <s v="NA"/>
    <s v="King"/>
    <s v="Julie"/>
    <s v="Small"/>
    <n v="2843.61"/>
  </r>
  <r>
    <n v="10275"/>
    <n v="35"/>
    <n v="90.39"/>
    <n v="9"/>
    <n v="3163.65"/>
    <d v="2004-07-23T00:00:00"/>
    <s v="Shipped"/>
    <n v="3"/>
    <x v="2"/>
    <n v="2004"/>
    <x v="4"/>
    <n v="84"/>
    <s v="S18_2581"/>
    <s v="La Rochelle Gifts"/>
    <s v="40.67.8555"/>
    <s v="67, rue des Cinquante Otages"/>
    <m/>
    <s v="Nantes"/>
    <m/>
    <n v="44000"/>
    <s v="France"/>
    <s v="EMEA"/>
    <s v="Labrune"/>
    <s v="Janine"/>
    <s v="Medium"/>
    <n v="3163.65"/>
  </r>
  <r>
    <n v="10284"/>
    <n v="31"/>
    <n v="71.81"/>
    <n v="1"/>
    <n v="2226.11"/>
    <d v="2004-08-21T00:00:00"/>
    <s v="Shipped"/>
    <n v="3"/>
    <x v="3"/>
    <n v="2004"/>
    <x v="4"/>
    <n v="84"/>
    <s v="S18_2581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2226.11"/>
  </r>
  <r>
    <n v="10297"/>
    <n v="25"/>
    <n v="82.79"/>
    <n v="4"/>
    <n v="2069.75"/>
    <d v="2004-09-16T00:00:00"/>
    <s v="Shipped"/>
    <n v="3"/>
    <x v="10"/>
    <n v="2004"/>
    <x v="4"/>
    <n v="84"/>
    <s v="S18_2581"/>
    <s v="Clover Collections, Co."/>
    <s v="+353 1862 1555"/>
    <s v="25 Maiden Lane"/>
    <s v="Floor No. 4"/>
    <s v="Dublin"/>
    <m/>
    <n v="2"/>
    <s v="Ireland"/>
    <s v="EMEA"/>
    <s v="Cassidy"/>
    <s v="Dean"/>
    <s v="Small"/>
    <n v="2069.75"/>
  </r>
  <r>
    <n v="10308"/>
    <n v="27"/>
    <n v="82.79"/>
    <n v="7"/>
    <n v="2235.33"/>
    <d v="2004-10-15T00:00:00"/>
    <s v="Shipped"/>
    <n v="4"/>
    <x v="4"/>
    <n v="2004"/>
    <x v="4"/>
    <n v="84"/>
    <s v="S18_2581"/>
    <s v="Mini Classics"/>
    <n v="9145554562"/>
    <s v="3758 North Pendale Street"/>
    <m/>
    <s v="White Plains"/>
    <s v="NY"/>
    <n v="24067"/>
    <s v="USA"/>
    <s v="NA"/>
    <s v="Frick"/>
    <s v="Steve"/>
    <s v="Small"/>
    <n v="2235.3300000000004"/>
  </r>
  <r>
    <n v="10318"/>
    <n v="31"/>
    <n v="100"/>
    <n v="9"/>
    <n v="3116.43"/>
    <d v="2004-11-02T00:00:00"/>
    <s v="Shipped"/>
    <n v="4"/>
    <x v="5"/>
    <n v="2004"/>
    <x v="4"/>
    <n v="84"/>
    <s v="S18_2581"/>
    <s v="Diecast Classics Inc."/>
    <n v="2155551555"/>
    <s v="7586 Pompton St."/>
    <m/>
    <s v="Allentown"/>
    <s v="PA"/>
    <n v="70267"/>
    <s v="USA"/>
    <s v="NA"/>
    <s v="Yu"/>
    <s v="Kyung"/>
    <s v="Medium"/>
    <n v="3100"/>
  </r>
  <r>
    <n v="10327"/>
    <n v="45"/>
    <n v="100"/>
    <n v="8"/>
    <n v="4781.7"/>
    <d v="2004-11-10T00:00:00"/>
    <s v="Resolved"/>
    <n v="4"/>
    <x v="5"/>
    <n v="2004"/>
    <x v="4"/>
    <n v="84"/>
    <s v="S18_2581"/>
    <s v="Danish Wholesale Imports"/>
    <s v="31 12 3555"/>
    <s v="Vinb'ltet 34"/>
    <m/>
    <s v="Kobenhavn"/>
    <m/>
    <n v="1734"/>
    <s v="Denmark"/>
    <s v="EMEA"/>
    <s v="Petersen"/>
    <s v="Jytte"/>
    <s v="Medium"/>
    <n v="4500"/>
  </r>
  <r>
    <n v="10339"/>
    <n v="27"/>
    <n v="100"/>
    <n v="2"/>
    <n v="2810.7"/>
    <d v="2004-11-23T00:00:00"/>
    <s v="Shipped"/>
    <n v="4"/>
    <x v="5"/>
    <n v="2004"/>
    <x v="4"/>
    <n v="84"/>
    <s v="S18_2581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700"/>
  </r>
  <r>
    <n v="10353"/>
    <n v="27"/>
    <n v="100"/>
    <n v="1"/>
    <n v="3515.67"/>
    <d v="2004-12-04T00:00:00"/>
    <s v="Shipped"/>
    <n v="4"/>
    <x v="6"/>
    <n v="2004"/>
    <x v="4"/>
    <n v="84"/>
    <s v="S18_2581"/>
    <s v="Gift Ideas Corp."/>
    <n v="2035554407"/>
    <s v="2440 Pompton St."/>
    <m/>
    <s v="Glendale"/>
    <s v="CT"/>
    <n v="97561"/>
    <s v="USA"/>
    <s v="NA"/>
    <s v="Lewis"/>
    <s v="Dan"/>
    <s v="Medium"/>
    <n v="2700"/>
  </r>
  <r>
    <n v="10374"/>
    <n v="42"/>
    <n v="69.27"/>
    <n v="2"/>
    <n v="2909.34"/>
    <d v="2005-02-02T00:00:00"/>
    <s v="Shipped"/>
    <n v="1"/>
    <x v="0"/>
    <n v="2005"/>
    <x v="4"/>
    <n v="84"/>
    <s v="S18_2581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  <n v="2909.3399999999997"/>
  </r>
  <r>
    <n v="10386"/>
    <n v="21"/>
    <n v="74.77"/>
    <n v="18"/>
    <n v="1570.17"/>
    <d v="2005-03-01T00:00:00"/>
    <s v="Resolved"/>
    <n v="1"/>
    <x v="11"/>
    <n v="2005"/>
    <x v="4"/>
    <n v="84"/>
    <s v="S18_2581"/>
    <s v="Euro Shopping Channel"/>
    <s v="(91) 555 94 44"/>
    <s v="C/ Moralzarzal, 86"/>
    <m/>
    <s v="Madrid"/>
    <m/>
    <n v="28034"/>
    <s v="Spain"/>
    <s v="EMEA"/>
    <s v="Freyre"/>
    <s v="Diego"/>
    <s v="Small"/>
    <n v="1570.1699999999998"/>
  </r>
  <r>
    <n v="10398"/>
    <n v="34"/>
    <n v="76.88"/>
    <n v="15"/>
    <n v="2613.92"/>
    <d v="2005-03-30T00:00:00"/>
    <s v="Shipped"/>
    <n v="1"/>
    <x v="11"/>
    <n v="2005"/>
    <x v="4"/>
    <n v="84"/>
    <s v="S18_2581"/>
    <s v="Reims Collectables"/>
    <s v="26.47.1555"/>
    <s v="59 rue de l'Abbaye"/>
    <m/>
    <s v="Reims"/>
    <m/>
    <n v="51100"/>
    <s v="France"/>
    <s v="EMEA"/>
    <s v="Henriot"/>
    <s v="Paul"/>
    <s v="Small"/>
    <n v="2613.92"/>
  </r>
  <r>
    <n v="10401"/>
    <n v="42"/>
    <n v="76.03"/>
    <n v="3"/>
    <n v="3193.26"/>
    <d v="2005-04-03T00:00:00"/>
    <s v="On Hold"/>
    <n v="2"/>
    <x v="8"/>
    <n v="2005"/>
    <x v="4"/>
    <n v="84"/>
    <s v="S18_2581"/>
    <s v="Tekni Collectables Inc."/>
    <n v="2015559350"/>
    <s v="7476 Moss Rd."/>
    <m/>
    <s v="Newark"/>
    <s v="NJ"/>
    <n v="94019"/>
    <s v="USA"/>
    <s v="NA"/>
    <s v="Brown"/>
    <s v="William"/>
    <s v="Medium"/>
    <n v="3193.26"/>
  </r>
  <r>
    <n v="10416"/>
    <n v="15"/>
    <n v="98.84"/>
    <n v="4"/>
    <n v="1482.6"/>
    <d v="2005-05-10T00:00:00"/>
    <s v="Shipped"/>
    <n v="2"/>
    <x v="1"/>
    <n v="2005"/>
    <x v="4"/>
    <n v="84"/>
    <s v="S18_2581"/>
    <s v="L'ordine Souveniers"/>
    <s v="0522-556555"/>
    <s v="Strada Provinciale 124"/>
    <m/>
    <s v="Reggio Emilia"/>
    <m/>
    <n v="42100"/>
    <s v="Italy"/>
    <s v="EMEA"/>
    <s v="Moroni"/>
    <s v="Maurizio"/>
    <s v="Small"/>
    <n v="1482.6000000000001"/>
  </r>
  <r>
    <n v="10107"/>
    <n v="29"/>
    <n v="70.87"/>
    <n v="6"/>
    <n v="2055.23"/>
    <d v="2003-02-24T00:00:00"/>
    <s v="Shipped"/>
    <n v="1"/>
    <x v="0"/>
    <n v="2003"/>
    <x v="0"/>
    <n v="60"/>
    <s v="S18_2625"/>
    <s v="Land of Toys Inc."/>
    <n v="2125557818"/>
    <s v="897 Long Airport Avenue"/>
    <m/>
    <s v="NYC"/>
    <s v="NY"/>
    <n v="10022"/>
    <s v="USA"/>
    <s v="NA"/>
    <s v="Yu"/>
    <s v="Kwai"/>
    <s v="Small"/>
    <n v="2055.23"/>
  </r>
  <r>
    <n v="10120"/>
    <n v="46"/>
    <n v="58.15"/>
    <n v="4"/>
    <n v="2674.9"/>
    <d v="2003-04-29T00:00:00"/>
    <s v="Shipped"/>
    <n v="2"/>
    <x v="8"/>
    <n v="2003"/>
    <x v="0"/>
    <n v="60"/>
    <s v="S18_2625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674.9"/>
  </r>
  <r>
    <n v="10134"/>
    <n v="30"/>
    <n v="61.78"/>
    <n v="6"/>
    <n v="1853.4"/>
    <d v="2003-07-01T00:00:00"/>
    <s v="Shipped"/>
    <n v="3"/>
    <x v="2"/>
    <n v="2003"/>
    <x v="0"/>
    <n v="60"/>
    <s v="S18_2625"/>
    <s v="Lyon Souveniers"/>
    <s v="+33 1 46 62 7555"/>
    <s v="27 rue du Colonel Pierre Avia"/>
    <m/>
    <s v="Paris"/>
    <m/>
    <n v="75508"/>
    <s v="France"/>
    <s v="EMEA"/>
    <s v="Da Cunha"/>
    <s v="Daniel"/>
    <s v="Small"/>
    <n v="1853.4"/>
  </r>
  <r>
    <n v="10145"/>
    <n v="30"/>
    <n v="49.67"/>
    <n v="10"/>
    <n v="1490.1"/>
    <d v="2003-08-25T00:00:00"/>
    <s v="Shipped"/>
    <n v="3"/>
    <x v="3"/>
    <n v="2003"/>
    <x v="0"/>
    <n v="60"/>
    <s v="S18_2625"/>
    <s v="Toys4GrownUps.com"/>
    <n v="6265557265"/>
    <s v="78934 Hillside Dr."/>
    <m/>
    <s v="Pasadena"/>
    <s v="CA"/>
    <n v="90003"/>
    <s v="USA"/>
    <s v="NA"/>
    <s v="Young"/>
    <s v="Julie"/>
    <s v="Small"/>
    <n v="1490.1000000000001"/>
  </r>
  <r>
    <n v="10159"/>
    <n v="42"/>
    <n v="51.48"/>
    <n v="18"/>
    <n v="2162.16"/>
    <d v="2003-10-10T00:00:00"/>
    <s v="Shipped"/>
    <n v="4"/>
    <x v="4"/>
    <n v="2003"/>
    <x v="0"/>
    <n v="60"/>
    <s v="S18_2625"/>
    <s v="Corporate Gift Ideas Co."/>
    <n v="6505551386"/>
    <s v="7734 Strong St."/>
    <m/>
    <s v="San Francisco"/>
    <s v="CA"/>
    <m/>
    <s v="USA"/>
    <s v="NA"/>
    <s v="Brown"/>
    <s v="Julie"/>
    <s v="Small"/>
    <n v="2162.16"/>
  </r>
  <r>
    <n v="10168"/>
    <n v="46"/>
    <n v="61.18"/>
    <n v="5"/>
    <n v="2814.28"/>
    <d v="2003-10-28T00:00:00"/>
    <s v="Shipped"/>
    <n v="4"/>
    <x v="4"/>
    <n v="2003"/>
    <x v="0"/>
    <n v="60"/>
    <s v="S18_2625"/>
    <s v="Technics Stores Inc."/>
    <n v="6505556809"/>
    <s v="9408 Furth Circle"/>
    <m/>
    <s v="Burlingame"/>
    <s v="CA"/>
    <n v="94217"/>
    <s v="USA"/>
    <s v="NA"/>
    <s v="Hirano"/>
    <s v="Juri"/>
    <s v="Small"/>
    <n v="2814.28"/>
  </r>
  <r>
    <n v="10180"/>
    <n v="25"/>
    <n v="64.2"/>
    <n v="13"/>
    <n v="1605"/>
    <d v="2003-11-11T00:00:00"/>
    <s v="Shipped"/>
    <n v="4"/>
    <x v="5"/>
    <n v="2003"/>
    <x v="0"/>
    <n v="60"/>
    <s v="S18_2625"/>
    <s v="Daedalus Designs Imports"/>
    <s v="20.16.1555"/>
    <s v="184, chausse de Tournai"/>
    <m/>
    <s v="Lille"/>
    <m/>
    <n v="59000"/>
    <s v="France"/>
    <s v="EMEA"/>
    <s v="Rance"/>
    <s v="Martine"/>
    <s v="Small"/>
    <n v="1605"/>
  </r>
  <r>
    <n v="10188"/>
    <n v="32"/>
    <n v="65.42"/>
    <n v="5"/>
    <n v="2093.44"/>
    <d v="2003-11-18T00:00:00"/>
    <s v="Shipped"/>
    <n v="4"/>
    <x v="5"/>
    <n v="2003"/>
    <x v="0"/>
    <n v="60"/>
    <s v="S18_2625"/>
    <s v="Herkku Gifts"/>
    <s v="+47 2267 3215"/>
    <s v="Drammen 121, PR 744 Sentrum"/>
    <m/>
    <s v="Bergen"/>
    <m/>
    <s v="N 5804"/>
    <s v="Norway"/>
    <s v="EMEA"/>
    <s v="Oeztan"/>
    <s v="Veysel"/>
    <s v="Small"/>
    <n v="2093.44"/>
  </r>
  <r>
    <n v="10201"/>
    <n v="30"/>
    <n v="64.81"/>
    <n v="6"/>
    <n v="1944.3"/>
    <d v="2003-12-01T00:00:00"/>
    <s v="Shipped"/>
    <n v="4"/>
    <x v="6"/>
    <n v="2003"/>
    <x v="0"/>
    <n v="60"/>
    <s v="S18_2625"/>
    <s v="Mini Wheels Co."/>
    <n v="6505555787"/>
    <s v="5557 North Pendale Street"/>
    <m/>
    <s v="San Francisco"/>
    <s v="CA"/>
    <m/>
    <s v="USA"/>
    <s v="NA"/>
    <s v="Murphy"/>
    <s v="Julie"/>
    <s v="Small"/>
    <n v="1944.3000000000002"/>
  </r>
  <r>
    <n v="10210"/>
    <n v="40"/>
    <n v="49.67"/>
    <n v="3"/>
    <n v="1986.8"/>
    <d v="2004-01-12T00:00:00"/>
    <s v="Shipped"/>
    <n v="1"/>
    <x v="7"/>
    <n v="2004"/>
    <x v="0"/>
    <n v="60"/>
    <s v="S18_2625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1986.8000000000002"/>
  </r>
  <r>
    <n v="10223"/>
    <n v="28"/>
    <n v="60.57"/>
    <n v="5"/>
    <n v="1695.96"/>
    <d v="2004-02-20T00:00:00"/>
    <s v="Shipped"/>
    <n v="1"/>
    <x v="0"/>
    <n v="2004"/>
    <x v="0"/>
    <n v="60"/>
    <s v="S18_2625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695.96"/>
  </r>
  <r>
    <n v="10236"/>
    <n v="23"/>
    <n v="55.72"/>
    <n v="2"/>
    <n v="1281.56"/>
    <d v="2004-04-03T00:00:00"/>
    <s v="Shipped"/>
    <n v="2"/>
    <x v="8"/>
    <n v="2004"/>
    <x v="0"/>
    <n v="60"/>
    <s v="S18_2625"/>
    <s v="Motor Mint Distributors Inc."/>
    <n v="2155559857"/>
    <s v="11328 Douglas Av."/>
    <m/>
    <s v="Philadelphia"/>
    <s v="PA"/>
    <n v="71270"/>
    <s v="USA"/>
    <s v="NA"/>
    <s v="Hernandez"/>
    <s v="Rosa"/>
    <s v="Small"/>
    <n v="1281.56"/>
  </r>
  <r>
    <n v="10251"/>
    <n v="29"/>
    <n v="61.18"/>
    <n v="6"/>
    <n v="1774.22"/>
    <d v="2004-05-18T00:00:00"/>
    <s v="Shipped"/>
    <n v="2"/>
    <x v="1"/>
    <n v="2004"/>
    <x v="0"/>
    <n v="60"/>
    <s v="S18_2625"/>
    <s v="Tekni Collectables Inc."/>
    <n v="2015559350"/>
    <s v="7476 Moss Rd."/>
    <m/>
    <s v="Newark"/>
    <s v="NJ"/>
    <n v="94019"/>
    <s v="USA"/>
    <s v="NA"/>
    <s v="Brown"/>
    <s v="William"/>
    <s v="Small"/>
    <n v="1774.22"/>
  </r>
  <r>
    <n v="10263"/>
    <n v="34"/>
    <n v="58.75"/>
    <n v="6"/>
    <n v="1997.5"/>
    <d v="2004-06-28T00:00:00"/>
    <s v="Shipped"/>
    <n v="2"/>
    <x v="9"/>
    <n v="2004"/>
    <x v="0"/>
    <n v="60"/>
    <s v="S18_2625"/>
    <s v="Gift Depot Inc."/>
    <n v="2035552570"/>
    <s v="25593 South Bay Ln."/>
    <m/>
    <s v="Bridgewater"/>
    <s v="CT"/>
    <n v="97562"/>
    <s v="USA"/>
    <s v="NA"/>
    <s v="King"/>
    <s v="Julie"/>
    <s v="Small"/>
    <n v="1997.5"/>
  </r>
  <r>
    <n v="10275"/>
    <n v="37"/>
    <n v="63.6"/>
    <n v="5"/>
    <n v="2353.1999999999998"/>
    <d v="2004-07-23T00:00:00"/>
    <s v="Shipped"/>
    <n v="3"/>
    <x v="2"/>
    <n v="2004"/>
    <x v="0"/>
    <n v="60"/>
    <s v="S18_2625"/>
    <s v="La Rochelle Gifts"/>
    <s v="40.67.8555"/>
    <s v="67, rue des Cinquante Otages"/>
    <m/>
    <s v="Nantes"/>
    <m/>
    <n v="44000"/>
    <s v="France"/>
    <s v="EMEA"/>
    <s v="Labrune"/>
    <s v="Janine"/>
    <s v="Small"/>
    <n v="2353.2000000000003"/>
  </r>
  <r>
    <n v="10285"/>
    <n v="20"/>
    <n v="49.06"/>
    <n v="10"/>
    <n v="981.2"/>
    <d v="2004-08-27T00:00:00"/>
    <s v="Shipped"/>
    <n v="3"/>
    <x v="3"/>
    <n v="2004"/>
    <x v="0"/>
    <n v="60"/>
    <s v="S18_2625"/>
    <s v="Marta's Replicas Co."/>
    <n v="6175558555"/>
    <s v="39323 Spinnaker Dr."/>
    <m/>
    <s v="Cambridge"/>
    <s v="MA"/>
    <n v="51247"/>
    <s v="USA"/>
    <s v="NA"/>
    <s v="Hernandez"/>
    <s v="Marta"/>
    <s v="Small"/>
    <n v="981.2"/>
  </r>
  <r>
    <n v="10298"/>
    <n v="32"/>
    <n v="48.46"/>
    <n v="2"/>
    <n v="1550.72"/>
    <d v="2004-09-27T00:00:00"/>
    <s v="Shipped"/>
    <n v="3"/>
    <x v="10"/>
    <n v="2004"/>
    <x v="0"/>
    <n v="60"/>
    <s v="S18_2625"/>
    <s v="Atelier graphique"/>
    <s v="40.32.2555"/>
    <s v="54, rue Royale"/>
    <m/>
    <s v="Nantes"/>
    <m/>
    <n v="44000"/>
    <s v="France"/>
    <s v="EMEA"/>
    <s v="Schmitt"/>
    <s v="Carine"/>
    <s v="Small"/>
    <n v="1550.72"/>
  </r>
  <r>
    <n v="10308"/>
    <n v="34"/>
    <n v="52.09"/>
    <n v="3"/>
    <n v="1771.06"/>
    <d v="2004-10-15T00:00:00"/>
    <s v="Shipped"/>
    <n v="4"/>
    <x v="4"/>
    <n v="2004"/>
    <x v="0"/>
    <n v="60"/>
    <s v="S18_2625"/>
    <s v="Mini Classics"/>
    <n v="9145554562"/>
    <s v="3758 North Pendale Street"/>
    <m/>
    <s v="White Plains"/>
    <s v="NY"/>
    <n v="24067"/>
    <s v="USA"/>
    <s v="NA"/>
    <s v="Frick"/>
    <s v="Steve"/>
    <s v="Small"/>
    <n v="1771.0600000000002"/>
  </r>
  <r>
    <n v="10318"/>
    <n v="42"/>
    <n v="52.7"/>
    <n v="5"/>
    <n v="2213.4"/>
    <d v="2004-11-02T00:00:00"/>
    <s v="Shipped"/>
    <n v="4"/>
    <x v="5"/>
    <n v="2004"/>
    <x v="0"/>
    <n v="60"/>
    <s v="S18_2625"/>
    <s v="Diecast Classics Inc."/>
    <n v="2155551555"/>
    <s v="7586 Pompton St."/>
    <m/>
    <s v="Allentown"/>
    <s v="PA"/>
    <n v="70267"/>
    <s v="USA"/>
    <s v="NA"/>
    <s v="Yu"/>
    <s v="Kyung"/>
    <s v="Small"/>
    <n v="2213.4"/>
  </r>
  <r>
    <n v="10329"/>
    <n v="38"/>
    <n v="100"/>
    <n v="12"/>
    <n v="5266.04"/>
    <d v="2004-11-15T00:00:00"/>
    <s v="Shipped"/>
    <n v="4"/>
    <x v="5"/>
    <n v="2004"/>
    <x v="0"/>
    <n v="60"/>
    <s v="S18_2625"/>
    <s v="Land of Toys Inc."/>
    <n v="2125557818"/>
    <s v="897 Long Airport Avenue"/>
    <m/>
    <s v="NYC"/>
    <s v="NY"/>
    <n v="10022"/>
    <s v="USA"/>
    <s v="NA"/>
    <s v="Yu"/>
    <s v="Kwai"/>
    <s v="Medium"/>
    <n v="3800"/>
  </r>
  <r>
    <n v="10339"/>
    <n v="30"/>
    <n v="62.16"/>
    <n v="1"/>
    <n v="1864.8"/>
    <d v="2004-11-23T00:00:00"/>
    <s v="Shipped"/>
    <n v="4"/>
    <x v="5"/>
    <n v="2004"/>
    <x v="0"/>
    <n v="60"/>
    <s v="S18_2625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1864.8"/>
  </r>
  <r>
    <n v="10362"/>
    <n v="23"/>
    <n v="49.67"/>
    <n v="3"/>
    <n v="1142.4100000000001"/>
    <d v="2005-01-05T00:00:00"/>
    <s v="Shipped"/>
    <n v="1"/>
    <x v="7"/>
    <n v="2005"/>
    <x v="0"/>
    <n v="60"/>
    <s v="S18_2625"/>
    <s v="Technics Stores Inc."/>
    <n v="6505556809"/>
    <s v="9408 Furth Circle"/>
    <m/>
    <s v="Burlingame"/>
    <s v="CA"/>
    <n v="94217"/>
    <s v="USA"/>
    <s v="NA"/>
    <s v="Hirano"/>
    <s v="Juri"/>
    <s v="Small"/>
    <n v="1142.4100000000001"/>
  </r>
  <r>
    <n v="10374"/>
    <n v="22"/>
    <n v="53.3"/>
    <n v="4"/>
    <n v="1172.5999999999999"/>
    <d v="2005-02-02T00:00:00"/>
    <s v="Shipped"/>
    <n v="1"/>
    <x v="0"/>
    <n v="2005"/>
    <x v="0"/>
    <n v="60"/>
    <s v="S18_2625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  <n v="1172.5999999999999"/>
  </r>
  <r>
    <n v="10389"/>
    <n v="39"/>
    <n v="100"/>
    <n v="5"/>
    <n v="6981"/>
    <d v="2005-03-03T00:00:00"/>
    <s v="Shipped"/>
    <n v="1"/>
    <x v="11"/>
    <n v="2005"/>
    <x v="0"/>
    <n v="60"/>
    <s v="S18_2625"/>
    <s v="Scandinavian Gift Ideas"/>
    <s v="0695-34 6555"/>
    <s v="?kergatan 24"/>
    <m/>
    <s v="Boras"/>
    <m/>
    <s v="S-844 67"/>
    <s v="Sweden"/>
    <s v="EMEA"/>
    <s v="Larsson"/>
    <s v="Maria"/>
    <s v="Medium"/>
    <n v="3900"/>
  </r>
  <r>
    <n v="10402"/>
    <n v="55"/>
    <n v="55.72"/>
    <n v="2"/>
    <n v="3064.6"/>
    <d v="2005-04-07T00:00:00"/>
    <s v="Shipped"/>
    <n v="2"/>
    <x v="8"/>
    <n v="2005"/>
    <x v="0"/>
    <n v="60"/>
    <s v="S18_2625"/>
    <s v="Auto Canal Petit"/>
    <s v="(1) 47.55.6555"/>
    <s v="25, rue Lauriston"/>
    <m/>
    <s v="Paris"/>
    <m/>
    <n v="75016"/>
    <s v="France"/>
    <s v="EMEA"/>
    <s v="Perrier"/>
    <s v="Dominique"/>
    <s v="Medium"/>
    <n v="3064.6"/>
  </r>
  <r>
    <n v="10417"/>
    <n v="36"/>
    <n v="61.18"/>
    <n v="6"/>
    <n v="2202.48"/>
    <d v="2005-05-13T00:00:00"/>
    <s v="Disputed"/>
    <n v="2"/>
    <x v="1"/>
    <n v="2005"/>
    <x v="0"/>
    <n v="60"/>
    <s v="S18_2625"/>
    <s v="Euro Shopping Channel"/>
    <s v="(91) 555 94 44"/>
    <s v="C/ Moralzarzal, 86"/>
    <m/>
    <s v="Madrid"/>
    <m/>
    <n v="28034"/>
    <s v="Spain"/>
    <s v="EMEA"/>
    <s v="Freyre"/>
    <s v="Diego"/>
    <s v="Small"/>
    <n v="2202.48"/>
  </r>
  <r>
    <n v="10101"/>
    <n v="26"/>
    <n v="100"/>
    <n v="1"/>
    <n v="3773.38"/>
    <d v="2003-01-09T00:00:00"/>
    <s v="Shipped"/>
    <n v="1"/>
    <x v="7"/>
    <n v="2003"/>
    <x v="3"/>
    <n v="168"/>
    <s v="S18_2795"/>
    <s v="Blauer See Auto, Co."/>
    <s v="+49 69 66 90 2555"/>
    <s v="Lyonerstr. 34"/>
    <m/>
    <s v="Frankfurt"/>
    <m/>
    <n v="60528"/>
    <s v="Germany"/>
    <s v="EMEA"/>
    <s v="Keitel"/>
    <s v="Roland"/>
    <s v="Medium"/>
    <n v="2600"/>
  </r>
  <r>
    <n v="10110"/>
    <n v="31"/>
    <n v="100"/>
    <n v="1"/>
    <n v="5074.3900000000003"/>
    <d v="2003-03-18T00:00:00"/>
    <s v="Shipped"/>
    <n v="1"/>
    <x v="11"/>
    <n v="2003"/>
    <x v="3"/>
    <n v="168"/>
    <s v="S18_2795"/>
    <s v="AV Stores, Co."/>
    <s v="(171) 555-1555"/>
    <s v="Fauntleroy Circus"/>
    <m/>
    <s v="Manchester"/>
    <m/>
    <s v="EC2 5NT"/>
    <s v="UK"/>
    <s v="EMEA"/>
    <s v="Ashworth"/>
    <s v="Victoria"/>
    <s v="Medium"/>
    <n v="3100"/>
  </r>
  <r>
    <n v="10125"/>
    <n v="34"/>
    <n v="100"/>
    <n v="2"/>
    <n v="6483.46"/>
    <d v="2003-05-21T00:00:00"/>
    <s v="Shipped"/>
    <n v="2"/>
    <x v="1"/>
    <n v="2003"/>
    <x v="3"/>
    <n v="168"/>
    <s v="S18_279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400"/>
  </r>
  <r>
    <n v="10139"/>
    <n v="41"/>
    <n v="100"/>
    <n v="8"/>
    <n v="7956.46"/>
    <d v="2003-07-16T00:00:00"/>
    <s v="Shipped"/>
    <n v="3"/>
    <x v="2"/>
    <n v="2003"/>
    <x v="3"/>
    <n v="168"/>
    <s v="S18_2795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Large"/>
    <n v="4100"/>
  </r>
  <r>
    <n v="10149"/>
    <n v="23"/>
    <n v="100"/>
    <n v="5"/>
    <n v="4230.62"/>
    <d v="2003-09-12T00:00:00"/>
    <s v="Shipped"/>
    <n v="3"/>
    <x v="10"/>
    <n v="2003"/>
    <x v="3"/>
    <n v="168"/>
    <s v="S18_2795"/>
    <s v="Signal Collectibles Ltd."/>
    <n v="4155554312"/>
    <s v="2793 Furth Circle"/>
    <m/>
    <s v="Brisbane"/>
    <s v="CA"/>
    <n v="94217"/>
    <s v="USA"/>
    <s v="NA"/>
    <s v="Taylor"/>
    <s v="Sue"/>
    <s v="Medium"/>
    <n v="2300"/>
  </r>
  <r>
    <n v="10162"/>
    <n v="48"/>
    <n v="100"/>
    <n v="3"/>
    <n v="7209.12"/>
    <d v="2003-10-18T00:00:00"/>
    <s v="Shipped"/>
    <n v="4"/>
    <x v="4"/>
    <n v="2003"/>
    <x v="3"/>
    <n v="168"/>
    <s v="S18_2795"/>
    <s v="Corporate Gift Ideas Co."/>
    <n v="6505551386"/>
    <s v="7734 Strong St."/>
    <m/>
    <s v="San Francisco"/>
    <s v="CA"/>
    <m/>
    <s v="USA"/>
    <s v="NA"/>
    <s v="Brown"/>
    <s v="Julie"/>
    <s v="Large"/>
    <n v="4800"/>
  </r>
  <r>
    <n v="10173"/>
    <n v="22"/>
    <n v="100"/>
    <n v="7"/>
    <n v="3452.68"/>
    <d v="2003-11-05T00:00:00"/>
    <s v="Shipped"/>
    <n v="4"/>
    <x v="5"/>
    <n v="2003"/>
    <x v="3"/>
    <n v="168"/>
    <s v="S18_2795"/>
    <s v="Rovelli Gifts"/>
    <s v="035-640555"/>
    <s v="Via Ludovico il Moro 22"/>
    <m/>
    <s v="Bergamo"/>
    <m/>
    <n v="24100"/>
    <s v="Italy"/>
    <s v="EMEA"/>
    <s v="Rovelli"/>
    <s v="Giovanni"/>
    <s v="Medium"/>
    <n v="2200"/>
  </r>
  <r>
    <n v="10182"/>
    <n v="21"/>
    <n v="100"/>
    <n v="4"/>
    <n v="3047.73"/>
    <d v="2003-11-12T00:00:00"/>
    <s v="Shipped"/>
    <n v="4"/>
    <x v="5"/>
    <n v="2003"/>
    <x v="3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  <n v="2100"/>
  </r>
  <r>
    <n v="10193"/>
    <n v="22"/>
    <n v="100"/>
    <n v="8"/>
    <n v="3675.32"/>
    <d v="2003-11-21T00:00:00"/>
    <s v="Shipped"/>
    <n v="4"/>
    <x v="5"/>
    <n v="2003"/>
    <x v="3"/>
    <n v="168"/>
    <s v="S18_2795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n v="2200"/>
  </r>
  <r>
    <n v="10205"/>
    <n v="40"/>
    <n v="100"/>
    <n v="3"/>
    <n v="7492.4"/>
    <d v="2003-12-03T00:00:00"/>
    <s v="Shipped"/>
    <n v="4"/>
    <x v="6"/>
    <n v="2003"/>
    <x v="3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Large"/>
    <n v="4000"/>
  </r>
  <r>
    <n v="10214"/>
    <n v="50"/>
    <n v="100"/>
    <n v="1"/>
    <n v="9534.5"/>
    <d v="2004-01-26T00:00:00"/>
    <s v="Shipped"/>
    <n v="1"/>
    <x v="7"/>
    <n v="2004"/>
    <x v="3"/>
    <n v="168"/>
    <s v="S18_2795"/>
    <s v="Corrida Auto Replicas, Ltd"/>
    <s v="(91) 555 22 82"/>
    <s v="C/ Araquil, 67"/>
    <m/>
    <s v="Madrid"/>
    <m/>
    <n v="28023"/>
    <s v="Spain"/>
    <s v="EMEA"/>
    <s v="Sommer"/>
    <s v="Mart¡n"/>
    <s v="Large"/>
    <n v="5000"/>
  </r>
  <r>
    <n v="10227"/>
    <n v="29"/>
    <n v="100"/>
    <n v="4"/>
    <n v="5579.02"/>
    <d v="2004-03-02T00:00:00"/>
    <s v="Shipped"/>
    <n v="1"/>
    <x v="11"/>
    <n v="2004"/>
    <x v="3"/>
    <n v="168"/>
    <s v="S18_2795"/>
    <s v="Saveley &amp; Henriot, Co."/>
    <s v="78.32.5555"/>
    <s v="2, rue du Commerce"/>
    <m/>
    <s v="Lyon"/>
    <m/>
    <n v="69004"/>
    <s v="France"/>
    <s v="EMEA"/>
    <s v="Saveley"/>
    <s v="Mary"/>
    <s v="Medium"/>
    <n v="2900"/>
  </r>
  <r>
    <n v="10244"/>
    <n v="43"/>
    <n v="100"/>
    <n v="8"/>
    <n v="5950.34"/>
    <d v="2004-04-29T00:00:00"/>
    <s v="Shipped"/>
    <n v="2"/>
    <x v="8"/>
    <n v="2004"/>
    <x v="3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Medium"/>
    <n v="4300"/>
  </r>
  <r>
    <n v="10255"/>
    <n v="24"/>
    <n v="100"/>
    <n v="1"/>
    <n v="3726"/>
    <d v="2004-06-04T00:00:00"/>
    <s v="Shipped"/>
    <n v="2"/>
    <x v="9"/>
    <n v="2004"/>
    <x v="3"/>
    <n v="168"/>
    <s v="S18_2795"/>
    <s v="Mini Caravy"/>
    <s v="88.60.1555"/>
    <s v="24, place Kluber"/>
    <m/>
    <s v="Strasbourg"/>
    <m/>
    <n v="67000"/>
    <s v="France"/>
    <s v="EMEA"/>
    <s v="Citeaux"/>
    <s v="Frederique"/>
    <s v="Medium"/>
    <n v="2400"/>
  </r>
  <r>
    <n v="10280"/>
    <n v="22"/>
    <n v="100"/>
    <n v="10"/>
    <n v="4455"/>
    <d v="2004-08-17T00:00:00"/>
    <s v="Shipped"/>
    <n v="3"/>
    <x v="3"/>
    <n v="2004"/>
    <x v="3"/>
    <n v="168"/>
    <s v="S18_2795"/>
    <s v="Amica Models &amp; Co."/>
    <s v="011-4988555"/>
    <s v="Via Monte Bianco 34"/>
    <m/>
    <s v="Torino"/>
    <m/>
    <n v="10100"/>
    <s v="Italy"/>
    <s v="EMEA"/>
    <s v="Accorti"/>
    <s v="Paolo"/>
    <s v="Medium"/>
    <n v="2200"/>
  </r>
  <r>
    <n v="10289"/>
    <n v="43"/>
    <n v="100"/>
    <n v="3"/>
    <n v="8272.34"/>
    <d v="2004-09-03T00:00:00"/>
    <s v="Shipped"/>
    <n v="3"/>
    <x v="10"/>
    <n v="2004"/>
    <x v="3"/>
    <n v="168"/>
    <s v="S18_2795"/>
    <s v="Herkku Gifts"/>
    <s v="+47 2267 3215"/>
    <s v="Drammen 121, PR 744 Sentrum"/>
    <m/>
    <s v="Bergen"/>
    <m/>
    <s v="N 5804"/>
    <s v="Norway"/>
    <s v="EMEA"/>
    <s v="Oeztan"/>
    <s v="Veysel"/>
    <s v="Large"/>
    <n v="4300"/>
  </r>
  <r>
    <n v="10304"/>
    <n v="20"/>
    <n v="100"/>
    <n v="14"/>
    <n v="3577.6"/>
    <d v="2004-10-11T00:00:00"/>
    <s v="Shipped"/>
    <n v="4"/>
    <x v="4"/>
    <n v="2004"/>
    <x v="3"/>
    <n v="168"/>
    <s v="S18_2795"/>
    <s v="Auto Assoc. &amp; Cie."/>
    <s v="30.59.8555"/>
    <s v="67, avenue de l'Europe"/>
    <m/>
    <s v="Versailles"/>
    <m/>
    <n v="78000"/>
    <s v="France"/>
    <s v="EMEA"/>
    <s v="Tonini"/>
    <s v="Daniel"/>
    <s v="Medium"/>
    <n v="2000"/>
  </r>
  <r>
    <n v="10312"/>
    <n v="25"/>
    <n v="100"/>
    <n v="11"/>
    <n v="3881.25"/>
    <d v="2004-10-21T00:00:00"/>
    <s v="Shipped"/>
    <n v="4"/>
    <x v="4"/>
    <n v="2004"/>
    <x v="3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  <n v="2500"/>
  </r>
  <r>
    <n v="10322"/>
    <n v="36"/>
    <n v="100"/>
    <n v="2"/>
    <n v="5797.44"/>
    <d v="2004-11-04T00:00:00"/>
    <s v="Shipped"/>
    <n v="4"/>
    <x v="5"/>
    <n v="2004"/>
    <x v="3"/>
    <n v="168"/>
    <s v="S18_2795"/>
    <s v="Online Diecast Creations Co."/>
    <n v="6035558647"/>
    <s v="2304 Long Airport Avenue"/>
    <m/>
    <s v="Nashua"/>
    <s v="NH"/>
    <n v="62005"/>
    <s v="USA"/>
    <s v="NA"/>
    <s v="Young"/>
    <s v="Valarie"/>
    <s v="Medium"/>
    <n v="3600"/>
  </r>
  <r>
    <n v="10332"/>
    <n v="24"/>
    <n v="52.67"/>
    <n v="1"/>
    <n v="1264.08"/>
    <d v="2004-11-17T00:00:00"/>
    <s v="Shipped"/>
    <n v="4"/>
    <x v="5"/>
    <n v="2004"/>
    <x v="3"/>
    <n v="168"/>
    <s v="S18_2795"/>
    <s v="AV Stores, Co."/>
    <s v="(171) 555-1555"/>
    <s v="Fauntleroy Circus"/>
    <m/>
    <s v="Manchester"/>
    <m/>
    <s v="EC2 5NT"/>
    <s v="UK"/>
    <s v="EMEA"/>
    <s v="Ashworth"/>
    <s v="Victoria"/>
    <s v="Small"/>
    <n v="1264.08"/>
  </r>
  <r>
    <n v="10347"/>
    <n v="21"/>
    <n v="100"/>
    <n v="6"/>
    <n v="4815.3"/>
    <d v="2004-11-29T00:00:00"/>
    <s v="Shipped"/>
    <n v="4"/>
    <x v="5"/>
    <n v="2004"/>
    <x v="3"/>
    <n v="168"/>
    <s v="S18_279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2100"/>
  </r>
  <r>
    <n v="10356"/>
    <n v="30"/>
    <n v="100"/>
    <n v="1"/>
    <n v="4462.2"/>
    <d v="2004-12-09T00:00:00"/>
    <s v="Shipped"/>
    <n v="4"/>
    <x v="6"/>
    <n v="2004"/>
    <x v="3"/>
    <n v="168"/>
    <s v="S18_2795"/>
    <s v="Lyon Souveniers"/>
    <s v="+33 1 46 62 7555"/>
    <s v="27 rue du Colonel Pierre Avia"/>
    <m/>
    <s v="Paris"/>
    <m/>
    <n v="75508"/>
    <s v="France"/>
    <s v="EMEA"/>
    <s v="Da Cunha"/>
    <s v="Daniel"/>
    <s v="Medium"/>
    <n v="3000"/>
  </r>
  <r>
    <n v="10367"/>
    <n v="32"/>
    <n v="94.79"/>
    <n v="7"/>
    <n v="3033.28"/>
    <d v="2005-01-12T00:00:00"/>
    <s v="Resolved"/>
    <n v="1"/>
    <x v="7"/>
    <n v="2005"/>
    <x v="3"/>
    <n v="168"/>
    <s v="S18_2795"/>
    <s v="Toys4GrownUps.com"/>
    <n v="6265557265"/>
    <s v="78934 Hillside Dr."/>
    <m/>
    <s v="Pasadena"/>
    <s v="CA"/>
    <n v="90003"/>
    <s v="USA"/>
    <s v="NA"/>
    <s v="Young"/>
    <s v="Julie"/>
    <s v="Medium"/>
    <n v="3033.28"/>
  </r>
  <r>
    <n v="10380"/>
    <n v="21"/>
    <n v="47.18"/>
    <n v="8"/>
    <n v="990.78"/>
    <d v="2005-02-16T00:00:00"/>
    <s v="Shipped"/>
    <n v="1"/>
    <x v="0"/>
    <n v="2005"/>
    <x v="3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Small"/>
    <n v="990.78"/>
  </r>
  <r>
    <n v="10390"/>
    <n v="26"/>
    <n v="78.11"/>
    <n v="7"/>
    <n v="2030.86"/>
    <d v="2005-03-04T00:00:00"/>
    <s v="Shipped"/>
    <n v="1"/>
    <x v="11"/>
    <n v="2005"/>
    <x v="3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Small"/>
    <n v="2030.86"/>
  </r>
  <r>
    <n v="10421"/>
    <n v="35"/>
    <n v="100"/>
    <n v="1"/>
    <n v="5433.75"/>
    <d v="2005-05-29T00:00:00"/>
    <s v="In Process"/>
    <n v="2"/>
    <x v="1"/>
    <n v="2005"/>
    <x v="3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  <n v="3500"/>
  </r>
  <r>
    <n v="10109"/>
    <n v="26"/>
    <n v="100"/>
    <n v="1"/>
    <n v="3157.44"/>
    <d v="2003-03-10T00:00:00"/>
    <s v="Shipped"/>
    <n v="1"/>
    <x v="11"/>
    <n v="2003"/>
    <x v="1"/>
    <n v="132"/>
    <s v="S18_2870"/>
    <s v="Motor Mint Distributors Inc."/>
    <n v="2155559857"/>
    <s v="11328 Douglas Av."/>
    <m/>
    <s v="Philadelphia"/>
    <s v="PA"/>
    <n v="71270"/>
    <s v="USA"/>
    <s v="NA"/>
    <s v="Hernandez"/>
    <s v="Rosa"/>
    <s v="Medium"/>
    <n v="2600"/>
  </r>
  <r>
    <n v="10123"/>
    <n v="46"/>
    <n v="100"/>
    <n v="3"/>
    <n v="5161.2"/>
    <d v="2003-05-20T00:00:00"/>
    <s v="Shipped"/>
    <n v="2"/>
    <x v="1"/>
    <n v="2003"/>
    <x v="1"/>
    <n v="132"/>
    <s v="S18_2870"/>
    <s v="Atelier graphique"/>
    <s v="40.32.2555"/>
    <s v="54, rue Royale"/>
    <m/>
    <s v="Nantes"/>
    <m/>
    <n v="44000"/>
    <s v="France"/>
    <s v="EMEA"/>
    <s v="Schmitt"/>
    <s v="Carine"/>
    <s v="Medium"/>
    <n v="4600"/>
  </r>
  <r>
    <n v="10137"/>
    <n v="37"/>
    <n v="100"/>
    <n v="3"/>
    <n v="4346.76"/>
    <d v="2003-07-10T00:00:00"/>
    <s v="Shipped"/>
    <n v="3"/>
    <x v="2"/>
    <n v="2003"/>
    <x v="1"/>
    <n v="132"/>
    <s v="S18_2870"/>
    <s v="Reims Collectables"/>
    <s v="26.47.1555"/>
    <s v="59 rue de l'Abbaye"/>
    <m/>
    <s v="Reims"/>
    <m/>
    <n v="51100"/>
    <s v="France"/>
    <s v="EMEA"/>
    <s v="Henriot"/>
    <s v="Paul"/>
    <s v="Medium"/>
    <n v="3700"/>
  </r>
  <r>
    <n v="10148"/>
    <n v="27"/>
    <n v="100"/>
    <n v="10"/>
    <n v="3528.36"/>
    <d v="2003-09-11T00:00:00"/>
    <s v="Shipped"/>
    <n v="3"/>
    <x v="10"/>
    <n v="2003"/>
    <x v="1"/>
    <n v="132"/>
    <s v="S18_2870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2700"/>
  </r>
  <r>
    <n v="10161"/>
    <n v="23"/>
    <n v="100"/>
    <n v="9"/>
    <n v="3187.8"/>
    <d v="2003-10-17T00:00:00"/>
    <s v="Shipped"/>
    <n v="4"/>
    <x v="4"/>
    <n v="2003"/>
    <x v="1"/>
    <n v="132"/>
    <s v="S18_2870"/>
    <s v="Heintze Collectables"/>
    <s v="86 21 3555"/>
    <s v="Smagsloget 45"/>
    <m/>
    <s v="Aaarhus"/>
    <m/>
    <n v="8200"/>
    <s v="Denmark"/>
    <s v="EMEA"/>
    <s v="Ibsen"/>
    <s v="Palle"/>
    <s v="Medium"/>
    <n v="2300"/>
  </r>
  <r>
    <n v="10172"/>
    <n v="39"/>
    <n v="100"/>
    <n v="7"/>
    <n v="6023.16"/>
    <d v="2003-11-05T00:00:00"/>
    <s v="Shipped"/>
    <n v="4"/>
    <x v="5"/>
    <n v="2003"/>
    <x v="1"/>
    <n v="132"/>
    <s v="S18_2870"/>
    <s v="Gift Depot Inc."/>
    <n v="2035552570"/>
    <s v="25593 South Bay Ln."/>
    <m/>
    <s v="Bridgewater"/>
    <s v="CT"/>
    <n v="97562"/>
    <s v="USA"/>
    <s v="NA"/>
    <s v="King"/>
    <s v="Julie"/>
    <s v="Medium"/>
    <n v="3900"/>
  </r>
  <r>
    <n v="10181"/>
    <n v="27"/>
    <n v="100"/>
    <n v="3"/>
    <n v="3884.76"/>
    <d v="2003-11-12T00:00:00"/>
    <s v="Shipped"/>
    <n v="4"/>
    <x v="5"/>
    <n v="2003"/>
    <x v="1"/>
    <n v="132"/>
    <s v="S18_2870"/>
    <s v="Herkku Gifts"/>
    <s v="+47 2267 3215"/>
    <s v="Drammen 121, PR 744 Sentrum"/>
    <m/>
    <s v="Bergen"/>
    <m/>
    <s v="N 5804"/>
    <s v="Norway"/>
    <s v="EMEA"/>
    <s v="Oeztan"/>
    <s v="Veysel"/>
    <s v="Medium"/>
    <n v="2700"/>
  </r>
  <r>
    <n v="10192"/>
    <n v="38"/>
    <n v="100"/>
    <n v="8"/>
    <n v="4965.84"/>
    <d v="2003-11-20T00:00:00"/>
    <s v="Shipped"/>
    <n v="4"/>
    <x v="5"/>
    <n v="2003"/>
    <x v="1"/>
    <n v="132"/>
    <s v="S18_2870"/>
    <s v="Online Diecast Creations Co."/>
    <n v="6035558647"/>
    <s v="2304 Long Airport Avenue"/>
    <m/>
    <s v="Nashua"/>
    <s v="NH"/>
    <n v="62005"/>
    <s v="USA"/>
    <s v="NA"/>
    <s v="Young"/>
    <s v="Valarie"/>
    <s v="Medium"/>
    <n v="3800"/>
  </r>
  <r>
    <n v="10204"/>
    <n v="27"/>
    <n v="100"/>
    <n v="14"/>
    <n v="4169.88"/>
    <d v="2003-12-02T00:00:00"/>
    <s v="Shipped"/>
    <n v="4"/>
    <x v="6"/>
    <n v="2003"/>
    <x v="1"/>
    <n v="132"/>
    <s v="S18_2870"/>
    <s v="Muscle Machine Inc"/>
    <n v="2125557413"/>
    <s v="4092 Furth Circle"/>
    <s v="Suite 400"/>
    <s v="NYC"/>
    <s v="NY"/>
    <n v="10022"/>
    <s v="USA"/>
    <s v="NA"/>
    <s v="Young"/>
    <s v="Jeff"/>
    <s v="Medium"/>
    <n v="2700"/>
  </r>
  <r>
    <n v="10212"/>
    <n v="40"/>
    <n v="100"/>
    <n v="7"/>
    <n v="4910.3999999999996"/>
    <d v="2004-01-16T00:00:00"/>
    <s v="Shipped"/>
    <n v="1"/>
    <x v="7"/>
    <n v="2004"/>
    <x v="1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  <n v="4000"/>
  </r>
  <r>
    <n v="10226"/>
    <n v="24"/>
    <n v="100"/>
    <n v="5"/>
    <n v="3231.36"/>
    <d v="2004-02-26T00:00:00"/>
    <s v="Shipped"/>
    <n v="1"/>
    <x v="0"/>
    <n v="2004"/>
    <x v="1"/>
    <n v="132"/>
    <s v="S18_2870"/>
    <s v="Collectable Mini Designs Co."/>
    <n v="7605558146"/>
    <s v="361 Furth Circle"/>
    <m/>
    <s v="San Diego"/>
    <s v="CA"/>
    <n v="91217"/>
    <s v="USA"/>
    <s v="NA"/>
    <s v="Thompson"/>
    <s v="Valarie"/>
    <s v="Medium"/>
    <n v="2400"/>
  </r>
  <r>
    <n v="10241"/>
    <n v="44"/>
    <n v="100"/>
    <n v="12"/>
    <n v="6853.44"/>
    <d v="2004-04-13T00:00:00"/>
    <s v="Shipped"/>
    <n v="2"/>
    <x v="8"/>
    <n v="2004"/>
    <x v="1"/>
    <n v="132"/>
    <s v="S18_2870"/>
    <s v="Mini Caravy"/>
    <s v="88.60.1555"/>
    <s v="24, place Kluber"/>
    <m/>
    <s v="Strasbourg"/>
    <m/>
    <n v="67000"/>
    <s v="France"/>
    <s v="EMEA"/>
    <s v="Citeaux"/>
    <s v="Frederique"/>
    <s v="Medium"/>
    <n v="4400"/>
  </r>
  <r>
    <n v="10253"/>
    <n v="37"/>
    <n v="100"/>
    <n v="2"/>
    <n v="5177.04"/>
    <d v="2004-06-01T00:00:00"/>
    <s v="Cancelled"/>
    <n v="2"/>
    <x v="9"/>
    <n v="2004"/>
    <x v="1"/>
    <n v="132"/>
    <s v="S18_2870"/>
    <s v="UK Collectables, Ltd."/>
    <s v="(171) 555-2282"/>
    <s v="Berkeley Gardens 12  Brewery"/>
    <m/>
    <s v="Liverpool"/>
    <m/>
    <s v="WX1 6LT"/>
    <s v="UK"/>
    <s v="EMEA"/>
    <s v="Devon"/>
    <s v="Elizabeth"/>
    <s v="Medium"/>
    <n v="3700"/>
  </r>
  <r>
    <n v="10266"/>
    <n v="20"/>
    <n v="100"/>
    <n v="3"/>
    <n v="2824.8"/>
    <d v="2004-07-06T00:00:00"/>
    <s v="Shipped"/>
    <n v="3"/>
    <x v="2"/>
    <n v="2004"/>
    <x v="1"/>
    <n v="132"/>
    <s v="S18_2870"/>
    <s v="L'ordine Souveniers"/>
    <s v="0522-556555"/>
    <s v="Strada Provinciale 124"/>
    <m/>
    <s v="Reggio Emilia"/>
    <m/>
    <n v="42100"/>
    <s v="Italy"/>
    <s v="EMEA"/>
    <s v="Moroni"/>
    <s v="Maurizio"/>
    <s v="Small"/>
    <n v="2000"/>
  </r>
  <r>
    <n v="10278"/>
    <n v="39"/>
    <n v="100"/>
    <n v="3"/>
    <n v="4324.32"/>
    <d v="2004-08-06T00:00:00"/>
    <s v="Shipped"/>
    <n v="3"/>
    <x v="3"/>
    <n v="2004"/>
    <x v="1"/>
    <n v="132"/>
    <s v="S18_2870"/>
    <s v="Signal Gift Stores"/>
    <n v="7025551838"/>
    <s v="8489 Strong St."/>
    <m/>
    <s v="Las Vegas"/>
    <s v="NV"/>
    <n v="83030"/>
    <s v="USA"/>
    <s v="NA"/>
    <s v="King"/>
    <s v="Sue"/>
    <s v="Medium"/>
    <n v="3900"/>
  </r>
  <r>
    <n v="10287"/>
    <n v="44"/>
    <n v="100"/>
    <n v="1"/>
    <n v="5052.96"/>
    <d v="2004-08-30T00:00:00"/>
    <s v="Shipped"/>
    <n v="3"/>
    <x v="3"/>
    <n v="2004"/>
    <x v="1"/>
    <n v="132"/>
    <s v="S18_2870"/>
    <s v="Vida Sport, Ltd"/>
    <s v="0897-034555"/>
    <s v="Grenzacherweg 237"/>
    <m/>
    <s v="Gensve"/>
    <m/>
    <n v="1203"/>
    <s v="Switzerland"/>
    <s v="EMEA"/>
    <s v="Holz"/>
    <s v="Michael"/>
    <s v="Medium"/>
    <n v="4400"/>
  </r>
  <r>
    <n v="10301"/>
    <n v="22"/>
    <n v="100"/>
    <n v="5"/>
    <n v="3223.44"/>
    <d v="2003-10-05T00:00:00"/>
    <s v="Shipped"/>
    <n v="4"/>
    <x v="4"/>
    <n v="2003"/>
    <x v="1"/>
    <n v="132"/>
    <s v="S18_2870"/>
    <s v="Norway Gifts By Mail, Co."/>
    <s v="+47 2212 1555"/>
    <s v="Drammensveien 126 A, PB 744 Sentrum"/>
    <m/>
    <s v="Oslo"/>
    <m/>
    <s v="N 0106"/>
    <s v="Norway"/>
    <s v="EMEA"/>
    <s v="Klaeboe"/>
    <s v="Jan"/>
    <s v="Medium"/>
    <n v="2200"/>
  </r>
  <r>
    <n v="10311"/>
    <n v="43"/>
    <n v="100"/>
    <n v="10"/>
    <n v="5278.68"/>
    <d v="2004-10-16T00:00:00"/>
    <s v="Shipped"/>
    <n v="4"/>
    <x v="4"/>
    <n v="2004"/>
    <x v="1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  <n v="4300"/>
  </r>
  <r>
    <n v="10321"/>
    <n v="27"/>
    <n v="100"/>
    <n v="7"/>
    <n v="2851.2"/>
    <d v="2004-11-04T00:00:00"/>
    <s v="Shipped"/>
    <n v="4"/>
    <x v="5"/>
    <n v="2004"/>
    <x v="1"/>
    <n v="132"/>
    <s v="S18_2870"/>
    <s v="FunGiftIdeas.com"/>
    <n v="5085552555"/>
    <s v="1785 First Street"/>
    <m/>
    <s v="New Bedford"/>
    <s v="MA"/>
    <n v="50553"/>
    <s v="USA"/>
    <s v="NA"/>
    <s v="Benitez"/>
    <s v="Violeta"/>
    <s v="Small"/>
    <n v="2700"/>
  </r>
  <r>
    <n v="10331"/>
    <n v="26"/>
    <n v="64.900000000000006"/>
    <n v="10"/>
    <n v="1687.4"/>
    <d v="2004-11-17T00:00:00"/>
    <s v="Shipped"/>
    <n v="4"/>
    <x v="5"/>
    <n v="2004"/>
    <x v="1"/>
    <n v="132"/>
    <s v="S18_2870"/>
    <s v="Motor Mint Distributors Inc."/>
    <n v="2155559857"/>
    <s v="11328 Douglas Av."/>
    <m/>
    <s v="Philadelphia"/>
    <s v="PA"/>
    <n v="71270"/>
    <s v="USA"/>
    <s v="NA"/>
    <s v="Hernandez"/>
    <s v="Rosa"/>
    <s v="Small"/>
    <n v="1687.4"/>
  </r>
  <r>
    <n v="10343"/>
    <n v="25"/>
    <n v="52.32"/>
    <n v="3"/>
    <n v="1308"/>
    <d v="2004-11-24T00:00:00"/>
    <s v="Shipped"/>
    <n v="4"/>
    <x v="5"/>
    <n v="2004"/>
    <x v="1"/>
    <n v="132"/>
    <s v="S18_2870"/>
    <s v="Reims Collectables"/>
    <s v="26.47.1555"/>
    <s v="59 rue de l'Abbaye"/>
    <m/>
    <s v="Reims"/>
    <m/>
    <n v="51100"/>
    <s v="France"/>
    <s v="EMEA"/>
    <s v="Henriot"/>
    <s v="Paul"/>
    <s v="Small"/>
    <n v="1308"/>
  </r>
  <r>
    <n v="10366"/>
    <n v="49"/>
    <n v="100"/>
    <n v="2"/>
    <n v="6144.6"/>
    <d v="2005-01-10T00:00:00"/>
    <s v="Shipped"/>
    <n v="1"/>
    <x v="7"/>
    <n v="2005"/>
    <x v="1"/>
    <n v="132"/>
    <s v="S18_2870"/>
    <s v="Royale Belge"/>
    <s v="(071) 23 67 2555"/>
    <s v="Boulevard Tirou, 255"/>
    <m/>
    <s v="Charleroi"/>
    <m/>
    <s v="B-6000"/>
    <s v="Belgium"/>
    <s v="EMEA"/>
    <s v="Cartrain"/>
    <s v="Pascale"/>
    <s v="Medium"/>
    <n v="4900"/>
  </r>
  <r>
    <n v="10379"/>
    <n v="29"/>
    <n v="100"/>
    <n v="5"/>
    <n v="5127.2"/>
    <d v="2005-02-10T00:00:00"/>
    <s v="Shipped"/>
    <n v="1"/>
    <x v="0"/>
    <n v="2005"/>
    <x v="1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  <n v="2900"/>
  </r>
  <r>
    <n v="10407"/>
    <n v="41"/>
    <n v="100"/>
    <n v="12"/>
    <n v="6386.16"/>
    <d v="2005-04-22T00:00:00"/>
    <s v="On Hold"/>
    <n v="2"/>
    <x v="8"/>
    <n v="2005"/>
    <x v="1"/>
    <n v="132"/>
    <s v="S18_2870"/>
    <s v="The Sharp Gifts Warehouse"/>
    <n v="4085553659"/>
    <s v="3086 Ingle Ln."/>
    <m/>
    <s v="San Jose"/>
    <s v="CA"/>
    <n v="94217"/>
    <s v="USA"/>
    <s v="NA"/>
    <s v="Frick"/>
    <s v="Sue"/>
    <s v="Medium"/>
    <n v="4100"/>
  </r>
  <r>
    <n v="10419"/>
    <n v="55"/>
    <n v="100"/>
    <n v="2"/>
    <n v="7695.6"/>
    <d v="2005-05-17T00:00:00"/>
    <s v="Shipped"/>
    <n v="2"/>
    <x v="1"/>
    <n v="2005"/>
    <x v="1"/>
    <n v="132"/>
    <s v="S18_2870"/>
    <s v="Salzburg Collectables"/>
    <s v="6562-9555"/>
    <s v="Geislweg 14"/>
    <m/>
    <s v="Salzburg"/>
    <m/>
    <n v="5020"/>
    <s v="Austria"/>
    <s v="EMEA"/>
    <s v="Pipps"/>
    <s v="Georg"/>
    <s v="Large"/>
    <n v="5500"/>
  </r>
  <r>
    <n v="10103"/>
    <n v="27"/>
    <n v="83.07"/>
    <n v="12"/>
    <n v="2242.89"/>
    <d v="2003-01-29T00:00:00"/>
    <s v="Shipped"/>
    <n v="1"/>
    <x v="7"/>
    <n v="2003"/>
    <x v="3"/>
    <n v="101"/>
    <s v="S18_2949"/>
    <s v="Baane Mini Imports"/>
    <s v="07-98 9555"/>
    <s v="Erling Skakkes gate 78"/>
    <m/>
    <s v="Stavern"/>
    <m/>
    <n v="4110"/>
    <s v="Norway"/>
    <s v="EMEA"/>
    <s v="Bergulfsen"/>
    <s v="Jonas"/>
    <s v="Small"/>
    <n v="2242.89"/>
  </r>
  <r>
    <n v="10112"/>
    <n v="23"/>
    <n v="100"/>
    <n v="2"/>
    <n v="2539.89"/>
    <d v="2003-03-24T00:00:00"/>
    <s v="Shipped"/>
    <n v="1"/>
    <x v="11"/>
    <n v="2003"/>
    <x v="3"/>
    <n v="101"/>
    <s v="S18_2949"/>
    <s v="Volvo Model Replicas, Co"/>
    <s v="0921-12 3555"/>
    <s v="Berguvsv„gen  8"/>
    <m/>
    <s v="Lule"/>
    <m/>
    <s v="S-958 22"/>
    <s v="Sweden"/>
    <s v="EMEA"/>
    <s v="Berglund"/>
    <s v="Christina"/>
    <s v="Small"/>
    <n v="2300"/>
  </r>
  <r>
    <n v="10126"/>
    <n v="31"/>
    <n v="90.17"/>
    <n v="12"/>
    <n v="2795.27"/>
    <d v="2003-05-28T00:00:00"/>
    <s v="Shipped"/>
    <n v="2"/>
    <x v="1"/>
    <n v="2003"/>
    <x v="3"/>
    <n v="101"/>
    <s v="S18_2949"/>
    <s v="Corrida Auto Replicas, Ltd"/>
    <s v="(91) 555 22 82"/>
    <s v="C/ Araquil, 67"/>
    <m/>
    <s v="Madrid"/>
    <m/>
    <n v="28023"/>
    <s v="Spain"/>
    <s v="EMEA"/>
    <s v="Sommer"/>
    <s v="Mart¡n"/>
    <s v="Small"/>
    <n v="2795.27"/>
  </r>
  <r>
    <n v="10139"/>
    <n v="46"/>
    <n v="100"/>
    <n v="1"/>
    <n v="5545.76"/>
    <d v="2003-07-16T00:00:00"/>
    <s v="Shipped"/>
    <n v="3"/>
    <x v="2"/>
    <n v="2003"/>
    <x v="3"/>
    <n v="101"/>
    <s v="S18_2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4600"/>
  </r>
  <r>
    <n v="10150"/>
    <n v="47"/>
    <n v="91.18"/>
    <n v="9"/>
    <n v="4285.46"/>
    <d v="2003-09-19T00:00:00"/>
    <s v="Shipped"/>
    <n v="3"/>
    <x v="10"/>
    <n v="2003"/>
    <x v="3"/>
    <n v="101"/>
    <s v="S18_294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4285.46"/>
  </r>
  <r>
    <n v="10163"/>
    <n v="31"/>
    <n v="100"/>
    <n v="2"/>
    <n v="3329.09"/>
    <d v="2003-10-20T00:00:00"/>
    <s v="Shipped"/>
    <n v="4"/>
    <x v="4"/>
    <n v="2003"/>
    <x v="3"/>
    <n v="101"/>
    <s v="S18_2949"/>
    <s v="Classic Legends Inc."/>
    <n v="2125558493"/>
    <s v="5905 Pompton St."/>
    <s v="Suite 750"/>
    <s v="NYC"/>
    <s v="NY"/>
    <n v="10022"/>
    <s v="USA"/>
    <s v="NA"/>
    <s v="Hernandez"/>
    <s v="Maria"/>
    <s v="Medium"/>
    <n v="3100"/>
  </r>
  <r>
    <n v="10174"/>
    <n v="46"/>
    <n v="100"/>
    <n v="5"/>
    <n v="5592.22"/>
    <d v="2003-11-06T00:00:00"/>
    <s v="Shipped"/>
    <n v="4"/>
    <x v="5"/>
    <n v="2003"/>
    <x v="3"/>
    <n v="101"/>
    <s v="S18_2949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n v="4600"/>
  </r>
  <r>
    <n v="10183"/>
    <n v="37"/>
    <n v="89.15"/>
    <n v="9"/>
    <n v="3298.55"/>
    <d v="2003-11-13T00:00:00"/>
    <s v="Shipped"/>
    <n v="4"/>
    <x v="5"/>
    <n v="2003"/>
    <x v="3"/>
    <n v="101"/>
    <s v="S18_2949"/>
    <s v="Classic Gift Ideas, Inc"/>
    <n v="2155554695"/>
    <s v="782 First Street"/>
    <m/>
    <s v="Philadelphia"/>
    <s v="PA"/>
    <n v="71270"/>
    <s v="USA"/>
    <s v="NA"/>
    <s v="Cervantes"/>
    <s v="Francisca"/>
    <s v="Medium"/>
    <n v="3298.55"/>
  </r>
  <r>
    <n v="10193"/>
    <n v="28"/>
    <n v="93.21"/>
    <n v="1"/>
    <n v="2609.88"/>
    <d v="2003-11-21T00:00:00"/>
    <s v="Shipped"/>
    <n v="4"/>
    <x v="5"/>
    <n v="2003"/>
    <x v="3"/>
    <n v="101"/>
    <s v="S18_2949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2609.8799999999997"/>
  </r>
  <r>
    <n v="10206"/>
    <n v="37"/>
    <n v="90.17"/>
    <n v="7"/>
    <n v="3336.29"/>
    <d v="2003-12-05T00:00:00"/>
    <s v="Shipped"/>
    <n v="4"/>
    <x v="6"/>
    <n v="2003"/>
    <x v="3"/>
    <n v="101"/>
    <s v="S18_2949"/>
    <s v="Canadian Gift Exchange Network"/>
    <s v="(604) 555-3392"/>
    <s v="1900 Oak St."/>
    <m/>
    <s v="Vancouver"/>
    <s v="BC"/>
    <s v="V3F 2K1"/>
    <s v="Canada"/>
    <s v="NA"/>
    <s v="Tannamuri"/>
    <s v="Yoshi"/>
    <s v="Medium"/>
    <n v="3336.29"/>
  </r>
  <r>
    <n v="10215"/>
    <n v="49"/>
    <n v="100"/>
    <n v="4"/>
    <n v="5510.05"/>
    <d v="2004-01-29T00:00:00"/>
    <s v="Shipped"/>
    <n v="1"/>
    <x v="7"/>
    <n v="2004"/>
    <x v="3"/>
    <n v="101"/>
    <s v="S18_2949"/>
    <s v="West Coast Collectables Co."/>
    <n v="3105553722"/>
    <s v="3675 Furth Circle"/>
    <m/>
    <s v="Burbank"/>
    <s v="CA"/>
    <n v="94019"/>
    <s v="USA"/>
    <s v="NA"/>
    <s v="Thompson"/>
    <s v="Steve"/>
    <s v="Medium"/>
    <n v="4900"/>
  </r>
  <r>
    <n v="10228"/>
    <n v="24"/>
    <n v="100"/>
    <n v="3"/>
    <n v="2504.4"/>
    <d v="2004-03-10T00:00:00"/>
    <s v="Shipped"/>
    <n v="1"/>
    <x v="11"/>
    <n v="2004"/>
    <x v="3"/>
    <n v="101"/>
    <s v="S18_2949"/>
    <s v="Cambridge Collectables Co."/>
    <n v="6175555555"/>
    <s v="4658 Baden Av."/>
    <m/>
    <s v="Cambridge"/>
    <s v="MA"/>
    <n v="51247"/>
    <s v="USA"/>
    <s v="NA"/>
    <s v="Tseng"/>
    <s v="Kyung"/>
    <s v="Small"/>
    <n v="2400"/>
  </r>
  <r>
    <n v="10244"/>
    <n v="30"/>
    <n v="100"/>
    <n v="1"/>
    <n v="3525.6"/>
    <d v="2004-04-29T00:00:00"/>
    <s v="Shipped"/>
    <n v="2"/>
    <x v="8"/>
    <n v="2004"/>
    <x v="3"/>
    <n v="101"/>
    <s v="S18_2949"/>
    <s v="Euro Shopping Channel"/>
    <s v="(91) 555 94 44"/>
    <s v="C/ Moralzarzal, 86"/>
    <m/>
    <s v="Madrid"/>
    <m/>
    <n v="28034"/>
    <s v="Spain"/>
    <s v="EMEA"/>
    <s v="Freyre"/>
    <s v="Diego"/>
    <s v="Medium"/>
    <n v="3000"/>
  </r>
  <r>
    <n v="10257"/>
    <n v="50"/>
    <n v="88.14"/>
    <n v="1"/>
    <n v="4407"/>
    <d v="2004-06-14T00:00:00"/>
    <s v="Shipped"/>
    <n v="2"/>
    <x v="9"/>
    <n v="2004"/>
    <x v="3"/>
    <n v="101"/>
    <s v="S18_2949"/>
    <s v="The Sharp Gifts Warehouse"/>
    <n v="4085553659"/>
    <s v="3086 Ingle Ln."/>
    <m/>
    <s v="San Jose"/>
    <s v="CA"/>
    <n v="94217"/>
    <s v="USA"/>
    <s v="NA"/>
    <s v="Frick"/>
    <s v="Sue"/>
    <s v="Medium"/>
    <n v="4407"/>
  </r>
  <r>
    <n v="10270"/>
    <n v="31"/>
    <n v="96.24"/>
    <n v="10"/>
    <n v="2983.44"/>
    <d v="2004-07-19T00:00:00"/>
    <s v="Shipped"/>
    <n v="3"/>
    <x v="2"/>
    <n v="2004"/>
    <x v="3"/>
    <n v="101"/>
    <s v="S18_2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983.44"/>
  </r>
  <r>
    <n v="10280"/>
    <n v="46"/>
    <n v="100"/>
    <n v="3"/>
    <n v="5126.24"/>
    <d v="2004-08-17T00:00:00"/>
    <s v="Shipped"/>
    <n v="3"/>
    <x v="3"/>
    <n v="2004"/>
    <x v="3"/>
    <n v="101"/>
    <s v="S18_2949"/>
    <s v="Amica Models &amp; Co."/>
    <s v="011-4988555"/>
    <s v="Via Monte Bianco 34"/>
    <m/>
    <s v="Torino"/>
    <m/>
    <n v="10100"/>
    <s v="Italy"/>
    <s v="EMEA"/>
    <s v="Accorti"/>
    <s v="Paolo"/>
    <s v="Medium"/>
    <n v="4600"/>
  </r>
  <r>
    <n v="10291"/>
    <n v="47"/>
    <n v="100"/>
    <n v="12"/>
    <n v="5713.79"/>
    <d v="2004-09-08T00:00:00"/>
    <s v="Shipped"/>
    <n v="3"/>
    <x v="10"/>
    <n v="2004"/>
    <x v="3"/>
    <n v="101"/>
    <s v="S18_2949"/>
    <s v="Scandinavian Gift Ideas"/>
    <s v="0695-34 6555"/>
    <s v="?kergatan 24"/>
    <m/>
    <s v="Boras"/>
    <m/>
    <s v="S-844 67"/>
    <s v="Sweden"/>
    <s v="EMEA"/>
    <s v="Larsson"/>
    <s v="Maria"/>
    <s v="Medium"/>
    <n v="4700"/>
  </r>
  <r>
    <n v="10304"/>
    <n v="46"/>
    <n v="100"/>
    <n v="7"/>
    <n v="4613.8"/>
    <d v="2004-10-11T00:00:00"/>
    <s v="Shipped"/>
    <n v="4"/>
    <x v="4"/>
    <n v="2004"/>
    <x v="3"/>
    <n v="101"/>
    <s v="S18_2949"/>
    <s v="Auto Assoc. &amp; Cie."/>
    <s v="30.59.8555"/>
    <s v="67, avenue de l'Europe"/>
    <m/>
    <s v="Versailles"/>
    <m/>
    <n v="78000"/>
    <s v="France"/>
    <s v="EMEA"/>
    <s v="Tonini"/>
    <s v="Daniel"/>
    <s v="Medium"/>
    <n v="4600"/>
  </r>
  <r>
    <n v="10312"/>
    <n v="37"/>
    <n v="100"/>
    <n v="4"/>
    <n v="3711.1"/>
    <d v="2004-10-21T00:00:00"/>
    <s v="Shipped"/>
    <n v="4"/>
    <x v="4"/>
    <n v="2004"/>
    <x v="3"/>
    <n v="101"/>
    <s v="S18_2949"/>
    <s v="Mini Gifts Distributors Ltd."/>
    <n v="4155551450"/>
    <s v="5677 Strong St."/>
    <m/>
    <s v="San Rafael"/>
    <s v="CA"/>
    <n v="97562"/>
    <s v="USA"/>
    <s v="NA"/>
    <s v="Nelson"/>
    <s v="Valarie"/>
    <s v="Medium"/>
    <n v="3700"/>
  </r>
  <r>
    <n v="10322"/>
    <n v="33"/>
    <n v="100"/>
    <n v="12"/>
    <n v="3524.73"/>
    <d v="2004-11-04T00:00:00"/>
    <s v="Shipped"/>
    <n v="4"/>
    <x v="5"/>
    <n v="2004"/>
    <x v="3"/>
    <n v="101"/>
    <s v="S18_2949"/>
    <s v="Online Diecast Creations Co."/>
    <n v="6035558647"/>
    <s v="2304 Long Airport Avenue"/>
    <m/>
    <s v="Nashua"/>
    <s v="NH"/>
    <n v="62005"/>
    <s v="USA"/>
    <s v="NA"/>
    <s v="Young"/>
    <s v="Valarie"/>
    <s v="Medium"/>
    <n v="3300"/>
  </r>
  <r>
    <n v="10333"/>
    <n v="31"/>
    <n v="90.17"/>
    <n v="5"/>
    <n v="2795.27"/>
    <d v="2004-11-18T00:00:00"/>
    <s v="Shipped"/>
    <n v="4"/>
    <x v="5"/>
    <n v="2004"/>
    <x v="3"/>
    <n v="101"/>
    <s v="S18_2949"/>
    <s v="Mini Wheels Co."/>
    <n v="6505555787"/>
    <s v="5557 North Pendale Street"/>
    <m/>
    <s v="San Francisco"/>
    <s v="CA"/>
    <m/>
    <s v="USA"/>
    <s v="NA"/>
    <s v="Murphy"/>
    <s v="Julie"/>
    <s v="Small"/>
    <n v="2795.27"/>
  </r>
  <r>
    <n v="10347"/>
    <n v="48"/>
    <n v="100"/>
    <n v="9"/>
    <n v="4814.3999999999996"/>
    <d v="2004-11-29T00:00:00"/>
    <s v="Shipped"/>
    <n v="4"/>
    <x v="5"/>
    <n v="2004"/>
    <x v="3"/>
    <n v="101"/>
    <s v="S18_294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4800"/>
  </r>
  <r>
    <n v="10357"/>
    <n v="41"/>
    <n v="87.13"/>
    <n v="6"/>
    <n v="3572.33"/>
    <d v="2004-12-10T00:00:00"/>
    <s v="Shipped"/>
    <n v="4"/>
    <x v="6"/>
    <n v="2004"/>
    <x v="3"/>
    <n v="101"/>
    <s v="S18_2949"/>
    <s v="Mini Gifts Distributors Ltd."/>
    <n v="4155551450"/>
    <s v="5677 Strong St."/>
    <m/>
    <s v="San Rafael"/>
    <s v="CA"/>
    <n v="97562"/>
    <s v="USA"/>
    <s v="NA"/>
    <s v="Nelson"/>
    <s v="Valarie"/>
    <s v="Medium"/>
    <n v="3572.33"/>
  </r>
  <r>
    <n v="10369"/>
    <n v="42"/>
    <n v="100"/>
    <n v="1"/>
    <n v="4581.3599999999997"/>
    <d v="2005-01-20T00:00:00"/>
    <s v="Shipped"/>
    <n v="1"/>
    <x v="7"/>
    <n v="2005"/>
    <x v="3"/>
    <n v="101"/>
    <s v="S18_2949"/>
    <s v="Collectables For Less Inc."/>
    <n v="6175558555"/>
    <s v="7825 Douglas Av."/>
    <m/>
    <s v="Brickhaven"/>
    <s v="MA"/>
    <n v="58339"/>
    <s v="USA"/>
    <s v="NA"/>
    <s v="Nelson"/>
    <s v="Allen"/>
    <s v="Medium"/>
    <n v="4200"/>
  </r>
  <r>
    <n v="10381"/>
    <n v="41"/>
    <n v="100"/>
    <n v="8"/>
    <n v="4319.76"/>
    <d v="2005-02-17T00:00:00"/>
    <s v="Shipped"/>
    <n v="1"/>
    <x v="0"/>
    <n v="2005"/>
    <x v="3"/>
    <n v="101"/>
    <s v="S18_2949"/>
    <s v="Corporate Gift Ideas Co."/>
    <n v="6505551386"/>
    <s v="7734 Strong St."/>
    <m/>
    <s v="San Francisco"/>
    <s v="CA"/>
    <m/>
    <s v="USA"/>
    <s v="NA"/>
    <s v="Brown"/>
    <s v="Julie"/>
    <s v="Medium"/>
    <n v="4100"/>
  </r>
  <r>
    <n v="10391"/>
    <n v="32"/>
    <n v="45.25"/>
    <n v="6"/>
    <n v="1448"/>
    <d v="2005-03-09T00:00:00"/>
    <s v="Shipped"/>
    <n v="1"/>
    <x v="11"/>
    <n v="2005"/>
    <x v="3"/>
    <n v="101"/>
    <s v="S18_294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448"/>
  </r>
  <r>
    <n v="10423"/>
    <n v="10"/>
    <n v="88.14"/>
    <n v="1"/>
    <n v="881.4"/>
    <d v="2005-05-30T00:00:00"/>
    <s v="In Process"/>
    <n v="2"/>
    <x v="1"/>
    <n v="2005"/>
    <x v="3"/>
    <n v="101"/>
    <s v="S18_2949"/>
    <s v="Petit Auto"/>
    <s v="(02) 5554 67"/>
    <s v="Rue Joseph-Bens 532"/>
    <m/>
    <s v="Bruxelles"/>
    <m/>
    <s v="B-1180"/>
    <s v="Belgium"/>
    <s v="EMEA"/>
    <s v="Dewey"/>
    <s v="Catherine"/>
    <s v="Small"/>
    <n v="881.4"/>
  </r>
  <r>
    <n v="10103"/>
    <n v="35"/>
    <n v="57.46"/>
    <n v="14"/>
    <n v="2011.1"/>
    <d v="2003-01-29T00:00:00"/>
    <s v="Shipped"/>
    <n v="1"/>
    <x v="7"/>
    <n v="2003"/>
    <x v="3"/>
    <n v="62"/>
    <s v="S18_2957"/>
    <s v="Baane Mini Imports"/>
    <s v="07-98 9555"/>
    <s v="Erling Skakkes gate 78"/>
    <m/>
    <s v="Stavern"/>
    <m/>
    <n v="4110"/>
    <s v="Norway"/>
    <s v="EMEA"/>
    <s v="Bergulfsen"/>
    <s v="Jonas"/>
    <s v="Small"/>
    <n v="2011.1000000000001"/>
  </r>
  <r>
    <n v="10111"/>
    <n v="28"/>
    <n v="64.33"/>
    <n v="2"/>
    <n v="1801.24"/>
    <d v="2003-03-25T00:00:00"/>
    <s v="Shipped"/>
    <n v="1"/>
    <x v="11"/>
    <n v="2003"/>
    <x v="3"/>
    <n v="62"/>
    <s v="S18_2957"/>
    <s v="Mini Wheels Co."/>
    <n v="6505555787"/>
    <s v="5557 North Pendale Street"/>
    <m/>
    <s v="San Francisco"/>
    <s v="CA"/>
    <m/>
    <s v="USA"/>
    <s v="NA"/>
    <s v="Murphy"/>
    <s v="Julie"/>
    <s v="Small"/>
    <n v="1801.24"/>
  </r>
  <r>
    <n v="10126"/>
    <n v="46"/>
    <n v="73.7"/>
    <n v="14"/>
    <n v="3390.2"/>
    <d v="2003-05-28T00:00:00"/>
    <s v="Shipped"/>
    <n v="2"/>
    <x v="1"/>
    <n v="2003"/>
    <x v="3"/>
    <n v="62"/>
    <s v="S18_2957"/>
    <s v="Corrida Auto Replicas, Ltd"/>
    <s v="(91) 555 22 82"/>
    <s v="C/ Araquil, 67"/>
    <m/>
    <s v="Madrid"/>
    <m/>
    <n v="28023"/>
    <s v="Spain"/>
    <s v="EMEA"/>
    <s v="Sommer"/>
    <s v="Mart¡n"/>
    <s v="Medium"/>
    <n v="3390.2000000000003"/>
  </r>
  <r>
    <n v="10139"/>
    <n v="20"/>
    <n v="71.2"/>
    <n v="3"/>
    <n v="1424"/>
    <d v="2003-07-16T00:00:00"/>
    <s v="Shipped"/>
    <n v="3"/>
    <x v="2"/>
    <n v="2003"/>
    <x v="3"/>
    <n v="62"/>
    <s v="S18_295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424"/>
  </r>
  <r>
    <n v="10150"/>
    <n v="30"/>
    <n v="49.97"/>
    <n v="11"/>
    <n v="1499.1"/>
    <d v="2003-09-19T00:00:00"/>
    <s v="Shipped"/>
    <n v="3"/>
    <x v="10"/>
    <n v="2003"/>
    <x v="3"/>
    <n v="62"/>
    <s v="S18_295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1499.1"/>
  </r>
  <r>
    <n v="10163"/>
    <n v="48"/>
    <n v="69.959999999999994"/>
    <n v="4"/>
    <n v="3358.08"/>
    <d v="2003-10-20T00:00:00"/>
    <s v="Shipped"/>
    <n v="4"/>
    <x v="4"/>
    <n v="2003"/>
    <x v="3"/>
    <n v="62"/>
    <s v="S18_2957"/>
    <s v="Classic Legends Inc."/>
    <n v="2125558493"/>
    <s v="5905 Pompton St."/>
    <s v="Suite 750"/>
    <s v="NYC"/>
    <s v="NY"/>
    <n v="10022"/>
    <s v="USA"/>
    <s v="NA"/>
    <s v="Hernandez"/>
    <s v="Maria"/>
    <s v="Medium"/>
    <n v="3358.08"/>
  </r>
  <r>
    <n v="10173"/>
    <n v="28"/>
    <n v="53.72"/>
    <n v="2"/>
    <n v="1504.16"/>
    <d v="2003-11-05T00:00:00"/>
    <s v="Shipped"/>
    <n v="4"/>
    <x v="5"/>
    <n v="2003"/>
    <x v="3"/>
    <n v="62"/>
    <s v="S18_2957"/>
    <s v="Rovelli Gifts"/>
    <s v="035-640555"/>
    <s v="Via Ludovico il Moro 22"/>
    <m/>
    <s v="Bergamo"/>
    <m/>
    <n v="24100"/>
    <s v="Italy"/>
    <s v="EMEA"/>
    <s v="Rovelli"/>
    <s v="Giovanni"/>
    <s v="Small"/>
    <n v="1504.1599999999999"/>
  </r>
  <r>
    <n v="10183"/>
    <n v="39"/>
    <n v="68.08"/>
    <n v="11"/>
    <n v="2655.12"/>
    <d v="2003-11-13T00:00:00"/>
    <s v="Shipped"/>
    <n v="4"/>
    <x v="5"/>
    <n v="2003"/>
    <x v="3"/>
    <n v="62"/>
    <s v="S18_2957"/>
    <s v="Classic Gift Ideas, Inc"/>
    <n v="2155554695"/>
    <s v="782 First Street"/>
    <m/>
    <s v="Philadelphia"/>
    <s v="PA"/>
    <n v="71270"/>
    <s v="USA"/>
    <s v="NA"/>
    <s v="Cervantes"/>
    <s v="Francisca"/>
    <s v="Small"/>
    <n v="2655.12"/>
  </r>
  <r>
    <n v="10193"/>
    <n v="24"/>
    <n v="51.84"/>
    <n v="3"/>
    <n v="1244.1600000000001"/>
    <d v="2003-11-21T00:00:00"/>
    <s v="Shipped"/>
    <n v="4"/>
    <x v="5"/>
    <n v="2003"/>
    <x v="3"/>
    <n v="62"/>
    <s v="S18_2957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1244.1600000000001"/>
  </r>
  <r>
    <n v="10206"/>
    <n v="28"/>
    <n v="67.459999999999994"/>
    <n v="9"/>
    <n v="1888.88"/>
    <d v="2003-12-05T00:00:00"/>
    <s v="Shipped"/>
    <n v="4"/>
    <x v="6"/>
    <n v="2003"/>
    <x v="3"/>
    <n v="62"/>
    <s v="S18_2957"/>
    <s v="Canadian Gift Exchange Network"/>
    <s v="(604) 555-3392"/>
    <s v="1900 Oak St."/>
    <m/>
    <s v="Vancouver"/>
    <s v="BC"/>
    <s v="V3F 2K1"/>
    <s v="Canada"/>
    <s v="NA"/>
    <s v="Tannamuri"/>
    <s v="Yoshi"/>
    <s v="Small"/>
    <n v="1888.8799999999999"/>
  </r>
  <r>
    <n v="10215"/>
    <n v="31"/>
    <n v="58.71"/>
    <n v="6"/>
    <n v="1820.01"/>
    <d v="2004-01-29T00:00:00"/>
    <s v="Shipped"/>
    <n v="1"/>
    <x v="7"/>
    <n v="2004"/>
    <x v="3"/>
    <n v="62"/>
    <s v="S18_2957"/>
    <s v="West Coast Collectables Co."/>
    <n v="3105553722"/>
    <s v="3675 Furth Circle"/>
    <m/>
    <s v="Burbank"/>
    <s v="CA"/>
    <n v="94019"/>
    <s v="USA"/>
    <s v="NA"/>
    <s v="Thompson"/>
    <s v="Steve"/>
    <s v="Small"/>
    <n v="1820.01"/>
  </r>
  <r>
    <n v="10228"/>
    <n v="45"/>
    <n v="63.71"/>
    <n v="5"/>
    <n v="2866.95"/>
    <d v="2004-03-10T00:00:00"/>
    <s v="Shipped"/>
    <n v="1"/>
    <x v="11"/>
    <n v="2004"/>
    <x v="3"/>
    <n v="62"/>
    <s v="S18_2957"/>
    <s v="Cambridge Collectables Co."/>
    <n v="6175555555"/>
    <s v="4658 Baden Av."/>
    <m/>
    <s v="Cambridge"/>
    <s v="MA"/>
    <n v="51247"/>
    <s v="USA"/>
    <s v="NA"/>
    <s v="Tseng"/>
    <s v="Kyung"/>
    <s v="Small"/>
    <n v="2866.95"/>
  </r>
  <r>
    <n v="10244"/>
    <n v="24"/>
    <n v="58.09"/>
    <n v="3"/>
    <n v="1394.16"/>
    <d v="2004-04-29T00:00:00"/>
    <s v="Shipped"/>
    <n v="2"/>
    <x v="8"/>
    <n v="2004"/>
    <x v="3"/>
    <n v="62"/>
    <s v="S18_2957"/>
    <s v="Euro Shopping Channel"/>
    <s v="(91) 555 94 44"/>
    <s v="C/ Moralzarzal, 86"/>
    <m/>
    <s v="Madrid"/>
    <m/>
    <n v="28034"/>
    <s v="Spain"/>
    <s v="EMEA"/>
    <s v="Freyre"/>
    <s v="Diego"/>
    <s v="Small"/>
    <n v="1394.16"/>
  </r>
  <r>
    <n v="10257"/>
    <n v="49"/>
    <n v="53.72"/>
    <n v="3"/>
    <n v="2632.28"/>
    <d v="2004-06-14T00:00:00"/>
    <s v="Shipped"/>
    <n v="2"/>
    <x v="9"/>
    <n v="2004"/>
    <x v="3"/>
    <n v="62"/>
    <s v="S18_2957"/>
    <s v="The Sharp Gifts Warehouse"/>
    <n v="4085553659"/>
    <s v="3086 Ingle Ln."/>
    <m/>
    <s v="San Jose"/>
    <s v="CA"/>
    <n v="94217"/>
    <s v="USA"/>
    <s v="NA"/>
    <s v="Frick"/>
    <s v="Sue"/>
    <s v="Small"/>
    <n v="2632.2799999999997"/>
  </r>
  <r>
    <n v="10269"/>
    <n v="32"/>
    <n v="63.08"/>
    <n v="1"/>
    <n v="2018.56"/>
    <d v="2004-07-16T00:00:00"/>
    <s v="Shipped"/>
    <n v="3"/>
    <x v="2"/>
    <n v="2004"/>
    <x v="3"/>
    <n v="62"/>
    <s v="S18_2957"/>
    <s v="Salzburg Collectables"/>
    <s v="6562-9555"/>
    <s v="Geislweg 14"/>
    <m/>
    <s v="Salzburg"/>
    <m/>
    <n v="5020"/>
    <s v="Austria"/>
    <s v="EMEA"/>
    <s v="Pipps"/>
    <s v="Georg"/>
    <s v="Small"/>
    <n v="2018.56"/>
  </r>
  <r>
    <n v="10280"/>
    <n v="43"/>
    <n v="68.709999999999994"/>
    <n v="5"/>
    <n v="2954.53"/>
    <d v="2004-08-17T00:00:00"/>
    <s v="Shipped"/>
    <n v="3"/>
    <x v="3"/>
    <n v="2004"/>
    <x v="3"/>
    <n v="62"/>
    <s v="S18_2957"/>
    <s v="Amica Models &amp; Co."/>
    <s v="011-4988555"/>
    <s v="Via Monte Bianco 34"/>
    <m/>
    <s v="Torino"/>
    <m/>
    <n v="10100"/>
    <s v="Italy"/>
    <s v="EMEA"/>
    <s v="Accorti"/>
    <s v="Paolo"/>
    <s v="Small"/>
    <n v="2954.5299999999997"/>
  </r>
  <r>
    <n v="10291"/>
    <n v="37"/>
    <n v="50.59"/>
    <n v="14"/>
    <n v="1871.83"/>
    <d v="2004-09-08T00:00:00"/>
    <s v="Shipped"/>
    <n v="3"/>
    <x v="10"/>
    <n v="2004"/>
    <x v="3"/>
    <n v="62"/>
    <s v="S18_2957"/>
    <s v="Scandinavian Gift Ideas"/>
    <s v="0695-34 6555"/>
    <s v="?kergatan 24"/>
    <m/>
    <s v="Boras"/>
    <m/>
    <s v="S-844 67"/>
    <s v="Sweden"/>
    <s v="EMEA"/>
    <s v="Larsson"/>
    <s v="Maria"/>
    <s v="Small"/>
    <n v="1871.8300000000002"/>
  </r>
  <r>
    <n v="10304"/>
    <n v="24"/>
    <n v="64.959999999999994"/>
    <n v="9"/>
    <n v="1559.04"/>
    <d v="2004-10-11T00:00:00"/>
    <s v="Shipped"/>
    <n v="4"/>
    <x v="4"/>
    <n v="2004"/>
    <x v="3"/>
    <n v="62"/>
    <s v="S18_2957"/>
    <s v="Auto Assoc. &amp; Cie."/>
    <s v="30.59.8555"/>
    <s v="67, avenue de l'Europe"/>
    <m/>
    <s v="Versailles"/>
    <m/>
    <n v="78000"/>
    <s v="France"/>
    <s v="EMEA"/>
    <s v="Tonini"/>
    <s v="Daniel"/>
    <s v="Small"/>
    <n v="1559.04"/>
  </r>
  <r>
    <n v="10312"/>
    <n v="35"/>
    <n v="53.72"/>
    <n v="6"/>
    <n v="1880.2"/>
    <d v="2004-10-21T00:00:00"/>
    <s v="Shipped"/>
    <n v="4"/>
    <x v="4"/>
    <n v="2004"/>
    <x v="3"/>
    <n v="62"/>
    <s v="S18_2957"/>
    <s v="Mini Gifts Distributors Ltd."/>
    <n v="4155551450"/>
    <s v="5677 Strong St."/>
    <m/>
    <s v="San Rafael"/>
    <s v="CA"/>
    <n v="97562"/>
    <s v="USA"/>
    <s v="NA"/>
    <s v="Nelson"/>
    <s v="Valarie"/>
    <s v="Small"/>
    <n v="1880.2"/>
  </r>
  <r>
    <n v="10322"/>
    <n v="41"/>
    <n v="29.87"/>
    <n v="13"/>
    <n v="1224.67"/>
    <d v="2004-11-04T00:00:00"/>
    <s v="Shipped"/>
    <n v="4"/>
    <x v="5"/>
    <n v="2004"/>
    <x v="3"/>
    <n v="62"/>
    <s v="S18_2957"/>
    <s v="Online Diecast Creations Co."/>
    <n v="6035558647"/>
    <s v="2304 Long Airport Avenue"/>
    <m/>
    <s v="Nashua"/>
    <s v="NH"/>
    <n v="62005"/>
    <s v="USA"/>
    <s v="NA"/>
    <s v="Young"/>
    <s v="Valarie"/>
    <s v="Small"/>
    <n v="1224.67"/>
  </r>
  <r>
    <n v="10332"/>
    <n v="26"/>
    <n v="100"/>
    <n v="17"/>
    <n v="2979.08"/>
    <d v="2004-11-17T00:00:00"/>
    <s v="Shipped"/>
    <n v="4"/>
    <x v="5"/>
    <n v="2004"/>
    <x v="3"/>
    <n v="62"/>
    <s v="S18_2957"/>
    <s v="AV Stores, Co."/>
    <s v="(171) 555-1555"/>
    <s v="Fauntleroy Circus"/>
    <m/>
    <s v="Manchester"/>
    <m/>
    <s v="EC2 5NT"/>
    <s v="UK"/>
    <s v="EMEA"/>
    <s v="Ashworth"/>
    <s v="Victoria"/>
    <s v="Small"/>
    <n v="2600"/>
  </r>
  <r>
    <n v="10347"/>
    <n v="34"/>
    <n v="64.959999999999994"/>
    <n v="10"/>
    <n v="2208.64"/>
    <d v="2004-11-29T00:00:00"/>
    <s v="Shipped"/>
    <n v="4"/>
    <x v="5"/>
    <n v="2004"/>
    <x v="3"/>
    <n v="62"/>
    <s v="S18_295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208.64"/>
  </r>
  <r>
    <n v="10357"/>
    <n v="49"/>
    <n v="70.58"/>
    <n v="5"/>
    <n v="3458.42"/>
    <d v="2004-12-10T00:00:00"/>
    <s v="Shipped"/>
    <n v="4"/>
    <x v="6"/>
    <n v="2004"/>
    <x v="3"/>
    <n v="62"/>
    <s v="S18_2957"/>
    <s v="Mini Gifts Distributors Ltd."/>
    <n v="4155551450"/>
    <s v="5677 Strong St."/>
    <m/>
    <s v="San Rafael"/>
    <s v="CA"/>
    <n v="97562"/>
    <s v="USA"/>
    <s v="NA"/>
    <s v="Nelson"/>
    <s v="Valarie"/>
    <s v="Medium"/>
    <n v="3458.42"/>
  </r>
  <r>
    <n v="10369"/>
    <n v="28"/>
    <n v="44.21"/>
    <n v="6"/>
    <n v="1237.8800000000001"/>
    <d v="2005-01-20T00:00:00"/>
    <s v="Shipped"/>
    <n v="1"/>
    <x v="7"/>
    <n v="2005"/>
    <x v="3"/>
    <n v="62"/>
    <s v="S18_2957"/>
    <s v="Collectables For Less Inc."/>
    <n v="6175558555"/>
    <s v="7825 Douglas Av."/>
    <m/>
    <s v="Brickhaven"/>
    <s v="MA"/>
    <n v="58339"/>
    <s v="USA"/>
    <s v="NA"/>
    <s v="Nelson"/>
    <s v="Allen"/>
    <s v="Small"/>
    <n v="1237.8800000000001"/>
  </r>
  <r>
    <n v="10381"/>
    <n v="40"/>
    <n v="68.08"/>
    <n v="4"/>
    <n v="2723.2"/>
    <d v="2005-02-17T00:00:00"/>
    <s v="Shipped"/>
    <n v="1"/>
    <x v="0"/>
    <n v="2005"/>
    <x v="3"/>
    <n v="62"/>
    <s v="S18_2957"/>
    <s v="Corporate Gift Ideas Co."/>
    <n v="6505551386"/>
    <s v="7734 Strong St."/>
    <m/>
    <s v="San Francisco"/>
    <s v="CA"/>
    <m/>
    <s v="USA"/>
    <s v="NA"/>
    <s v="Brown"/>
    <s v="Julie"/>
    <s v="Small"/>
    <n v="2723.2"/>
  </r>
  <r>
    <n v="10392"/>
    <n v="37"/>
    <n v="59.96"/>
    <n v="3"/>
    <n v="2218.52"/>
    <d v="2005-03-10T00:00:00"/>
    <s v="Shipped"/>
    <n v="1"/>
    <x v="11"/>
    <n v="2005"/>
    <x v="3"/>
    <n v="62"/>
    <s v="S18_2957"/>
    <s v="Mini Auto Werke"/>
    <s v="7675-3555"/>
    <s v="Kirchgasse 6"/>
    <m/>
    <s v="Graz"/>
    <m/>
    <n v="8010"/>
    <s v="Austria"/>
    <s v="EMEA"/>
    <s v="Mendel"/>
    <s v="Roland"/>
    <s v="Small"/>
    <n v="2218.52"/>
  </r>
  <r>
    <n v="10423"/>
    <n v="31"/>
    <n v="53.72"/>
    <n v="3"/>
    <n v="1665.32"/>
    <d v="2005-05-30T00:00:00"/>
    <s v="In Process"/>
    <n v="2"/>
    <x v="1"/>
    <n v="2005"/>
    <x v="3"/>
    <n v="62"/>
    <s v="S18_2957"/>
    <s v="Petit Auto"/>
    <s v="(02) 5554 67"/>
    <s v="Rue Joseph-Bens 532"/>
    <m/>
    <s v="Bruxelles"/>
    <m/>
    <s v="B-1180"/>
    <s v="Belgium"/>
    <s v="EMEA"/>
    <s v="Dewey"/>
    <s v="Catherine"/>
    <s v="Small"/>
    <n v="1665.32"/>
  </r>
  <r>
    <n v="10106"/>
    <n v="41"/>
    <n v="83.44"/>
    <n v="18"/>
    <n v="3421.04"/>
    <d v="2003-02-17T00:00:00"/>
    <s v="Shipped"/>
    <n v="1"/>
    <x v="0"/>
    <n v="2003"/>
    <x v="5"/>
    <n v="86"/>
    <s v="S18_3029"/>
    <s v="Rovelli Gifts"/>
    <s v="035-640555"/>
    <s v="Via Ludovico il Moro 22"/>
    <m/>
    <s v="Bergamo"/>
    <m/>
    <n v="24100"/>
    <s v="Italy"/>
    <s v="EMEA"/>
    <s v="Rovelli"/>
    <s v="Giovanni"/>
    <s v="Medium"/>
    <n v="3421.04"/>
  </r>
  <r>
    <n v="10119"/>
    <n v="21"/>
    <n v="89.46"/>
    <n v="9"/>
    <n v="1878.66"/>
    <d v="2003-04-28T00:00:00"/>
    <s v="Shipped"/>
    <n v="2"/>
    <x v="8"/>
    <n v="2003"/>
    <x v="5"/>
    <n v="86"/>
    <s v="S18_3029"/>
    <s v="Salzburg Collectables"/>
    <s v="6562-9555"/>
    <s v="Geislweg 14"/>
    <m/>
    <s v="Salzburg"/>
    <m/>
    <n v="5020"/>
    <s v="Austria"/>
    <s v="EMEA"/>
    <s v="Pipps"/>
    <s v="Georg"/>
    <s v="Small"/>
    <n v="1878.6599999999999"/>
  </r>
  <r>
    <n v="10130"/>
    <n v="40"/>
    <n v="96.34"/>
    <n v="2"/>
    <n v="3853.6"/>
    <d v="2003-06-16T00:00:00"/>
    <s v="Shipped"/>
    <n v="2"/>
    <x v="9"/>
    <n v="2003"/>
    <x v="5"/>
    <n v="86"/>
    <s v="S18_3029"/>
    <s v="Auto-Moto Classics Inc."/>
    <n v="6175558428"/>
    <s v="16780 Pompton St."/>
    <m/>
    <s v="Brickhaven"/>
    <s v="MA"/>
    <n v="58339"/>
    <s v="USA"/>
    <s v="NA"/>
    <s v="Taylor"/>
    <s v="Leslie"/>
    <s v="Medium"/>
    <n v="3853.6000000000004"/>
  </r>
  <r>
    <n v="10143"/>
    <n v="46"/>
    <n v="74.84"/>
    <n v="13"/>
    <n v="3442.64"/>
    <d v="2003-08-10T00:00:00"/>
    <s v="Shipped"/>
    <n v="3"/>
    <x v="3"/>
    <n v="2003"/>
    <x v="5"/>
    <n v="86"/>
    <s v="S18_3029"/>
    <s v="Mini Creations Ltd."/>
    <n v="5085559555"/>
    <s v="4575 Hillside Dr."/>
    <m/>
    <s v="New Bedford"/>
    <s v="MA"/>
    <n v="50553"/>
    <s v="USA"/>
    <s v="NA"/>
    <s v="Tam"/>
    <s v="Wing C"/>
    <s v="Medium"/>
    <n v="3442.6400000000003"/>
  </r>
  <r>
    <n v="10155"/>
    <n v="44"/>
    <n v="79.14"/>
    <n v="11"/>
    <n v="3482.16"/>
    <d v="2003-10-06T00:00:00"/>
    <s v="Shipped"/>
    <n v="4"/>
    <x v="4"/>
    <n v="2003"/>
    <x v="5"/>
    <n v="86"/>
    <s v="S18_3029"/>
    <s v="Toys of Finland, Co."/>
    <s v="90-224 8555"/>
    <s v="Keskuskatu 45"/>
    <m/>
    <s v="Helsinki"/>
    <m/>
    <n v="21240"/>
    <s v="Finland"/>
    <s v="EMEA"/>
    <s v="Karttunen"/>
    <s v="Matti"/>
    <s v="Medium"/>
    <n v="3482.16"/>
  </r>
  <r>
    <n v="10167"/>
    <n v="46"/>
    <n v="73.12"/>
    <n v="7"/>
    <n v="3363.52"/>
    <d v="2003-10-23T00:00:00"/>
    <s v="Cancelled"/>
    <n v="4"/>
    <x v="4"/>
    <n v="2003"/>
    <x v="5"/>
    <n v="86"/>
    <s v="S18_3029"/>
    <s v="Scandinavian Gift Ideas"/>
    <s v="0695-34 6555"/>
    <s v="?kergatan 24"/>
    <m/>
    <s v="Boras"/>
    <m/>
    <s v="S-844 67"/>
    <s v="Sweden"/>
    <s v="EMEA"/>
    <s v="Larsson"/>
    <s v="Maria"/>
    <s v="Medium"/>
    <n v="3363.5200000000004"/>
  </r>
  <r>
    <n v="10178"/>
    <n v="41"/>
    <n v="81.72"/>
    <n v="10"/>
    <n v="3350.52"/>
    <d v="2003-11-08T00:00:00"/>
    <s v="Shipped"/>
    <n v="4"/>
    <x v="5"/>
    <n v="2003"/>
    <x v="5"/>
    <n v="86"/>
    <s v="S18_3029"/>
    <s v="Alpha Cognac"/>
    <s v="61.77.6555"/>
    <s v="1 rue Alsace-Lorraine"/>
    <m/>
    <s v="Toulouse"/>
    <m/>
    <n v="31000"/>
    <s v="France"/>
    <s v="EMEA"/>
    <s v="Roulet"/>
    <s v="Annette"/>
    <s v="Medium"/>
    <n v="3350.52"/>
  </r>
  <r>
    <n v="10186"/>
    <n v="32"/>
    <n v="89.46"/>
    <n v="7"/>
    <n v="2862.72"/>
    <d v="2003-11-14T00:00:00"/>
    <s v="Shipped"/>
    <n v="4"/>
    <x v="5"/>
    <n v="2003"/>
    <x v="5"/>
    <n v="86"/>
    <s v="S18_3029"/>
    <s v="Double Decker Gift Stores, Ltd"/>
    <s v="(171) 555-7555"/>
    <s v="120 Hanover Sq."/>
    <m/>
    <s v="London"/>
    <m/>
    <s v="WA1 1DP"/>
    <s v="UK"/>
    <s v="EMEA"/>
    <s v="Hardy"/>
    <s v="Thomas"/>
    <s v="Small"/>
    <n v="2862.72"/>
  </r>
  <r>
    <n v="10197"/>
    <n v="46"/>
    <n v="87.74"/>
    <n v="4"/>
    <n v="4036.04"/>
    <d v="2003-11-26T00:00:00"/>
    <s v="Shipped"/>
    <n v="4"/>
    <x v="5"/>
    <n v="2003"/>
    <x v="5"/>
    <n v="86"/>
    <s v="S18_3029"/>
    <s v="Enaco Distributors"/>
    <s v="(93) 203 4555"/>
    <s v="Rambla de Catalu¤a, 23"/>
    <m/>
    <s v="Barcelona"/>
    <m/>
    <n v="8022"/>
    <s v="Spain"/>
    <s v="EMEA"/>
    <s v="Saavedra"/>
    <s v="Eduardo"/>
    <s v="Medium"/>
    <n v="4036.04"/>
  </r>
  <r>
    <n v="10209"/>
    <n v="28"/>
    <n v="100"/>
    <n v="6"/>
    <n v="2817.92"/>
    <d v="2004-01-09T00:00:00"/>
    <s v="Shipped"/>
    <n v="1"/>
    <x v="7"/>
    <n v="2004"/>
    <x v="5"/>
    <n v="86"/>
    <s v="S18_3029"/>
    <s v="Men 'R' US Retailers, Ltd."/>
    <n v="2155554369"/>
    <s v="6047 Douglas Av."/>
    <m/>
    <s v="Los Angeles"/>
    <s v="CA"/>
    <m/>
    <s v="USA"/>
    <s v="NA"/>
    <s v="Chandler"/>
    <s v="Michael"/>
    <s v="Small"/>
    <n v="2800"/>
  </r>
  <r>
    <n v="10222"/>
    <n v="49"/>
    <n v="94.62"/>
    <n v="10"/>
    <n v="4636.38"/>
    <d v="2004-02-19T00:00:00"/>
    <s v="Shipped"/>
    <n v="1"/>
    <x v="0"/>
    <n v="2004"/>
    <x v="5"/>
    <n v="86"/>
    <s v="S18_3029"/>
    <s v="Collectable Mini Designs Co."/>
    <n v="7605558146"/>
    <s v="361 Furth Circle"/>
    <m/>
    <s v="San Diego"/>
    <s v="CA"/>
    <n v="91217"/>
    <s v="USA"/>
    <s v="NA"/>
    <s v="Thompson"/>
    <s v="Valarie"/>
    <s v="Medium"/>
    <n v="4636.38"/>
  </r>
  <r>
    <n v="10248"/>
    <n v="21"/>
    <n v="73.98"/>
    <n v="1"/>
    <n v="1553.58"/>
    <d v="2004-05-07T00:00:00"/>
    <s v="Cancelled"/>
    <n v="2"/>
    <x v="1"/>
    <n v="2004"/>
    <x v="5"/>
    <n v="86"/>
    <s v="S18_3029"/>
    <s v="Land of Toys Inc."/>
    <n v="2125557818"/>
    <s v="897 Long Airport Avenue"/>
    <m/>
    <s v="NYC"/>
    <s v="NY"/>
    <n v="10022"/>
    <s v="USA"/>
    <s v="NA"/>
    <s v="Yu"/>
    <s v="Kwai"/>
    <s v="Small"/>
    <n v="1553.5800000000002"/>
  </r>
  <r>
    <n v="10262"/>
    <n v="32"/>
    <n v="84.3"/>
    <n v="15"/>
    <n v="2697.6"/>
    <d v="2004-06-24T00:00:00"/>
    <s v="Cancelled"/>
    <n v="2"/>
    <x v="9"/>
    <n v="2004"/>
    <x v="5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Small"/>
    <n v="2697.6"/>
  </r>
  <r>
    <n v="10273"/>
    <n v="34"/>
    <n v="98.06"/>
    <n v="2"/>
    <n v="3334.04"/>
    <d v="2004-07-21T00:00:00"/>
    <s v="Shipped"/>
    <n v="3"/>
    <x v="2"/>
    <n v="2004"/>
    <x v="5"/>
    <n v="86"/>
    <s v="S18_3029"/>
    <s v="Petit Auto"/>
    <s v="(02) 5554 67"/>
    <s v="Rue Joseph-Bens 532"/>
    <m/>
    <s v="Bruxelles"/>
    <m/>
    <s v="B-1180"/>
    <s v="Belgium"/>
    <s v="EMEA"/>
    <s v="Dewey"/>
    <s v="Catherine"/>
    <s v="Medium"/>
    <n v="3334.04"/>
  </r>
  <r>
    <n v="10283"/>
    <n v="21"/>
    <n v="98.06"/>
    <n v="4"/>
    <n v="2059.2600000000002"/>
    <d v="2004-08-20T00:00:00"/>
    <s v="Shipped"/>
    <n v="3"/>
    <x v="3"/>
    <n v="2004"/>
    <x v="5"/>
    <n v="86"/>
    <s v="S18_302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059.2600000000002"/>
  </r>
  <r>
    <n v="10296"/>
    <n v="21"/>
    <n v="96.34"/>
    <n v="13"/>
    <n v="2023.14"/>
    <d v="2004-09-15T00:00:00"/>
    <s v="Shipped"/>
    <n v="3"/>
    <x v="10"/>
    <n v="2004"/>
    <x v="5"/>
    <n v="86"/>
    <s v="S18_3029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2023.14"/>
  </r>
  <r>
    <n v="10307"/>
    <n v="31"/>
    <n v="83.44"/>
    <n v="7"/>
    <n v="2586.64"/>
    <d v="2004-10-14T00:00:00"/>
    <s v="Shipped"/>
    <n v="4"/>
    <x v="4"/>
    <n v="2004"/>
    <x v="5"/>
    <n v="86"/>
    <s v="S18_3029"/>
    <s v="Classic Gift Ideas, Inc"/>
    <n v="2155554695"/>
    <s v="782 First Street"/>
    <m/>
    <s v="Philadelphia"/>
    <s v="PA"/>
    <n v="71270"/>
    <s v="USA"/>
    <s v="NA"/>
    <s v="Cervantes"/>
    <s v="Francisca"/>
    <s v="Small"/>
    <n v="2586.64"/>
  </r>
  <r>
    <n v="10316"/>
    <n v="21"/>
    <n v="94.62"/>
    <n v="15"/>
    <n v="1987.02"/>
    <d v="2004-11-01T00:00:00"/>
    <s v="Shipped"/>
    <n v="4"/>
    <x v="5"/>
    <n v="2004"/>
    <x v="5"/>
    <n v="86"/>
    <s v="S18_3029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1987.02"/>
  </r>
  <r>
    <n v="10327"/>
    <n v="25"/>
    <n v="45.86"/>
    <n v="5"/>
    <n v="1146.5"/>
    <d v="2004-11-10T00:00:00"/>
    <s v="Resolved"/>
    <n v="4"/>
    <x v="5"/>
    <n v="2004"/>
    <x v="5"/>
    <n v="86"/>
    <s v="S18_3029"/>
    <s v="Danish Wholesale Imports"/>
    <s v="31 12 3555"/>
    <s v="Vinb'ltet 34"/>
    <m/>
    <s v="Kobenhavn"/>
    <m/>
    <n v="1734"/>
    <s v="Denmark"/>
    <s v="EMEA"/>
    <s v="Petersen"/>
    <s v="Jytte"/>
    <s v="Small"/>
    <n v="1146.5"/>
  </r>
  <r>
    <n v="10338"/>
    <n v="28"/>
    <n v="82.58"/>
    <n v="3"/>
    <n v="2312.2399999999998"/>
    <d v="2004-11-22T00:00:00"/>
    <s v="Shipped"/>
    <n v="4"/>
    <x v="5"/>
    <n v="2004"/>
    <x v="5"/>
    <n v="86"/>
    <s v="S18_3029"/>
    <s v="Royale Belge"/>
    <s v="(071) 23 67 2555"/>
    <s v="Boulevard Tirou, 255"/>
    <m/>
    <s v="Charleroi"/>
    <m/>
    <s v="B-6000"/>
    <s v="Belgium"/>
    <s v="EMEA"/>
    <s v="Cartrain"/>
    <s v="Pascale"/>
    <s v="Small"/>
    <n v="2312.2399999999998"/>
  </r>
  <r>
    <n v="10350"/>
    <n v="43"/>
    <n v="64.97"/>
    <n v="6"/>
    <n v="2793.71"/>
    <d v="2004-12-02T00:00:00"/>
    <s v="Shipped"/>
    <n v="4"/>
    <x v="6"/>
    <n v="2004"/>
    <x v="5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Small"/>
    <n v="2793.71"/>
  </r>
  <r>
    <n v="10373"/>
    <n v="22"/>
    <n v="86.74"/>
    <n v="5"/>
    <n v="1908.28"/>
    <d v="2005-01-31T00:00:00"/>
    <s v="Shipped"/>
    <n v="1"/>
    <x v="7"/>
    <n v="2005"/>
    <x v="5"/>
    <n v="86"/>
    <s v="S18_3029"/>
    <s v="Oulu Toy Supplies, Inc."/>
    <s v="981-443655"/>
    <s v="Torikatu 38"/>
    <m/>
    <s v="Oulu"/>
    <m/>
    <n v="90110"/>
    <s v="Finland"/>
    <s v="EMEA"/>
    <s v="Koskitalo"/>
    <s v="Pirkko"/>
    <s v="Small"/>
    <n v="1908.28"/>
  </r>
  <r>
    <n v="10386"/>
    <n v="37"/>
    <n v="93.01"/>
    <n v="5"/>
    <n v="3441.37"/>
    <d v="2005-03-01T00:00:00"/>
    <s v="Resolved"/>
    <n v="1"/>
    <x v="11"/>
    <n v="2005"/>
    <x v="5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Medium"/>
    <n v="3441.3700000000003"/>
  </r>
  <r>
    <n v="10398"/>
    <n v="28"/>
    <n v="72.260000000000005"/>
    <n v="18"/>
    <n v="2023.28"/>
    <d v="2005-03-30T00:00:00"/>
    <s v="Shipped"/>
    <n v="1"/>
    <x v="11"/>
    <n v="2005"/>
    <x v="5"/>
    <n v="86"/>
    <s v="S18_3029"/>
    <s v="Reims Collectables"/>
    <s v="26.47.1555"/>
    <s v="59 rue de l'Abbaye"/>
    <m/>
    <s v="Reims"/>
    <m/>
    <n v="51100"/>
    <s v="France"/>
    <s v="EMEA"/>
    <s v="Henriot"/>
    <s v="Paul"/>
    <s v="Small"/>
    <n v="2023.2800000000002"/>
  </r>
  <r>
    <n v="10400"/>
    <n v="30"/>
    <n v="74.84"/>
    <n v="7"/>
    <n v="2245.1999999999998"/>
    <d v="2005-04-01T00:00:00"/>
    <s v="Shipped"/>
    <n v="2"/>
    <x v="8"/>
    <n v="2005"/>
    <x v="5"/>
    <n v="86"/>
    <s v="S18_3029"/>
    <s v="The Sharp Gifts Warehouse"/>
    <n v="4085553659"/>
    <s v="3086 Ingle Ln."/>
    <m/>
    <s v="San Jose"/>
    <s v="CA"/>
    <n v="94217"/>
    <s v="USA"/>
    <s v="NA"/>
    <s v="Frick"/>
    <s v="Sue"/>
    <s v="Small"/>
    <n v="2245.2000000000003"/>
  </r>
  <r>
    <n v="10414"/>
    <n v="44"/>
    <n v="73.98"/>
    <n v="1"/>
    <n v="3255.12"/>
    <d v="2005-05-06T00:00:00"/>
    <s v="On Hold"/>
    <n v="2"/>
    <x v="1"/>
    <n v="2005"/>
    <x v="5"/>
    <n v="86"/>
    <s v="S18_3029"/>
    <s v="Gifts4AllAges.com"/>
    <n v="6175559555"/>
    <s v="8616 Spinnaker Dr."/>
    <m/>
    <s v="Boston"/>
    <s v="MA"/>
    <n v="51003"/>
    <s v="USA"/>
    <s v="NA"/>
    <s v="Yoshido"/>
    <s v="Juri"/>
    <s v="Medium"/>
    <n v="3255.1200000000003"/>
  </r>
  <r>
    <n v="10103"/>
    <n v="25"/>
    <n v="100"/>
    <n v="13"/>
    <n v="2539.5"/>
    <d v="2003-01-29T00:00:00"/>
    <s v="Shipped"/>
    <n v="1"/>
    <x v="7"/>
    <n v="2003"/>
    <x v="3"/>
    <n v="104"/>
    <s v="S18_3136"/>
    <s v="Baane Mini Imports"/>
    <s v="07-98 9555"/>
    <s v="Erling Skakkes gate 78"/>
    <m/>
    <s v="Stavern"/>
    <m/>
    <n v="4110"/>
    <s v="Norway"/>
    <s v="EMEA"/>
    <s v="Bergulfsen"/>
    <s v="Jonas"/>
    <s v="Small"/>
    <n v="2500"/>
  </r>
  <r>
    <n v="10111"/>
    <n v="43"/>
    <n v="100"/>
    <n v="1"/>
    <n v="4818.1499999999996"/>
    <d v="2003-03-25T00:00:00"/>
    <s v="Shipped"/>
    <n v="1"/>
    <x v="11"/>
    <n v="2003"/>
    <x v="3"/>
    <n v="104"/>
    <s v="S18_3136"/>
    <s v="Mini Wheels Co."/>
    <n v="6505555787"/>
    <s v="5557 North Pendale Street"/>
    <m/>
    <s v="San Francisco"/>
    <s v="CA"/>
    <m/>
    <s v="USA"/>
    <s v="NA"/>
    <s v="Murphy"/>
    <s v="Julie"/>
    <s v="Medium"/>
    <n v="4300"/>
  </r>
  <r>
    <n v="10126"/>
    <n v="30"/>
    <n v="97.39"/>
    <n v="13"/>
    <n v="2921.7"/>
    <d v="2003-05-28T00:00:00"/>
    <s v="Shipped"/>
    <n v="2"/>
    <x v="1"/>
    <n v="2003"/>
    <x v="3"/>
    <n v="104"/>
    <s v="S18_3136"/>
    <s v="Corrida Auto Replicas, Ltd"/>
    <s v="(91) 555 22 82"/>
    <s v="C/ Araquil, 67"/>
    <m/>
    <s v="Madrid"/>
    <m/>
    <n v="28023"/>
    <s v="Spain"/>
    <s v="EMEA"/>
    <s v="Sommer"/>
    <s v="Mart¡n"/>
    <s v="Small"/>
    <n v="2921.7"/>
  </r>
  <r>
    <n v="10139"/>
    <n v="20"/>
    <n v="90.06"/>
    <n v="2"/>
    <n v="1801.2"/>
    <d v="2003-07-16T00:00:00"/>
    <s v="Shipped"/>
    <n v="3"/>
    <x v="2"/>
    <n v="2003"/>
    <x v="3"/>
    <n v="104"/>
    <s v="S18_313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801.2"/>
  </r>
  <r>
    <n v="10150"/>
    <n v="26"/>
    <n v="100"/>
    <n v="10"/>
    <n v="2804.36"/>
    <d v="2003-09-19T00:00:00"/>
    <s v="Shipped"/>
    <n v="3"/>
    <x v="10"/>
    <n v="2003"/>
    <x v="3"/>
    <n v="104"/>
    <s v="S18_3136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600"/>
  </r>
  <r>
    <n v="10163"/>
    <n v="40"/>
    <n v="100"/>
    <n v="3"/>
    <n v="4900.8"/>
    <d v="2003-10-20T00:00:00"/>
    <s v="Shipped"/>
    <n v="4"/>
    <x v="4"/>
    <n v="2003"/>
    <x v="3"/>
    <n v="104"/>
    <s v="S18_3136"/>
    <s v="Classic Legends Inc."/>
    <n v="2125558493"/>
    <s v="5905 Pompton St."/>
    <s v="Suite 750"/>
    <s v="NYC"/>
    <s v="NY"/>
    <n v="10022"/>
    <s v="USA"/>
    <s v="NA"/>
    <s v="Hernandez"/>
    <s v="Maria"/>
    <s v="Medium"/>
    <n v="4000"/>
  </r>
  <r>
    <n v="10173"/>
    <n v="31"/>
    <n v="89.01"/>
    <n v="1"/>
    <n v="2759.31"/>
    <d v="2003-11-05T00:00:00"/>
    <s v="Shipped"/>
    <n v="4"/>
    <x v="5"/>
    <n v="2003"/>
    <x v="3"/>
    <n v="104"/>
    <s v="S18_3136"/>
    <s v="Rovelli Gifts"/>
    <s v="035-640555"/>
    <s v="Via Ludovico il Moro 22"/>
    <m/>
    <s v="Bergamo"/>
    <m/>
    <n v="24100"/>
    <s v="Italy"/>
    <s v="EMEA"/>
    <s v="Rovelli"/>
    <s v="Giovanni"/>
    <s v="Small"/>
    <n v="2759.31"/>
  </r>
  <r>
    <n v="10183"/>
    <n v="22"/>
    <n v="100"/>
    <n v="10"/>
    <n v="2488.1999999999998"/>
    <d v="2003-11-13T00:00:00"/>
    <s v="Shipped"/>
    <n v="4"/>
    <x v="5"/>
    <n v="2003"/>
    <x v="3"/>
    <n v="104"/>
    <s v="S18_3136"/>
    <s v="Classic Gift Ideas, Inc"/>
    <n v="2155554695"/>
    <s v="782 First Street"/>
    <m/>
    <s v="Philadelphia"/>
    <s v="PA"/>
    <n v="71270"/>
    <s v="USA"/>
    <s v="NA"/>
    <s v="Cervantes"/>
    <s v="Francisca"/>
    <s v="Small"/>
    <n v="2200"/>
  </r>
  <r>
    <n v="10193"/>
    <n v="23"/>
    <n v="100"/>
    <n v="2"/>
    <n v="2769.89"/>
    <d v="2003-11-21T00:00:00"/>
    <s v="Shipped"/>
    <n v="4"/>
    <x v="5"/>
    <n v="2003"/>
    <x v="3"/>
    <n v="104"/>
    <s v="S18_3136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2300"/>
  </r>
  <r>
    <n v="10206"/>
    <n v="30"/>
    <n v="100"/>
    <n v="8"/>
    <n v="3581.4"/>
    <d v="2003-12-05T00:00:00"/>
    <s v="Shipped"/>
    <n v="4"/>
    <x v="6"/>
    <n v="2003"/>
    <x v="3"/>
    <n v="104"/>
    <s v="S18_3136"/>
    <s v="Canadian Gift Exchange Network"/>
    <s v="(604) 555-3392"/>
    <s v="1900 Oak St."/>
    <m/>
    <s v="Vancouver"/>
    <s v="BC"/>
    <s v="V3F 2K1"/>
    <s v="Canada"/>
    <s v="NA"/>
    <s v="Tannamuri"/>
    <s v="Yoshi"/>
    <s v="Medium"/>
    <n v="3000"/>
  </r>
  <r>
    <n v="10215"/>
    <n v="49"/>
    <n v="100"/>
    <n v="5"/>
    <n v="5285.14"/>
    <d v="2004-01-29T00:00:00"/>
    <s v="Shipped"/>
    <n v="1"/>
    <x v="7"/>
    <n v="2004"/>
    <x v="3"/>
    <n v="104"/>
    <s v="S18_3136"/>
    <s v="West Coast Collectables Co."/>
    <n v="3105553722"/>
    <s v="3675 Furth Circle"/>
    <m/>
    <s v="Burbank"/>
    <s v="CA"/>
    <n v="94019"/>
    <s v="USA"/>
    <s v="NA"/>
    <s v="Thompson"/>
    <s v="Steve"/>
    <s v="Medium"/>
    <n v="4900"/>
  </r>
  <r>
    <n v="10228"/>
    <n v="31"/>
    <n v="100"/>
    <n v="4"/>
    <n v="3181.53"/>
    <d v="2004-03-10T00:00:00"/>
    <s v="Shipped"/>
    <n v="1"/>
    <x v="11"/>
    <n v="2004"/>
    <x v="3"/>
    <n v="104"/>
    <s v="S18_3136"/>
    <s v="Cambridge Collectables Co."/>
    <n v="6175555555"/>
    <s v="4658 Baden Av."/>
    <m/>
    <s v="Cambridge"/>
    <s v="MA"/>
    <n v="51247"/>
    <s v="USA"/>
    <s v="NA"/>
    <s v="Tseng"/>
    <s v="Kyung"/>
    <s v="Medium"/>
    <n v="3100"/>
  </r>
  <r>
    <n v="10244"/>
    <n v="29"/>
    <n v="100"/>
    <n v="2"/>
    <n v="3340.51"/>
    <d v="2004-04-29T00:00:00"/>
    <s v="Shipped"/>
    <n v="2"/>
    <x v="8"/>
    <n v="2004"/>
    <x v="3"/>
    <n v="104"/>
    <s v="S18_3136"/>
    <s v="Euro Shopping Channel"/>
    <s v="(91) 555 94 44"/>
    <s v="C/ Moralzarzal, 86"/>
    <m/>
    <s v="Madrid"/>
    <m/>
    <n v="28034"/>
    <s v="Spain"/>
    <s v="EMEA"/>
    <s v="Freyre"/>
    <s v="Diego"/>
    <s v="Medium"/>
    <n v="2900"/>
  </r>
  <r>
    <n v="10257"/>
    <n v="37"/>
    <n v="84.82"/>
    <n v="2"/>
    <n v="3138.34"/>
    <d v="2004-06-14T00:00:00"/>
    <s v="Shipped"/>
    <n v="2"/>
    <x v="9"/>
    <n v="2004"/>
    <x v="3"/>
    <n v="104"/>
    <s v="S18_3136"/>
    <s v="The Sharp Gifts Warehouse"/>
    <n v="4085553659"/>
    <s v="3086 Ingle Ln."/>
    <m/>
    <s v="San Jose"/>
    <s v="CA"/>
    <n v="94217"/>
    <s v="USA"/>
    <s v="NA"/>
    <s v="Frick"/>
    <s v="Sue"/>
    <s v="Medium"/>
    <n v="3138.3399999999997"/>
  </r>
  <r>
    <n v="10270"/>
    <n v="38"/>
    <n v="100"/>
    <n v="11"/>
    <n v="4775.08"/>
    <d v="2004-07-19T00:00:00"/>
    <s v="Shipped"/>
    <n v="3"/>
    <x v="2"/>
    <n v="2004"/>
    <x v="3"/>
    <n v="104"/>
    <s v="S18_313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800"/>
  </r>
  <r>
    <n v="10280"/>
    <n v="29"/>
    <n v="100"/>
    <n v="4"/>
    <n v="3006.43"/>
    <d v="2004-08-17T00:00:00"/>
    <s v="Shipped"/>
    <n v="3"/>
    <x v="3"/>
    <n v="2004"/>
    <x v="3"/>
    <n v="104"/>
    <s v="S18_3136"/>
    <s v="Amica Models &amp; Co."/>
    <s v="011-4988555"/>
    <s v="Via Monte Bianco 34"/>
    <m/>
    <s v="Torino"/>
    <m/>
    <n v="10100"/>
    <s v="Italy"/>
    <s v="EMEA"/>
    <s v="Accorti"/>
    <s v="Paolo"/>
    <s v="Medium"/>
    <n v="2900"/>
  </r>
  <r>
    <n v="10291"/>
    <n v="23"/>
    <n v="100"/>
    <n v="13"/>
    <n v="2866.26"/>
    <d v="2004-09-08T00:00:00"/>
    <s v="Shipped"/>
    <n v="3"/>
    <x v="10"/>
    <n v="2004"/>
    <x v="3"/>
    <n v="104"/>
    <s v="S18_3136"/>
    <s v="Scandinavian Gift Ideas"/>
    <s v="0695-34 6555"/>
    <s v="?kergatan 24"/>
    <m/>
    <s v="Boras"/>
    <m/>
    <s v="S-844 67"/>
    <s v="Sweden"/>
    <s v="EMEA"/>
    <s v="Larsson"/>
    <s v="Maria"/>
    <s v="Small"/>
    <n v="2300"/>
  </r>
  <r>
    <n v="10304"/>
    <n v="26"/>
    <n v="85.87"/>
    <n v="8"/>
    <n v="2232.62"/>
    <d v="2004-10-11T00:00:00"/>
    <s v="Shipped"/>
    <n v="4"/>
    <x v="4"/>
    <n v="2004"/>
    <x v="3"/>
    <n v="104"/>
    <s v="S18_3136"/>
    <s v="Auto Assoc. &amp; Cie."/>
    <s v="30.59.8555"/>
    <s v="67, avenue de l'Europe"/>
    <m/>
    <s v="Versailles"/>
    <m/>
    <n v="78000"/>
    <s v="France"/>
    <s v="EMEA"/>
    <s v="Tonini"/>
    <s v="Daniel"/>
    <s v="Small"/>
    <n v="2232.62"/>
  </r>
  <r>
    <n v="10312"/>
    <n v="38"/>
    <n v="100"/>
    <n v="5"/>
    <n v="4457.0200000000004"/>
    <d v="2004-10-21T00:00:00"/>
    <s v="Shipped"/>
    <n v="4"/>
    <x v="4"/>
    <n v="2004"/>
    <x v="3"/>
    <n v="104"/>
    <s v="S18_3136"/>
    <s v="Mini Gifts Distributors Ltd."/>
    <n v="4155551450"/>
    <s v="5677 Strong St."/>
    <m/>
    <s v="San Rafael"/>
    <s v="CA"/>
    <n v="97562"/>
    <s v="USA"/>
    <s v="NA"/>
    <s v="Nelson"/>
    <s v="Valarie"/>
    <s v="Medium"/>
    <n v="3800"/>
  </r>
  <r>
    <n v="10322"/>
    <n v="48"/>
    <n v="47.04"/>
    <n v="7"/>
    <n v="2257.92"/>
    <d v="2004-11-04T00:00:00"/>
    <s v="Shipped"/>
    <n v="4"/>
    <x v="5"/>
    <n v="2004"/>
    <x v="3"/>
    <n v="104"/>
    <s v="S18_3136"/>
    <s v="Online Diecast Creations Co."/>
    <n v="6035558647"/>
    <s v="2304 Long Airport Avenue"/>
    <m/>
    <s v="Nashua"/>
    <s v="NH"/>
    <n v="62005"/>
    <s v="USA"/>
    <s v="NA"/>
    <s v="Young"/>
    <s v="Valarie"/>
    <s v="Small"/>
    <n v="2257.92"/>
  </r>
  <r>
    <n v="10332"/>
    <n v="40"/>
    <n v="39.799999999999997"/>
    <n v="18"/>
    <n v="1592"/>
    <d v="2004-11-17T00:00:00"/>
    <s v="Shipped"/>
    <n v="4"/>
    <x v="5"/>
    <n v="2004"/>
    <x v="3"/>
    <n v="104"/>
    <s v="S18_3136"/>
    <s v="AV Stores, Co."/>
    <s v="(171) 555-1555"/>
    <s v="Fauntleroy Circus"/>
    <m/>
    <s v="Manchester"/>
    <m/>
    <s v="EC2 5NT"/>
    <s v="UK"/>
    <s v="EMEA"/>
    <s v="Ashworth"/>
    <s v="Victoria"/>
    <s v="Small"/>
    <n v="1592"/>
  </r>
  <r>
    <n v="10347"/>
    <n v="45"/>
    <n v="100"/>
    <n v="11"/>
    <n v="4948.2"/>
    <d v="2004-11-29T00:00:00"/>
    <s v="Shipped"/>
    <n v="4"/>
    <x v="5"/>
    <n v="2004"/>
    <x v="3"/>
    <n v="104"/>
    <s v="S18_313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4500"/>
  </r>
  <r>
    <n v="10357"/>
    <n v="44"/>
    <n v="100"/>
    <n v="4"/>
    <n v="5160.76"/>
    <d v="2004-12-10T00:00:00"/>
    <s v="Shipped"/>
    <n v="4"/>
    <x v="6"/>
    <n v="2004"/>
    <x v="3"/>
    <n v="104"/>
    <s v="S18_3136"/>
    <s v="Mini Gifts Distributors Ltd."/>
    <n v="4155551450"/>
    <s v="5677 Strong St."/>
    <m/>
    <s v="San Rafael"/>
    <s v="CA"/>
    <n v="97562"/>
    <s v="USA"/>
    <s v="NA"/>
    <s v="Nelson"/>
    <s v="Valarie"/>
    <s v="Medium"/>
    <n v="4400"/>
  </r>
  <r>
    <n v="10369"/>
    <n v="21"/>
    <n v="94.22"/>
    <n v="5"/>
    <n v="1978.62"/>
    <d v="2005-01-20T00:00:00"/>
    <s v="Shipped"/>
    <n v="1"/>
    <x v="7"/>
    <n v="2005"/>
    <x v="3"/>
    <n v="104"/>
    <s v="S18_3136"/>
    <s v="Collectables For Less Inc."/>
    <n v="6175558555"/>
    <s v="7825 Douglas Av."/>
    <m/>
    <s v="Brickhaven"/>
    <s v="MA"/>
    <n v="58339"/>
    <s v="USA"/>
    <s v="NA"/>
    <s v="Nelson"/>
    <s v="Allen"/>
    <s v="Small"/>
    <n v="1978.62"/>
  </r>
  <r>
    <n v="10381"/>
    <n v="35"/>
    <n v="100"/>
    <n v="5"/>
    <n v="4288.2"/>
    <d v="2005-02-17T00:00:00"/>
    <s v="Shipped"/>
    <n v="1"/>
    <x v="0"/>
    <n v="2005"/>
    <x v="3"/>
    <n v="104"/>
    <s v="S18_3136"/>
    <s v="Corporate Gift Ideas Co."/>
    <n v="6505551386"/>
    <s v="7734 Strong St."/>
    <m/>
    <s v="San Francisco"/>
    <s v="CA"/>
    <m/>
    <s v="USA"/>
    <s v="NA"/>
    <s v="Brown"/>
    <s v="Julie"/>
    <s v="Medium"/>
    <n v="3500"/>
  </r>
  <r>
    <n v="10392"/>
    <n v="29"/>
    <n v="86.92"/>
    <n v="2"/>
    <n v="2520.6799999999998"/>
    <d v="2005-03-10T00:00:00"/>
    <s v="Shipped"/>
    <n v="1"/>
    <x v="11"/>
    <n v="2005"/>
    <x v="3"/>
    <n v="104"/>
    <s v="S18_3136"/>
    <s v="Mini Auto Werke"/>
    <s v="7675-3555"/>
    <s v="Kirchgasse 6"/>
    <m/>
    <s v="Graz"/>
    <m/>
    <n v="8010"/>
    <s v="Austria"/>
    <s v="EMEA"/>
    <s v="Mendel"/>
    <s v="Roland"/>
    <s v="Small"/>
    <n v="2520.6799999999998"/>
  </r>
  <r>
    <n v="10423"/>
    <n v="21"/>
    <n v="84.82"/>
    <n v="2"/>
    <n v="1781.22"/>
    <d v="2005-05-30T00:00:00"/>
    <s v="In Process"/>
    <n v="2"/>
    <x v="1"/>
    <n v="2005"/>
    <x v="3"/>
    <n v="104"/>
    <s v="S18_3136"/>
    <s v="Petit Auto"/>
    <s v="(02) 5554 67"/>
    <s v="Rue Joseph-Bens 532"/>
    <m/>
    <s v="Bruxelles"/>
    <m/>
    <s v="B-1180"/>
    <s v="Belgium"/>
    <s v="EMEA"/>
    <s v="Dewey"/>
    <s v="Catherine"/>
    <s v="Small"/>
    <n v="1781.2199999999998"/>
  </r>
  <r>
    <n v="10105"/>
    <n v="22"/>
    <n v="100"/>
    <n v="11"/>
    <n v="3065.04"/>
    <d v="2003-02-11T00:00:00"/>
    <s v="Shipped"/>
    <n v="1"/>
    <x v="0"/>
    <n v="2003"/>
    <x v="3"/>
    <n v="136"/>
    <s v="S18_3140"/>
    <s v="Danish Wholesale Imports"/>
    <s v="31 12 3555"/>
    <s v="Vinb'ltet 34"/>
    <m/>
    <s v="Kobenhavn"/>
    <m/>
    <n v="1734"/>
    <s v="Denmark"/>
    <s v="EMEA"/>
    <s v="Petersen"/>
    <s v="Jytte"/>
    <s v="Medium"/>
    <n v="2200"/>
  </r>
  <r>
    <n v="10117"/>
    <n v="26"/>
    <n v="100"/>
    <n v="5"/>
    <n v="3551.34"/>
    <d v="2003-04-16T00:00:00"/>
    <s v="Shipped"/>
    <n v="2"/>
    <x v="8"/>
    <n v="2003"/>
    <x v="3"/>
    <n v="136"/>
    <s v="S18_314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2600"/>
  </r>
  <r>
    <n v="10128"/>
    <n v="41"/>
    <n v="100"/>
    <n v="2"/>
    <n v="5544.02"/>
    <d v="2003-06-06T00:00:00"/>
    <s v="Shipped"/>
    <n v="2"/>
    <x v="9"/>
    <n v="2003"/>
    <x v="3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142"/>
    <n v="47"/>
    <n v="100"/>
    <n v="8"/>
    <n v="6034.33"/>
    <d v="2003-08-08T00:00:00"/>
    <s v="Shipped"/>
    <n v="3"/>
    <x v="3"/>
    <n v="2003"/>
    <x v="3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  <n v="4700"/>
  </r>
  <r>
    <n v="10153"/>
    <n v="31"/>
    <n v="100"/>
    <n v="7"/>
    <n v="3641.57"/>
    <d v="2003-09-28T00:00:00"/>
    <s v="Shipped"/>
    <n v="3"/>
    <x v="10"/>
    <n v="2003"/>
    <x v="3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  <n v="3100"/>
  </r>
  <r>
    <n v="10166"/>
    <n v="43"/>
    <n v="100"/>
    <n v="2"/>
    <n v="6930.74"/>
    <d v="2003-10-21T00:00:00"/>
    <s v="Shipped"/>
    <n v="4"/>
    <x v="4"/>
    <n v="2003"/>
    <x v="3"/>
    <n v="136"/>
    <s v="S18_3140"/>
    <s v="FunGiftIdeas.com"/>
    <n v="5085552555"/>
    <s v="1785 First Street"/>
    <m/>
    <s v="New Bedford"/>
    <s v="MA"/>
    <n v="50553"/>
    <s v="USA"/>
    <s v="NA"/>
    <s v="Benitez"/>
    <s v="Violeta"/>
    <s v="Medium"/>
    <n v="4300"/>
  </r>
  <r>
    <n v="10177"/>
    <n v="23"/>
    <n v="100"/>
    <n v="9"/>
    <n v="3675.63"/>
    <d v="2003-11-07T00:00:00"/>
    <s v="Shipped"/>
    <n v="4"/>
    <x v="5"/>
    <n v="2003"/>
    <x v="3"/>
    <n v="136"/>
    <s v="S18_3140"/>
    <s v="CAF Imports"/>
    <s v="+34 913 728 555"/>
    <s v="Merchants House, 27-30 Merchant's Quay"/>
    <m/>
    <s v="Madrid"/>
    <m/>
    <n v="28023"/>
    <s v="Spain"/>
    <s v="EMEA"/>
    <s v="Fernandez"/>
    <s v="Jesus"/>
    <s v="Medium"/>
    <n v="2300"/>
  </r>
  <r>
    <n v="10185"/>
    <n v="28"/>
    <n v="100"/>
    <n v="9"/>
    <n v="3442.04"/>
    <d v="2003-11-14T00:00:00"/>
    <s v="Shipped"/>
    <n v="4"/>
    <x v="5"/>
    <n v="2003"/>
    <x v="3"/>
    <n v="136"/>
    <s v="S18_3140"/>
    <s v="Mini Creations Ltd."/>
    <n v="5085559555"/>
    <s v="4575 Hillside Dr."/>
    <m/>
    <s v="New Bedford"/>
    <s v="MA"/>
    <n v="50553"/>
    <s v="USA"/>
    <s v="NA"/>
    <s v="Tam"/>
    <s v="Wing C"/>
    <s v="Medium"/>
    <n v="2800"/>
  </r>
  <r>
    <n v="10196"/>
    <n v="49"/>
    <n v="100"/>
    <n v="1"/>
    <n v="6893.81"/>
    <d v="2003-11-26T00:00:00"/>
    <s v="Shipped"/>
    <n v="4"/>
    <x v="5"/>
    <n v="2003"/>
    <x v="3"/>
    <n v="136"/>
    <s v="S18_3140"/>
    <s v="Super Scale Inc."/>
    <n v="2035559545"/>
    <s v="567 North Pendale Street"/>
    <m/>
    <s v="New Haven"/>
    <s v="CT"/>
    <n v="97823"/>
    <s v="USA"/>
    <s v="NA"/>
    <s v="Murphy"/>
    <s v="Leslie"/>
    <s v="Medium"/>
    <n v="4900"/>
  </r>
  <r>
    <n v="10208"/>
    <n v="24"/>
    <n v="100"/>
    <n v="9"/>
    <n v="2622.48"/>
    <d v="2004-01-02T00:00:00"/>
    <s v="Shipped"/>
    <n v="1"/>
    <x v="7"/>
    <n v="2004"/>
    <x v="3"/>
    <n v="136"/>
    <s v="S18_3140"/>
    <s v="Saveley &amp; Henriot, Co."/>
    <s v="78.32.5555"/>
    <s v="2, rue du Commerce"/>
    <m/>
    <s v="Lyon"/>
    <m/>
    <n v="69004"/>
    <s v="France"/>
    <s v="EMEA"/>
    <s v="Saveley"/>
    <s v="Mary"/>
    <s v="Small"/>
    <n v="2400"/>
  </r>
  <r>
    <n v="10221"/>
    <n v="33"/>
    <n v="100"/>
    <n v="3"/>
    <n v="4417.38"/>
    <d v="2004-02-18T00:00:00"/>
    <s v="Shipped"/>
    <n v="1"/>
    <x v="0"/>
    <n v="2004"/>
    <x v="3"/>
    <n v="136"/>
    <s v="S18_3140"/>
    <s v="Petit Auto"/>
    <s v="(02) 5554 67"/>
    <s v="Rue Joseph-Bens 532"/>
    <m/>
    <s v="Bruxelles"/>
    <m/>
    <s v="B-1180"/>
    <s v="Belgium"/>
    <s v="EMEA"/>
    <s v="Dewey"/>
    <s v="Catherine"/>
    <s v="Medium"/>
    <n v="3300"/>
  </r>
  <r>
    <n v="10232"/>
    <n v="22"/>
    <n v="100"/>
    <n v="6"/>
    <n v="3606.02"/>
    <d v="2004-03-20T00:00:00"/>
    <s v="Shipped"/>
    <n v="1"/>
    <x v="11"/>
    <n v="2004"/>
    <x v="3"/>
    <n v="136"/>
    <s v="S18_3140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2200"/>
  </r>
  <r>
    <n v="10248"/>
    <n v="32"/>
    <n v="100"/>
    <n v="12"/>
    <n v="3802.56"/>
    <d v="2004-05-07T00:00:00"/>
    <s v="Cancelled"/>
    <n v="2"/>
    <x v="1"/>
    <n v="2004"/>
    <x v="3"/>
    <n v="136"/>
    <s v="S18_3140"/>
    <s v="Land of Toys Inc."/>
    <n v="2125557818"/>
    <s v="897 Long Airport Avenue"/>
    <m/>
    <s v="NYC"/>
    <s v="NY"/>
    <n v="10022"/>
    <s v="USA"/>
    <s v="NA"/>
    <s v="Yu"/>
    <s v="Kwai"/>
    <s v="Medium"/>
    <n v="3200"/>
  </r>
  <r>
    <n v="10273"/>
    <n v="40"/>
    <n v="100"/>
    <n v="13"/>
    <n v="5026.3999999999996"/>
    <d v="2004-07-21T00:00:00"/>
    <s v="Shipped"/>
    <n v="3"/>
    <x v="2"/>
    <n v="2004"/>
    <x v="3"/>
    <n v="136"/>
    <s v="S18_3140"/>
    <s v="Petit Auto"/>
    <s v="(02) 5554 67"/>
    <s v="Rue Joseph-Bens 532"/>
    <m/>
    <s v="Bruxelles"/>
    <m/>
    <s v="B-1180"/>
    <s v="Belgium"/>
    <s v="EMEA"/>
    <s v="Dewey"/>
    <s v="Catherine"/>
    <s v="Medium"/>
    <n v="4000"/>
  </r>
  <r>
    <n v="10282"/>
    <n v="43"/>
    <n v="100"/>
    <n v="1"/>
    <n v="6695.53"/>
    <d v="2004-08-20T00:00:00"/>
    <s v="Shipped"/>
    <n v="3"/>
    <x v="3"/>
    <n v="2004"/>
    <x v="3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  <n v="4300"/>
  </r>
  <r>
    <n v="10293"/>
    <n v="24"/>
    <n v="100"/>
    <n v="4"/>
    <n v="2819.28"/>
    <d v="2004-09-09T00:00:00"/>
    <s v="Shipped"/>
    <n v="3"/>
    <x v="10"/>
    <n v="2004"/>
    <x v="3"/>
    <n v="136"/>
    <s v="S18_3140"/>
    <s v="Amica Models &amp; Co."/>
    <s v="011-4988555"/>
    <s v="Via Monte Bianco 34"/>
    <m/>
    <s v="Torino"/>
    <m/>
    <n v="10100"/>
    <s v="Italy"/>
    <s v="EMEA"/>
    <s v="Accorti"/>
    <s v="Paolo"/>
    <s v="Small"/>
    <n v="2400"/>
  </r>
  <r>
    <n v="10306"/>
    <n v="32"/>
    <n v="100"/>
    <n v="9"/>
    <n v="3759.04"/>
    <d v="2004-10-14T00:00:00"/>
    <s v="Shipped"/>
    <n v="4"/>
    <x v="4"/>
    <n v="2004"/>
    <x v="3"/>
    <n v="136"/>
    <s v="S18_3140"/>
    <s v="AV Stores, Co."/>
    <s v="(171) 555-1555"/>
    <s v="Fauntleroy Circus"/>
    <m/>
    <s v="Manchester"/>
    <m/>
    <s v="EC2 5NT"/>
    <s v="UK"/>
    <s v="EMEA"/>
    <s v="Ashworth"/>
    <s v="Victoria"/>
    <s v="Medium"/>
    <n v="3200"/>
  </r>
  <r>
    <n v="10314"/>
    <n v="20"/>
    <n v="100"/>
    <n v="1"/>
    <n v="2731.8"/>
    <d v="2004-10-22T00:00:00"/>
    <s v="Shipped"/>
    <n v="4"/>
    <x v="4"/>
    <n v="2004"/>
    <x v="3"/>
    <n v="136"/>
    <s v="S18_3140"/>
    <s v="Heintze Collectables"/>
    <s v="86 21 3555"/>
    <s v="Smagsloget 45"/>
    <m/>
    <s v="Aaarhus"/>
    <m/>
    <n v="8200"/>
    <s v="Denmark"/>
    <s v="EMEA"/>
    <s v="Ibsen"/>
    <s v="Palle"/>
    <s v="Small"/>
    <n v="2000"/>
  </r>
  <r>
    <n v="10325"/>
    <n v="24"/>
    <n v="69.12"/>
    <n v="9"/>
    <n v="1658.88"/>
    <d v="2004-11-05T00:00:00"/>
    <s v="Shipped"/>
    <n v="4"/>
    <x v="5"/>
    <n v="2004"/>
    <x v="3"/>
    <n v="136"/>
    <s v="S18_3140"/>
    <s v="Baane Mini Imports"/>
    <s v="07-98 9555"/>
    <s v="Erling Skakkes gate 78"/>
    <m/>
    <s v="Stavern"/>
    <m/>
    <n v="4110"/>
    <s v="Norway"/>
    <s v="EMEA"/>
    <s v="Bergulfsen"/>
    <s v="Jonas"/>
    <s v="Small"/>
    <n v="1658.88"/>
  </r>
  <r>
    <n v="10336"/>
    <n v="48"/>
    <n v="100"/>
    <n v="12"/>
    <n v="5778.24"/>
    <d v="2004-11-20T00:00:00"/>
    <s v="Shipped"/>
    <n v="4"/>
    <x v="5"/>
    <n v="2004"/>
    <x v="3"/>
    <n v="136"/>
    <s v="S18_3140"/>
    <s v="La Corne D'abondance, Co."/>
    <s v="(1) 42.34.2555"/>
    <s v="265, boulevard Charonne"/>
    <m/>
    <s v="Paris"/>
    <m/>
    <n v="75012"/>
    <s v="France"/>
    <s v="EMEA"/>
    <s v="Bertrand"/>
    <s v="Marie"/>
    <s v="Medium"/>
    <n v="4800"/>
  </r>
  <r>
    <n v="10350"/>
    <n v="44"/>
    <n v="100"/>
    <n v="1"/>
    <n v="5191.12"/>
    <d v="2004-12-02T00:00:00"/>
    <s v="Shipped"/>
    <n v="4"/>
    <x v="6"/>
    <n v="2004"/>
    <x v="3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  <n v="4400"/>
  </r>
  <r>
    <n v="10372"/>
    <n v="28"/>
    <n v="100"/>
    <n v="3"/>
    <n v="3862.88"/>
    <d v="2005-01-26T00:00:00"/>
    <s v="Shipped"/>
    <n v="1"/>
    <x v="7"/>
    <n v="2005"/>
    <x v="3"/>
    <n v="136"/>
    <s v="S18_3140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2800"/>
  </r>
  <r>
    <n v="10383"/>
    <n v="24"/>
    <n v="61.52"/>
    <n v="9"/>
    <n v="1476.48"/>
    <d v="2005-02-22T00:00:00"/>
    <s v="Shipped"/>
    <n v="1"/>
    <x v="0"/>
    <n v="2005"/>
    <x v="3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Small"/>
    <n v="1476.48"/>
  </r>
  <r>
    <n v="10396"/>
    <n v="33"/>
    <n v="100"/>
    <n v="2"/>
    <n v="5273.73"/>
    <d v="2005-03-23T00:00:00"/>
    <s v="Shipped"/>
    <n v="1"/>
    <x v="11"/>
    <n v="2005"/>
    <x v="3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  <n v="3300"/>
  </r>
  <r>
    <n v="10414"/>
    <n v="41"/>
    <n v="100"/>
    <n v="12"/>
    <n v="4872.03"/>
    <d v="2005-05-06T00:00:00"/>
    <s v="On Hold"/>
    <n v="2"/>
    <x v="1"/>
    <n v="2005"/>
    <x v="3"/>
    <n v="136"/>
    <s v="S18_3140"/>
    <s v="Gifts4AllAges.com"/>
    <n v="6175559555"/>
    <s v="8616 Spinnaker Dr."/>
    <m/>
    <s v="Boston"/>
    <s v="MA"/>
    <n v="51003"/>
    <s v="USA"/>
    <s v="NA"/>
    <s v="Yoshido"/>
    <s v="Juri"/>
    <s v="Medium"/>
    <n v="4100"/>
  </r>
  <r>
    <n v="10104"/>
    <n v="23"/>
    <n v="100"/>
    <n v="13"/>
    <n v="4556.99"/>
    <d v="2003-01-31T00:00:00"/>
    <s v="Shipped"/>
    <n v="1"/>
    <x v="7"/>
    <n v="2003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  <n v="2300"/>
  </r>
  <r>
    <n v="10109"/>
    <n v="46"/>
    <n v="100"/>
    <n v="5"/>
    <n v="8257"/>
    <d v="2003-03-10T00:00:00"/>
    <s v="Shipped"/>
    <n v="1"/>
    <x v="11"/>
    <n v="2003"/>
    <x v="1"/>
    <n v="169"/>
    <s v="S18_3232"/>
    <s v="Motor Mint Distributors Inc."/>
    <n v="2155559857"/>
    <s v="11328 Douglas Av."/>
    <m/>
    <s v="Philadelphia"/>
    <s v="PA"/>
    <n v="71270"/>
    <s v="USA"/>
    <s v="NA"/>
    <s v="Hernandez"/>
    <s v="Rosa"/>
    <s v="Large"/>
    <n v="4600"/>
  </r>
  <r>
    <n v="10114"/>
    <n v="48"/>
    <n v="100"/>
    <n v="4"/>
    <n v="8209.44"/>
    <d v="2003-04-01T00:00:00"/>
    <s v="Shipped"/>
    <n v="2"/>
    <x v="8"/>
    <n v="2003"/>
    <x v="1"/>
    <n v="169"/>
    <s v="S18_3232"/>
    <s v="La Corne D'abondance, Co."/>
    <s v="(1) 42.34.2555"/>
    <s v="265, boulevard Charonne"/>
    <m/>
    <s v="Paris"/>
    <m/>
    <n v="75012"/>
    <s v="France"/>
    <s v="EMEA"/>
    <s v="Bertrand"/>
    <s v="Marie"/>
    <s v="Large"/>
    <n v="4800"/>
  </r>
  <r>
    <n v="10122"/>
    <n v="25"/>
    <n v="100"/>
    <n v="3"/>
    <n v="3598.5"/>
    <d v="2003-05-08T00:00:00"/>
    <s v="Shipped"/>
    <n v="2"/>
    <x v="1"/>
    <n v="2003"/>
    <x v="1"/>
    <n v="169"/>
    <s v="S18_3232"/>
    <s v="Marseille Mini Autos"/>
    <s v="91.24.4555"/>
    <s v="12, rue des Bouchers"/>
    <m/>
    <s v="Marseille"/>
    <m/>
    <n v="13008"/>
    <s v="France"/>
    <s v="EMEA"/>
    <s v="Lebihan"/>
    <s v="Laurence"/>
    <s v="Medium"/>
    <n v="2500"/>
  </r>
  <r>
    <n v="10127"/>
    <n v="22"/>
    <n v="100"/>
    <n v="15"/>
    <n v="3837.24"/>
    <d v="2003-06-03T00:00:00"/>
    <s v="Shipped"/>
    <n v="2"/>
    <x v="9"/>
    <n v="2003"/>
    <x v="1"/>
    <n v="169"/>
    <s v="S18_3232"/>
    <s v="Muscle Machine Inc"/>
    <n v="2125557413"/>
    <s v="4092 Furth Circle"/>
    <s v="Suite 400"/>
    <s v="NYC"/>
    <s v="NY"/>
    <n v="10022"/>
    <s v="USA"/>
    <s v="NA"/>
    <s v="Young"/>
    <s v="Jeff"/>
    <s v="Medium"/>
    <n v="2200"/>
  </r>
  <r>
    <n v="10136"/>
    <n v="41"/>
    <n v="100"/>
    <n v="3"/>
    <n v="8331.61"/>
    <d v="2003-07-04T00:00:00"/>
    <s v="Shipped"/>
    <n v="3"/>
    <x v="2"/>
    <n v="2003"/>
    <x v="1"/>
    <n v="169"/>
    <s v="S18_3232"/>
    <s v="Alpha Cognac"/>
    <s v="61.77.6555"/>
    <s v="1 rue Alsace-Lorraine"/>
    <m/>
    <s v="Toulouse"/>
    <m/>
    <n v="31000"/>
    <s v="France"/>
    <s v="EMEA"/>
    <s v="Roulet"/>
    <s v="Annette"/>
    <s v="Large"/>
    <n v="4100"/>
  </r>
  <r>
    <n v="10141"/>
    <n v="34"/>
    <n v="100"/>
    <n v="9"/>
    <n v="4836.5"/>
    <d v="2003-08-01T00:00:00"/>
    <s v="Shipped"/>
    <n v="3"/>
    <x v="3"/>
    <n v="2003"/>
    <x v="1"/>
    <n v="169"/>
    <s v="S18_3232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3400"/>
  </r>
  <r>
    <n v="10148"/>
    <n v="32"/>
    <n v="100"/>
    <n v="14"/>
    <n v="5418.88"/>
    <d v="2003-09-11T00:00:00"/>
    <s v="Shipped"/>
    <n v="3"/>
    <x v="10"/>
    <n v="2003"/>
    <x v="1"/>
    <n v="169"/>
    <s v="S18_323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200"/>
  </r>
  <r>
    <n v="10151"/>
    <n v="21"/>
    <n v="100"/>
    <n v="7"/>
    <n v="3734.01"/>
    <d v="2003-09-21T00:00:00"/>
    <s v="Shipped"/>
    <n v="3"/>
    <x v="10"/>
    <n v="2003"/>
    <x v="1"/>
    <n v="169"/>
    <s v="S18_3232"/>
    <s v="Oulu Toy Supplies, Inc."/>
    <s v="981-443655"/>
    <s v="Torikatu 38"/>
    <m/>
    <s v="Oulu"/>
    <m/>
    <n v="90110"/>
    <s v="Finland"/>
    <s v="EMEA"/>
    <s v="Koskitalo"/>
    <s v="Pirkko"/>
    <s v="Medium"/>
    <n v="2100"/>
  </r>
  <r>
    <n v="10160"/>
    <n v="20"/>
    <n v="100"/>
    <n v="1"/>
    <n v="3996.4"/>
    <d v="2003-10-11T00:00:00"/>
    <s v="Shipped"/>
    <n v="4"/>
    <x v="4"/>
    <n v="2003"/>
    <x v="1"/>
    <n v="169"/>
    <s v="S18_3232"/>
    <s v="Men 'R' US Retailers, Ltd."/>
    <n v="2155554369"/>
    <s v="6047 Douglas Av."/>
    <m/>
    <s v="Los Angeles"/>
    <s v="CA"/>
    <m/>
    <s v="USA"/>
    <s v="NA"/>
    <s v="Chandler"/>
    <s v="Michael"/>
    <s v="Medium"/>
    <n v="2000"/>
  </r>
  <r>
    <n v="10165"/>
    <n v="47"/>
    <n v="100"/>
    <n v="16"/>
    <n v="8754.69"/>
    <d v="2003-10-22T00:00:00"/>
    <s v="Shipped"/>
    <n v="4"/>
    <x v="4"/>
    <n v="2003"/>
    <x v="1"/>
    <n v="169"/>
    <s v="S18_3232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  <n v="4700"/>
  </r>
  <r>
    <n v="10171"/>
    <n v="39"/>
    <n v="100"/>
    <n v="3"/>
    <n v="5481.45"/>
    <d v="2003-11-05T00:00:00"/>
    <s v="Shipped"/>
    <n v="4"/>
    <x v="5"/>
    <n v="2003"/>
    <x v="1"/>
    <n v="169"/>
    <s v="S18_3232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3900"/>
  </r>
  <r>
    <n v="10175"/>
    <n v="29"/>
    <n v="100"/>
    <n v="5"/>
    <n v="4419.8900000000003"/>
    <d v="2003-11-06T00:00:00"/>
    <s v="Shipped"/>
    <n v="4"/>
    <x v="5"/>
    <n v="2003"/>
    <x v="1"/>
    <n v="169"/>
    <s v="S18_3232"/>
    <s v="Stylish Desk Decors, Co."/>
    <s v="(171) 555-0297"/>
    <s v="35 King George"/>
    <m/>
    <s v="London"/>
    <m/>
    <s v="WX3 6FW"/>
    <s v="UK"/>
    <s v="EMEA"/>
    <s v="Brown"/>
    <s v="Ann"/>
    <s v="Medium"/>
    <n v="2900"/>
  </r>
  <r>
    <n v="10181"/>
    <n v="45"/>
    <n v="100"/>
    <n v="7"/>
    <n v="6324.75"/>
    <d v="2003-11-12T00:00:00"/>
    <s v="Shipped"/>
    <n v="4"/>
    <x v="5"/>
    <n v="2003"/>
    <x v="1"/>
    <n v="169"/>
    <s v="S18_3232"/>
    <s v="Herkku Gifts"/>
    <s v="+47 2267 3215"/>
    <s v="Drammen 121, PR 744 Sentrum"/>
    <m/>
    <s v="Bergen"/>
    <m/>
    <s v="N 5804"/>
    <s v="Norway"/>
    <s v="EMEA"/>
    <s v="Oeztan"/>
    <s v="Veysel"/>
    <s v="Medium"/>
    <n v="4500"/>
  </r>
  <r>
    <n v="10184"/>
    <n v="28"/>
    <n v="100"/>
    <n v="10"/>
    <n v="4409.72"/>
    <d v="2003-11-14T00:00:00"/>
    <s v="Shipped"/>
    <n v="4"/>
    <x v="5"/>
    <n v="2003"/>
    <x v="1"/>
    <n v="169"/>
    <s v="S18_3232"/>
    <s v="Iberia Gift Imports, Corp."/>
    <s v="(95) 555 82 82"/>
    <s v="C/ Romero, 33"/>
    <m/>
    <s v="Sevilla"/>
    <m/>
    <n v="41101"/>
    <s v="Spain"/>
    <s v="EMEA"/>
    <s v="Roel"/>
    <s v="Jose Pedro"/>
    <s v="Medium"/>
    <n v="2800"/>
  </r>
  <r>
    <n v="10192"/>
    <n v="26"/>
    <n v="100"/>
    <n v="12"/>
    <n v="3918.46"/>
    <d v="2003-11-20T00:00:00"/>
    <s v="Shipped"/>
    <n v="4"/>
    <x v="5"/>
    <n v="2003"/>
    <x v="1"/>
    <n v="169"/>
    <s v="S18_3232"/>
    <s v="Online Diecast Creations Co."/>
    <n v="6035558647"/>
    <s v="2304 Long Airport Avenue"/>
    <m/>
    <s v="Nashua"/>
    <s v="NH"/>
    <n v="62005"/>
    <s v="USA"/>
    <s v="NA"/>
    <s v="Young"/>
    <s v="Valarie"/>
    <s v="Medium"/>
    <n v="2600"/>
  </r>
  <r>
    <n v="10195"/>
    <n v="50"/>
    <n v="100"/>
    <n v="10"/>
    <n v="7620.5"/>
    <d v="2003-11-25T00:00:00"/>
    <s v="Shipped"/>
    <n v="4"/>
    <x v="5"/>
    <n v="2003"/>
    <x v="1"/>
    <n v="169"/>
    <s v="S18_3232"/>
    <s v="Mini Classics"/>
    <n v="9145554562"/>
    <s v="3758 North Pendale Street"/>
    <m/>
    <s v="White Plains"/>
    <s v="NY"/>
    <n v="24067"/>
    <s v="USA"/>
    <s v="NA"/>
    <s v="Frick"/>
    <s v="Steve"/>
    <s v="Large"/>
    <n v="5000"/>
  </r>
  <r>
    <n v="10203"/>
    <n v="48"/>
    <n v="100"/>
    <n v="1"/>
    <n v="8291.0400000000009"/>
    <d v="2003-12-02T00:00:00"/>
    <s v="Shipped"/>
    <n v="4"/>
    <x v="6"/>
    <n v="2003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  <n v="4800"/>
  </r>
  <r>
    <n v="10207"/>
    <n v="25"/>
    <n v="100"/>
    <n v="11"/>
    <n v="3937.25"/>
    <d v="2003-12-09T00:00:00"/>
    <s v="Shipped"/>
    <n v="4"/>
    <x v="6"/>
    <n v="2003"/>
    <x v="1"/>
    <n v="169"/>
    <s v="S18_3232"/>
    <s v="Diecast Collectables"/>
    <n v="6175552555"/>
    <s v="6251 Ingle Ln."/>
    <m/>
    <s v="Boston"/>
    <s v="MA"/>
    <n v="51003"/>
    <s v="USA"/>
    <s v="NA"/>
    <s v="Franco"/>
    <s v="Valarie"/>
    <s v="Medium"/>
    <n v="2500"/>
  </r>
  <r>
    <n v="10212"/>
    <n v="40"/>
    <n v="100"/>
    <n v="11"/>
    <n v="5554.4"/>
    <d v="2004-01-16T00:00:00"/>
    <s v="Shipped"/>
    <n v="1"/>
    <x v="7"/>
    <n v="2004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  <n v="4000"/>
  </r>
  <r>
    <n v="10225"/>
    <n v="43"/>
    <n v="100"/>
    <n v="2"/>
    <n v="6407.86"/>
    <d v="2004-02-22T00:00:00"/>
    <s v="Shipped"/>
    <n v="1"/>
    <x v="0"/>
    <n v="2004"/>
    <x v="1"/>
    <n v="169"/>
    <s v="S18_3232"/>
    <s v="Vida Sport, Ltd"/>
    <s v="0897-034555"/>
    <s v="Grenzacherweg 237"/>
    <m/>
    <s v="Gensve"/>
    <m/>
    <n v="1203"/>
    <s v="Switzerland"/>
    <s v="EMEA"/>
    <s v="Holz"/>
    <s v="Michael"/>
    <s v="Medium"/>
    <n v="4300"/>
  </r>
  <r>
    <n v="10229"/>
    <n v="22"/>
    <n v="100"/>
    <n v="5"/>
    <n v="4172.5200000000004"/>
    <d v="2004-03-11T00:00:00"/>
    <s v="Shipped"/>
    <n v="1"/>
    <x v="11"/>
    <n v="2004"/>
    <x v="1"/>
    <n v="169"/>
    <s v="S18_3232"/>
    <s v="Mini Gifts Distributors Ltd."/>
    <n v="4155551450"/>
    <s v="5677 Strong St."/>
    <m/>
    <s v="San Rafael"/>
    <s v="CA"/>
    <n v="97562"/>
    <s v="USA"/>
    <s v="NA"/>
    <s v="Nelson"/>
    <s v="Valarie"/>
    <s v="Medium"/>
    <n v="2200"/>
  </r>
  <r>
    <n v="10239"/>
    <n v="47"/>
    <n v="100"/>
    <n v="1"/>
    <n v="7083.37"/>
    <d v="2004-04-12T00:00:00"/>
    <s v="Shipped"/>
    <n v="2"/>
    <x v="8"/>
    <n v="2004"/>
    <x v="1"/>
    <n v="169"/>
    <s v="S18_3232"/>
    <s v="Oulu Toy Supplies, Inc."/>
    <s v="981-443655"/>
    <s v="Torikatu 38"/>
    <m/>
    <s v="Oulu"/>
    <m/>
    <n v="90110"/>
    <s v="Finland"/>
    <s v="EMEA"/>
    <s v="Koskitalo"/>
    <s v="Pirkko"/>
    <s v="Large"/>
    <n v="4700"/>
  </r>
  <r>
    <n v="10246"/>
    <n v="36"/>
    <n v="100"/>
    <n v="9"/>
    <n v="7132.68"/>
    <d v="2004-05-05T00:00:00"/>
    <s v="Shipped"/>
    <n v="2"/>
    <x v="1"/>
    <n v="2004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  <n v="3600"/>
  </r>
  <r>
    <n v="10253"/>
    <n v="40"/>
    <n v="100"/>
    <n v="6"/>
    <n v="6773.6"/>
    <d v="2004-06-01T00:00:00"/>
    <s v="Cancelled"/>
    <n v="2"/>
    <x v="9"/>
    <n v="2004"/>
    <x v="1"/>
    <n v="169"/>
    <s v="S18_3232"/>
    <s v="UK Collectables, Ltd."/>
    <s v="(171) 555-2282"/>
    <s v="Berkeley Gardens 12  Brewery"/>
    <m/>
    <s v="Liverpool"/>
    <m/>
    <s v="WX1 6LT"/>
    <s v="UK"/>
    <s v="EMEA"/>
    <s v="Devon"/>
    <s v="Elizabeth"/>
    <s v="Medium"/>
    <n v="4000"/>
  </r>
  <r>
    <n v="10259"/>
    <n v="27"/>
    <n v="100"/>
    <n v="8"/>
    <n v="3657.69"/>
    <d v="2004-06-15T00:00:00"/>
    <s v="Shipped"/>
    <n v="2"/>
    <x v="9"/>
    <n v="2004"/>
    <x v="1"/>
    <n v="169"/>
    <s v="S18_32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2700"/>
  </r>
  <r>
    <n v="10266"/>
    <n v="29"/>
    <n v="100"/>
    <n v="7"/>
    <n v="4812.55"/>
    <d v="2004-07-06T00:00:00"/>
    <s v="Shipped"/>
    <n v="3"/>
    <x v="2"/>
    <n v="2004"/>
    <x v="1"/>
    <n v="169"/>
    <s v="S18_3232"/>
    <s v="L'ordine Souveniers"/>
    <s v="0522-556555"/>
    <s v="Strada Provinciale 124"/>
    <m/>
    <s v="Reggio Emilia"/>
    <m/>
    <n v="42100"/>
    <s v="Italy"/>
    <s v="EMEA"/>
    <s v="Moroni"/>
    <s v="Maurizio"/>
    <s v="Medium"/>
    <n v="2900"/>
  </r>
  <r>
    <n v="10271"/>
    <n v="20"/>
    <n v="100"/>
    <n v="9"/>
    <n v="3928.6"/>
    <d v="2004-07-20T00:00:00"/>
    <s v="Shipped"/>
    <n v="3"/>
    <x v="2"/>
    <n v="2004"/>
    <x v="1"/>
    <n v="169"/>
    <s v="S18_3232"/>
    <s v="Mini Gifts Distributors Ltd."/>
    <n v="4155551450"/>
    <s v="5677 Strong St."/>
    <m/>
    <s v="San Rafael"/>
    <s v="CA"/>
    <n v="97562"/>
    <s v="USA"/>
    <s v="NA"/>
    <s v="Nelson"/>
    <s v="Valarie"/>
    <s v="Medium"/>
    <n v="2000"/>
  </r>
  <r>
    <n v="10278"/>
    <n v="42"/>
    <n v="100"/>
    <n v="7"/>
    <n v="6401.22"/>
    <d v="2004-08-06T00:00:00"/>
    <s v="Shipped"/>
    <n v="3"/>
    <x v="3"/>
    <n v="2004"/>
    <x v="1"/>
    <n v="169"/>
    <s v="S18_3232"/>
    <s v="Signal Gift Stores"/>
    <n v="7025551838"/>
    <s v="8489 Strong St."/>
    <m/>
    <s v="Las Vegas"/>
    <s v="NV"/>
    <n v="83030"/>
    <s v="USA"/>
    <s v="NA"/>
    <s v="King"/>
    <s v="Sue"/>
    <s v="Medium"/>
    <n v="4200"/>
  </r>
  <r>
    <n v="10281"/>
    <n v="25"/>
    <n v="100"/>
    <n v="5"/>
    <n v="4191.25"/>
    <d v="2004-08-19T00:00:00"/>
    <s v="Shipped"/>
    <n v="3"/>
    <x v="3"/>
    <n v="2004"/>
    <x v="1"/>
    <n v="169"/>
    <s v="S18_3232"/>
    <s v="Diecast Classics Inc."/>
    <n v="2155551555"/>
    <s v="7586 Pompton St."/>
    <m/>
    <s v="Allentown"/>
    <s v="PA"/>
    <n v="70267"/>
    <s v="USA"/>
    <s v="NA"/>
    <s v="Yu"/>
    <s v="Kyung"/>
    <s v="Medium"/>
    <n v="2500"/>
  </r>
  <r>
    <n v="10287"/>
    <n v="36"/>
    <n v="100"/>
    <n v="5"/>
    <n v="5852.52"/>
    <d v="2004-08-30T00:00:00"/>
    <s v="Shipped"/>
    <n v="3"/>
    <x v="3"/>
    <n v="2004"/>
    <x v="1"/>
    <n v="169"/>
    <s v="S18_3232"/>
    <s v="Vida Sport, Ltd"/>
    <s v="0897-034555"/>
    <s v="Grenzacherweg 237"/>
    <m/>
    <s v="Gensve"/>
    <m/>
    <n v="1203"/>
    <s v="Switzerland"/>
    <s v="EMEA"/>
    <s v="Holz"/>
    <s v="Michael"/>
    <s v="Medium"/>
    <n v="3600"/>
  </r>
  <r>
    <n v="10292"/>
    <n v="21"/>
    <n v="100"/>
    <n v="12"/>
    <n v="2844.87"/>
    <d v="2004-09-08T00:00:00"/>
    <s v="Shipped"/>
    <n v="3"/>
    <x v="10"/>
    <n v="2004"/>
    <x v="1"/>
    <n v="169"/>
    <s v="S18_3232"/>
    <s v="Land of Toys Inc."/>
    <n v="2125557818"/>
    <s v="897 Long Airport Avenue"/>
    <m/>
    <s v="NYC"/>
    <s v="NY"/>
    <n v="10022"/>
    <s v="USA"/>
    <s v="NA"/>
    <s v="Yu"/>
    <s v="Kwai"/>
    <s v="Small"/>
    <n v="2100"/>
  </r>
  <r>
    <n v="10301"/>
    <n v="23"/>
    <n v="100"/>
    <n v="9"/>
    <n v="4011.66"/>
    <d v="2003-10-05T00:00:00"/>
    <s v="Shipped"/>
    <n v="4"/>
    <x v="4"/>
    <n v="2003"/>
    <x v="1"/>
    <n v="169"/>
    <s v="S18_3232"/>
    <s v="Norway Gifts By Mail, Co."/>
    <s v="+47 2212 1555"/>
    <s v="Drammensveien 126 A, PB 744 Sentrum"/>
    <m/>
    <s v="Oslo"/>
    <m/>
    <s v="N 0106"/>
    <s v="Norway"/>
    <s v="EMEA"/>
    <s v="Klaeboe"/>
    <s v="Jan"/>
    <s v="Medium"/>
    <n v="2300"/>
  </r>
  <r>
    <n v="10305"/>
    <n v="37"/>
    <n v="100"/>
    <n v="9"/>
    <n v="7455.87"/>
    <d v="2004-10-13T00:00:00"/>
    <s v="Shipped"/>
    <n v="4"/>
    <x v="4"/>
    <n v="2004"/>
    <x v="1"/>
    <n v="169"/>
    <s v="S18_3232"/>
    <s v="Marta's Replicas Co."/>
    <n v="6175558555"/>
    <s v="39323 Spinnaker Dr."/>
    <m/>
    <s v="Cambridge"/>
    <s v="MA"/>
    <n v="51247"/>
    <s v="USA"/>
    <s v="NA"/>
    <s v="Hernandez"/>
    <s v="Marta"/>
    <s v="Large"/>
    <n v="3700"/>
  </r>
  <r>
    <n v="10310"/>
    <n v="48"/>
    <n v="100"/>
    <n v="3"/>
    <n v="8940.9599999999991"/>
    <d v="2004-10-16T00:00:00"/>
    <s v="Shipped"/>
    <n v="4"/>
    <x v="4"/>
    <n v="2004"/>
    <x v="1"/>
    <n v="169"/>
    <s v="S18_3232"/>
    <s v="Toms Spezialitten, Ltd"/>
    <s v="0221-5554327"/>
    <s v="Mehrheimerstr. 369"/>
    <m/>
    <s v="Koln"/>
    <m/>
    <n v="50739"/>
    <s v="Germany"/>
    <s v="EMEA"/>
    <s v="Pfalzheim"/>
    <s v="Henriette"/>
    <s v="Large"/>
    <n v="4800"/>
  </r>
  <r>
    <n v="10313"/>
    <n v="25"/>
    <n v="100"/>
    <n v="3"/>
    <n v="4572.25"/>
    <d v="2004-10-22T00:00:00"/>
    <s v="Shipped"/>
    <n v="4"/>
    <x v="4"/>
    <n v="2004"/>
    <x v="1"/>
    <n v="169"/>
    <s v="S18_3232"/>
    <s v="Canadian Gift Exchange Network"/>
    <s v="(604) 555-3392"/>
    <s v="1900 Oak St."/>
    <m/>
    <s v="Vancouver"/>
    <s v="BC"/>
    <s v="V3F 2K1"/>
    <s v="Canada"/>
    <s v="NA"/>
    <s v="Tannamuri"/>
    <s v="Yoshi"/>
    <s v="Medium"/>
    <n v="2500"/>
  </r>
  <r>
    <n v="10321"/>
    <n v="33"/>
    <n v="100"/>
    <n v="11"/>
    <n v="5700.09"/>
    <d v="2004-11-04T00:00:00"/>
    <s v="Shipped"/>
    <n v="4"/>
    <x v="5"/>
    <n v="2004"/>
    <x v="1"/>
    <n v="169"/>
    <s v="S18_3232"/>
    <s v="FunGiftIdeas.com"/>
    <n v="5085552555"/>
    <s v="1785 First Street"/>
    <m/>
    <s v="New Bedford"/>
    <s v="MA"/>
    <n v="50553"/>
    <s v="USA"/>
    <s v="NA"/>
    <s v="Benitez"/>
    <s v="Violeta"/>
    <s v="Medium"/>
    <n v="3300"/>
  </r>
  <r>
    <n v="10324"/>
    <n v="27"/>
    <n v="100"/>
    <n v="12"/>
    <n v="3155.49"/>
    <d v="2004-11-05T00:00:00"/>
    <s v="Shipped"/>
    <n v="4"/>
    <x v="5"/>
    <n v="2004"/>
    <x v="1"/>
    <n v="169"/>
    <s v="S18_3232"/>
    <s v="Vitachrome Inc."/>
    <n v="2125551500"/>
    <s v="2678 Kingston Rd."/>
    <s v="Suite 101"/>
    <s v="NYC"/>
    <s v="NY"/>
    <n v="10022"/>
    <s v="USA"/>
    <s v="NA"/>
    <s v="Frick"/>
    <s v="Michael"/>
    <s v="Medium"/>
    <n v="2700"/>
  </r>
  <r>
    <n v="10331"/>
    <n v="27"/>
    <n v="100"/>
    <n v="11"/>
    <n v="4170.6899999999996"/>
    <d v="2004-11-17T00:00:00"/>
    <s v="Shipped"/>
    <n v="4"/>
    <x v="5"/>
    <n v="2004"/>
    <x v="1"/>
    <n v="169"/>
    <s v="S18_3232"/>
    <s v="Motor Mint Distributors Inc."/>
    <n v="2155559857"/>
    <s v="11328 Douglas Av."/>
    <m/>
    <s v="Philadelphia"/>
    <s v="PA"/>
    <n v="71270"/>
    <s v="USA"/>
    <s v="NA"/>
    <s v="Hernandez"/>
    <s v="Rosa"/>
    <s v="Medium"/>
    <n v="2700"/>
  </r>
  <r>
    <n v="10334"/>
    <n v="20"/>
    <n v="100"/>
    <n v="3"/>
    <n v="2878.8"/>
    <d v="2004-11-19T00:00:00"/>
    <s v="On Hold"/>
    <n v="4"/>
    <x v="5"/>
    <n v="2004"/>
    <x v="1"/>
    <n v="169"/>
    <s v="S18_3232"/>
    <s v="Volvo Model Replicas, Co"/>
    <s v="0921-12 3555"/>
    <s v="Berguvsv„gen  8"/>
    <m/>
    <s v="Lule"/>
    <m/>
    <s v="S-958 22"/>
    <s v="Sweden"/>
    <s v="EMEA"/>
    <s v="Berglund"/>
    <s v="Christina"/>
    <s v="Small"/>
    <n v="2000"/>
  </r>
  <r>
    <n v="10342"/>
    <n v="30"/>
    <n v="100"/>
    <n v="4"/>
    <n v="5029.5"/>
    <d v="2004-11-24T00:00:00"/>
    <s v="Shipped"/>
    <n v="4"/>
    <x v="5"/>
    <n v="2004"/>
    <x v="1"/>
    <n v="169"/>
    <s v="S18_323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000"/>
  </r>
  <r>
    <n v="10349"/>
    <n v="48"/>
    <n v="100"/>
    <n v="6"/>
    <n v="7396.8"/>
    <d v="2004-12-01T00:00:00"/>
    <s v="Shipped"/>
    <n v="4"/>
    <x v="6"/>
    <n v="2004"/>
    <x v="1"/>
    <n v="169"/>
    <s v="S18_3232"/>
    <s v="Muscle Machine Inc"/>
    <n v="2125557413"/>
    <s v="4092 Furth Circle"/>
    <s v="Suite 400"/>
    <s v="NYC"/>
    <s v="NY"/>
    <n v="10022"/>
    <s v="USA"/>
    <s v="NA"/>
    <s v="Young"/>
    <s v="Jeff"/>
    <s v="Large"/>
    <n v="4800"/>
  </r>
  <r>
    <n v="10358"/>
    <n v="32"/>
    <n v="93.49"/>
    <n v="12"/>
    <n v="2991.68"/>
    <d v="2004-12-10T00:00:00"/>
    <s v="Shipped"/>
    <n v="4"/>
    <x v="6"/>
    <n v="2004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Small"/>
    <n v="2991.68"/>
  </r>
  <r>
    <n v="10366"/>
    <n v="34"/>
    <n v="100"/>
    <n v="1"/>
    <n v="6275.72"/>
    <d v="2005-01-10T00:00:00"/>
    <s v="Shipped"/>
    <n v="1"/>
    <x v="7"/>
    <n v="2005"/>
    <x v="1"/>
    <n v="169"/>
    <s v="S18_3232"/>
    <s v="Royale Belge"/>
    <s v="(071) 23 67 2555"/>
    <s v="Boulevard Tirou, 255"/>
    <m/>
    <s v="Charleroi"/>
    <m/>
    <s v="B-6000"/>
    <s v="Belgium"/>
    <s v="EMEA"/>
    <s v="Cartrain"/>
    <s v="Pascale"/>
    <s v="Medium"/>
    <n v="3400"/>
  </r>
  <r>
    <n v="10370"/>
    <n v="27"/>
    <n v="56.85"/>
    <n v="9"/>
    <n v="1534.95"/>
    <d v="2005-01-20T00:00:00"/>
    <s v="Shipped"/>
    <n v="1"/>
    <x v="7"/>
    <n v="2005"/>
    <x v="1"/>
    <n v="169"/>
    <s v="S18_32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534.95"/>
  </r>
  <r>
    <n v="10377"/>
    <n v="39"/>
    <n v="100"/>
    <n v="3"/>
    <n v="7264.53"/>
    <d v="2005-02-09T00:00:00"/>
    <s v="Shipped"/>
    <n v="1"/>
    <x v="0"/>
    <n v="2005"/>
    <x v="1"/>
    <n v="169"/>
    <s v="S18_3232"/>
    <s v="Toys of Finland, Co."/>
    <s v="90-224 8555"/>
    <s v="Keskuskatu 45"/>
    <m/>
    <s v="Helsinki"/>
    <m/>
    <n v="21240"/>
    <s v="Finland"/>
    <s v="EMEA"/>
    <s v="Karttunen"/>
    <s v="Matti"/>
    <s v="Large"/>
    <n v="3900"/>
  </r>
  <r>
    <n v="10383"/>
    <n v="47"/>
    <n v="100"/>
    <n v="6"/>
    <n v="6869.05"/>
    <d v="2005-02-22T00:00:00"/>
    <s v="Shipped"/>
    <n v="1"/>
    <x v="0"/>
    <n v="2005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  <n v="4700"/>
  </r>
  <r>
    <n v="10394"/>
    <n v="22"/>
    <n v="100"/>
    <n v="5"/>
    <n v="3353.02"/>
    <d v="2005-03-15T00:00:00"/>
    <s v="Shipped"/>
    <n v="1"/>
    <x v="11"/>
    <n v="2005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  <n v="2200"/>
  </r>
  <r>
    <n v="10405"/>
    <n v="55"/>
    <n v="100"/>
    <n v="1"/>
    <n v="8289.0499999999993"/>
    <d v="2005-04-14T00:00:00"/>
    <s v="Shipped"/>
    <n v="2"/>
    <x v="8"/>
    <n v="2005"/>
    <x v="1"/>
    <n v="169"/>
    <s v="S18_3232"/>
    <s v="Mini Caravy"/>
    <s v="88.60.1555"/>
    <s v="24, place Kluber"/>
    <m/>
    <s v="Strasbourg"/>
    <m/>
    <n v="67000"/>
    <s v="France"/>
    <s v="EMEA"/>
    <s v="Citeaux"/>
    <s v="Frederique"/>
    <s v="Large"/>
    <n v="5500"/>
  </r>
  <r>
    <n v="10412"/>
    <n v="60"/>
    <n v="100"/>
    <n v="9"/>
    <n v="11887.8"/>
    <d v="2005-05-03T00:00:00"/>
    <s v="Shipped"/>
    <n v="2"/>
    <x v="1"/>
    <n v="2005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  <n v="6000"/>
  </r>
  <r>
    <n v="10419"/>
    <n v="35"/>
    <n v="100"/>
    <n v="6"/>
    <n v="5926.9"/>
    <d v="2005-05-17T00:00:00"/>
    <s v="Shipped"/>
    <n v="2"/>
    <x v="1"/>
    <n v="2005"/>
    <x v="1"/>
    <n v="169"/>
    <s v="S18_3232"/>
    <s v="Salzburg Collectables"/>
    <s v="6562-9555"/>
    <s v="Geislweg 14"/>
    <m/>
    <s v="Salzburg"/>
    <m/>
    <n v="5020"/>
    <s v="Austria"/>
    <s v="EMEA"/>
    <s v="Pipps"/>
    <s v="Georg"/>
    <s v="Medium"/>
    <n v="3500"/>
  </r>
  <r>
    <n v="10425"/>
    <n v="28"/>
    <n v="100"/>
    <n v="8"/>
    <n v="3793.16"/>
    <d v="2005-05-31T00:00:00"/>
    <s v="In Process"/>
    <n v="2"/>
    <x v="1"/>
    <n v="2005"/>
    <x v="1"/>
    <n v="169"/>
    <s v="S18_3232"/>
    <s v="La Rochelle Gifts"/>
    <s v="40.67.8555"/>
    <s v="67, rue des Cinquante Otages"/>
    <m/>
    <s v="Nantes"/>
    <m/>
    <n v="44000"/>
    <s v="France"/>
    <s v="EMEA"/>
    <s v="Labrune"/>
    <s v="Janine"/>
    <s v="Medium"/>
    <n v="2800"/>
  </r>
  <r>
    <n v="10105"/>
    <n v="38"/>
    <n v="100"/>
    <n v="13"/>
    <n v="4330.1000000000004"/>
    <d v="2003-02-11T00:00:00"/>
    <s v="Shipped"/>
    <n v="1"/>
    <x v="0"/>
    <n v="2003"/>
    <x v="6"/>
    <n v="100"/>
    <s v="S18_3259"/>
    <s v="Danish Wholesale Imports"/>
    <s v="31 12 3555"/>
    <s v="Vinb'ltet 34"/>
    <m/>
    <s v="Kobenhavn"/>
    <m/>
    <n v="1734"/>
    <s v="Denmark"/>
    <s v="EMEA"/>
    <s v="Petersen"/>
    <s v="Jytte"/>
    <s v="Medium"/>
    <n v="3800"/>
  </r>
  <r>
    <n v="10117"/>
    <n v="21"/>
    <n v="95.8"/>
    <n v="7"/>
    <n v="2011.8"/>
    <d v="2003-04-16T00:00:00"/>
    <s v="Shipped"/>
    <n v="2"/>
    <x v="8"/>
    <n v="2003"/>
    <x v="6"/>
    <n v="100"/>
    <s v="S18_3259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011.8"/>
  </r>
  <r>
    <n v="10128"/>
    <n v="41"/>
    <n v="100"/>
    <n v="4"/>
    <n v="4837.18"/>
    <d v="2003-06-06T00:00:00"/>
    <s v="Shipped"/>
    <n v="2"/>
    <x v="9"/>
    <n v="2003"/>
    <x v="6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142"/>
    <n v="22"/>
    <n v="97.81"/>
    <n v="10"/>
    <n v="2151.8200000000002"/>
    <d v="2003-08-08T00:00:00"/>
    <s v="Shipped"/>
    <n v="3"/>
    <x v="3"/>
    <n v="2003"/>
    <x v="6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Small"/>
    <n v="2151.8200000000002"/>
  </r>
  <r>
    <n v="10153"/>
    <n v="29"/>
    <n v="88.74"/>
    <n v="9"/>
    <n v="2573.46"/>
    <d v="2003-09-28T00:00:00"/>
    <s v="Shipped"/>
    <n v="3"/>
    <x v="10"/>
    <n v="2003"/>
    <x v="6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Small"/>
    <n v="2573.46"/>
  </r>
  <r>
    <n v="10165"/>
    <n v="50"/>
    <n v="100"/>
    <n v="1"/>
    <n v="5344.5"/>
    <d v="2003-10-22T00:00:00"/>
    <s v="Shipped"/>
    <n v="4"/>
    <x v="4"/>
    <n v="2003"/>
    <x v="6"/>
    <n v="100"/>
    <s v="S18_325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5000"/>
  </r>
  <r>
    <n v="10177"/>
    <n v="29"/>
    <n v="100"/>
    <n v="11"/>
    <n v="3070.52"/>
    <d v="2003-11-07T00:00:00"/>
    <s v="Shipped"/>
    <n v="4"/>
    <x v="5"/>
    <n v="2003"/>
    <x v="6"/>
    <n v="100"/>
    <s v="S18_3259"/>
    <s v="CAF Imports"/>
    <s v="+34 913 728 555"/>
    <s v="Merchants House, 27-30 Merchant's Quay"/>
    <m/>
    <s v="Madrid"/>
    <m/>
    <n v="28023"/>
    <s v="Spain"/>
    <s v="EMEA"/>
    <s v="Fernandez"/>
    <s v="Jesus"/>
    <s v="Medium"/>
    <n v="2900"/>
  </r>
  <r>
    <n v="10185"/>
    <n v="49"/>
    <n v="80.67"/>
    <n v="11"/>
    <n v="3952.83"/>
    <d v="2003-11-14T00:00:00"/>
    <s v="Shipped"/>
    <n v="4"/>
    <x v="5"/>
    <n v="2003"/>
    <x v="6"/>
    <n v="100"/>
    <s v="S18_3259"/>
    <s v="Mini Creations Ltd."/>
    <n v="5085559555"/>
    <s v="4575 Hillside Dr."/>
    <m/>
    <s v="New Bedford"/>
    <s v="MA"/>
    <n v="50553"/>
    <s v="USA"/>
    <s v="NA"/>
    <s v="Tam"/>
    <s v="Wing C"/>
    <s v="Medium"/>
    <n v="3952.83"/>
  </r>
  <r>
    <n v="10196"/>
    <n v="35"/>
    <n v="100"/>
    <n v="3"/>
    <n v="3564.75"/>
    <d v="2003-11-26T00:00:00"/>
    <s v="Shipped"/>
    <n v="4"/>
    <x v="5"/>
    <n v="2003"/>
    <x v="6"/>
    <n v="100"/>
    <s v="S18_3259"/>
    <s v="Super Scale Inc."/>
    <n v="2035559545"/>
    <s v="567 North Pendale Street"/>
    <m/>
    <s v="New Haven"/>
    <s v="CT"/>
    <n v="97823"/>
    <s v="USA"/>
    <s v="NA"/>
    <s v="Murphy"/>
    <s v="Leslie"/>
    <s v="Medium"/>
    <n v="3500"/>
  </r>
  <r>
    <n v="10208"/>
    <n v="48"/>
    <n v="100"/>
    <n v="11"/>
    <n v="5614.56"/>
    <d v="2004-01-02T00:00:00"/>
    <s v="Shipped"/>
    <n v="1"/>
    <x v="7"/>
    <n v="2004"/>
    <x v="6"/>
    <n v="100"/>
    <s v="S18_3259"/>
    <s v="Saveley &amp; Henriot, Co."/>
    <s v="78.32.5555"/>
    <s v="2, rue du Commerce"/>
    <m/>
    <s v="Lyon"/>
    <m/>
    <n v="69004"/>
    <s v="France"/>
    <s v="EMEA"/>
    <s v="Saveley"/>
    <s v="Mary"/>
    <s v="Medium"/>
    <n v="4800"/>
  </r>
  <r>
    <n v="10221"/>
    <n v="23"/>
    <n v="80.67"/>
    <n v="5"/>
    <n v="1855.41"/>
    <d v="2004-02-18T00:00:00"/>
    <s v="Shipped"/>
    <n v="1"/>
    <x v="0"/>
    <n v="2004"/>
    <x v="6"/>
    <n v="100"/>
    <s v="S18_3259"/>
    <s v="Petit Auto"/>
    <s v="(02) 5554 67"/>
    <s v="Rue Joseph-Bens 532"/>
    <m/>
    <s v="Bruxelles"/>
    <m/>
    <s v="B-1180"/>
    <s v="Belgium"/>
    <s v="EMEA"/>
    <s v="Dewey"/>
    <s v="Catherine"/>
    <s v="Small"/>
    <n v="1855.41"/>
  </r>
  <r>
    <n v="10232"/>
    <n v="48"/>
    <n v="95.8"/>
    <n v="8"/>
    <n v="4598.3999999999996"/>
    <d v="2004-03-20T00:00:00"/>
    <s v="Shipped"/>
    <n v="1"/>
    <x v="11"/>
    <n v="2004"/>
    <x v="6"/>
    <n v="100"/>
    <s v="S18_3259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4598.3999999999996"/>
  </r>
  <r>
    <n v="10248"/>
    <n v="42"/>
    <n v="100"/>
    <n v="14"/>
    <n v="5082.42"/>
    <d v="2004-05-07T00:00:00"/>
    <s v="Cancelled"/>
    <n v="2"/>
    <x v="1"/>
    <n v="2004"/>
    <x v="6"/>
    <n v="100"/>
    <s v="S18_3259"/>
    <s v="Land of Toys Inc."/>
    <n v="2125557818"/>
    <s v="897 Long Airport Avenue"/>
    <m/>
    <s v="NYC"/>
    <s v="NY"/>
    <n v="10022"/>
    <s v="USA"/>
    <s v="NA"/>
    <s v="Yu"/>
    <s v="Kwai"/>
    <s v="Medium"/>
    <n v="4200"/>
  </r>
  <r>
    <n v="10273"/>
    <n v="47"/>
    <n v="100"/>
    <n v="15"/>
    <n v="5450.59"/>
    <d v="2004-07-21T00:00:00"/>
    <s v="Shipped"/>
    <n v="3"/>
    <x v="2"/>
    <n v="2004"/>
    <x v="6"/>
    <n v="100"/>
    <s v="S18_3259"/>
    <s v="Petit Auto"/>
    <s v="(02) 5554 67"/>
    <s v="Rue Joseph-Bens 532"/>
    <m/>
    <s v="Bruxelles"/>
    <m/>
    <s v="B-1180"/>
    <s v="Belgium"/>
    <s v="EMEA"/>
    <s v="Dewey"/>
    <s v="Catherine"/>
    <s v="Medium"/>
    <n v="4700"/>
  </r>
  <r>
    <n v="10282"/>
    <n v="36"/>
    <n v="100"/>
    <n v="3"/>
    <n v="4174.92"/>
    <d v="2004-08-20T00:00:00"/>
    <s v="Shipped"/>
    <n v="3"/>
    <x v="3"/>
    <n v="2004"/>
    <x v="6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Medium"/>
    <n v="3600"/>
  </r>
  <r>
    <n v="10293"/>
    <n v="22"/>
    <n v="100"/>
    <n v="6"/>
    <n v="2418.2399999999998"/>
    <d v="2004-09-09T00:00:00"/>
    <s v="Shipped"/>
    <n v="3"/>
    <x v="10"/>
    <n v="2004"/>
    <x v="6"/>
    <n v="100"/>
    <s v="S18_3259"/>
    <s v="Amica Models &amp; Co."/>
    <s v="011-4988555"/>
    <s v="Via Monte Bianco 34"/>
    <m/>
    <s v="Torino"/>
    <m/>
    <n v="10100"/>
    <s v="Italy"/>
    <s v="EMEA"/>
    <s v="Accorti"/>
    <s v="Paolo"/>
    <s v="Small"/>
    <n v="2200"/>
  </r>
  <r>
    <n v="10306"/>
    <n v="40"/>
    <n v="91.76"/>
    <n v="11"/>
    <n v="3670.4"/>
    <d v="2004-10-14T00:00:00"/>
    <s v="Shipped"/>
    <n v="4"/>
    <x v="4"/>
    <n v="2004"/>
    <x v="6"/>
    <n v="100"/>
    <s v="S18_3259"/>
    <s v="AV Stores, Co."/>
    <s v="(171) 555-1555"/>
    <s v="Fauntleroy Circus"/>
    <m/>
    <s v="Manchester"/>
    <m/>
    <s v="EC2 5NT"/>
    <s v="UK"/>
    <s v="EMEA"/>
    <s v="Ashworth"/>
    <s v="Victoria"/>
    <s v="Medium"/>
    <n v="3670.4"/>
  </r>
  <r>
    <n v="10314"/>
    <n v="23"/>
    <n v="100"/>
    <n v="3"/>
    <n v="2481.6999999999998"/>
    <d v="2004-10-22T00:00:00"/>
    <s v="Shipped"/>
    <n v="4"/>
    <x v="4"/>
    <n v="2004"/>
    <x v="6"/>
    <n v="100"/>
    <s v="S18_3259"/>
    <s v="Heintze Collectables"/>
    <s v="86 21 3555"/>
    <s v="Smagsloget 45"/>
    <m/>
    <s v="Aaarhus"/>
    <m/>
    <n v="8200"/>
    <s v="Denmark"/>
    <s v="EMEA"/>
    <s v="Ibsen"/>
    <s v="Palle"/>
    <s v="Small"/>
    <n v="2300"/>
  </r>
  <r>
    <n v="10326"/>
    <n v="32"/>
    <n v="100"/>
    <n v="6"/>
    <n v="3807.68"/>
    <d v="2004-11-09T00:00:00"/>
    <s v="Shipped"/>
    <n v="4"/>
    <x v="5"/>
    <n v="2004"/>
    <x v="6"/>
    <n v="100"/>
    <s v="S18_3259"/>
    <s v="Volvo Model Replicas, Co"/>
    <s v="0921-12 3555"/>
    <s v="Berguvsv„gen  8"/>
    <m/>
    <s v="Lule"/>
    <m/>
    <s v="S-958 22"/>
    <s v="Sweden"/>
    <s v="EMEA"/>
    <s v="Berglund"/>
    <s v="Christina"/>
    <s v="Medium"/>
    <n v="3200"/>
  </r>
  <r>
    <n v="10336"/>
    <n v="21"/>
    <n v="100"/>
    <n v="7"/>
    <n v="2230.41"/>
    <d v="2004-11-20T00:00:00"/>
    <s v="Shipped"/>
    <n v="4"/>
    <x v="5"/>
    <n v="2004"/>
    <x v="6"/>
    <n v="100"/>
    <s v="S18_3259"/>
    <s v="La Corne D'abondance, Co."/>
    <s v="(1) 42.34.2555"/>
    <s v="265, boulevard Charonne"/>
    <m/>
    <s v="Paris"/>
    <m/>
    <n v="75012"/>
    <s v="France"/>
    <s v="EMEA"/>
    <s v="Bertrand"/>
    <s v="Marie"/>
    <s v="Small"/>
    <n v="2100"/>
  </r>
  <r>
    <n v="10350"/>
    <n v="41"/>
    <n v="93.04"/>
    <n v="2"/>
    <n v="3814.64"/>
    <d v="2004-12-02T00:00:00"/>
    <s v="Shipped"/>
    <n v="4"/>
    <x v="6"/>
    <n v="2004"/>
    <x v="6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  <n v="3814.6400000000003"/>
  </r>
  <r>
    <n v="10372"/>
    <n v="25"/>
    <n v="84.71"/>
    <n v="5"/>
    <n v="2117.75"/>
    <d v="2005-01-26T00:00:00"/>
    <s v="Shipped"/>
    <n v="1"/>
    <x v="7"/>
    <n v="2005"/>
    <x v="6"/>
    <n v="100"/>
    <s v="S18_3259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117.75"/>
  </r>
  <r>
    <n v="10383"/>
    <n v="26"/>
    <n v="100"/>
    <n v="12"/>
    <n v="3340.48"/>
    <d v="2005-02-22T00:00:00"/>
    <s v="Shipped"/>
    <n v="1"/>
    <x v="0"/>
    <n v="2005"/>
    <x v="6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  <n v="2600"/>
  </r>
  <r>
    <n v="10396"/>
    <n v="24"/>
    <n v="89.75"/>
    <n v="4"/>
    <n v="2154"/>
    <d v="2005-03-23T00:00:00"/>
    <s v="Shipped"/>
    <n v="1"/>
    <x v="11"/>
    <n v="2005"/>
    <x v="6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Small"/>
    <n v="2154"/>
  </r>
  <r>
    <n v="10414"/>
    <n v="48"/>
    <n v="100"/>
    <n v="14"/>
    <n v="5808.48"/>
    <d v="2005-05-06T00:00:00"/>
    <s v="On Hold"/>
    <n v="2"/>
    <x v="1"/>
    <n v="2005"/>
    <x v="6"/>
    <n v="100"/>
    <s v="S18_3259"/>
    <s v="Gifts4AllAges.com"/>
    <n v="6175559555"/>
    <s v="8616 Spinnaker Dr."/>
    <m/>
    <s v="Boston"/>
    <s v="MA"/>
    <n v="51003"/>
    <s v="USA"/>
    <s v="NA"/>
    <s v="Yoshido"/>
    <s v="Juri"/>
    <s v="Medium"/>
    <n v="4800"/>
  </r>
  <r>
    <n v="10108"/>
    <n v="26"/>
    <n v="68.349999999999994"/>
    <n v="9"/>
    <n v="1777.1"/>
    <d v="2003-03-03T00:00:00"/>
    <s v="Shipped"/>
    <n v="1"/>
    <x v="11"/>
    <n v="2003"/>
    <x v="1"/>
    <n v="80"/>
    <s v="S18_3278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1777.1"/>
  </r>
  <r>
    <n v="10122"/>
    <n v="21"/>
    <n v="73.17"/>
    <n v="13"/>
    <n v="1536.57"/>
    <d v="2003-05-08T00:00:00"/>
    <s v="Shipped"/>
    <n v="2"/>
    <x v="1"/>
    <n v="2003"/>
    <x v="1"/>
    <n v="80"/>
    <s v="S18_3278"/>
    <s v="Marseille Mini Autos"/>
    <s v="91.24.4555"/>
    <s v="12, rue des Bouchers"/>
    <m/>
    <s v="Marseille"/>
    <m/>
    <n v="13008"/>
    <s v="France"/>
    <s v="EMEA"/>
    <s v="Lebihan"/>
    <s v="Laurence"/>
    <s v="Small"/>
    <n v="1536.57"/>
  </r>
  <r>
    <n v="10135"/>
    <n v="45"/>
    <n v="78"/>
    <n v="10"/>
    <n v="3510"/>
    <d v="2003-07-02T00:00:00"/>
    <s v="Shipped"/>
    <n v="3"/>
    <x v="2"/>
    <n v="2003"/>
    <x v="1"/>
    <n v="80"/>
    <s v="S18_3278"/>
    <s v="Mini Gifts Distributors Ltd."/>
    <n v="4155551450"/>
    <s v="5677 Strong St."/>
    <m/>
    <s v="San Rafael"/>
    <s v="CA"/>
    <n v="97562"/>
    <s v="USA"/>
    <s v="NA"/>
    <s v="Nelson"/>
    <s v="Valarie"/>
    <s v="Medium"/>
    <n v="3510"/>
  </r>
  <r>
    <n v="10147"/>
    <n v="36"/>
    <n v="86.04"/>
    <n v="10"/>
    <n v="3097.44"/>
    <d v="2003-09-05T00:00:00"/>
    <s v="Shipped"/>
    <n v="3"/>
    <x v="10"/>
    <n v="2003"/>
    <x v="1"/>
    <n v="80"/>
    <s v="S18_3278"/>
    <s v="Collectables For Less Inc."/>
    <n v="6175558555"/>
    <s v="7825 Douglas Av."/>
    <m/>
    <s v="Brickhaven"/>
    <s v="MA"/>
    <n v="58339"/>
    <s v="USA"/>
    <s v="NA"/>
    <s v="Nelson"/>
    <s v="Allen"/>
    <s v="Medium"/>
    <n v="3097.44"/>
  </r>
  <r>
    <n v="10159"/>
    <n v="21"/>
    <n v="81.209999999999994"/>
    <n v="5"/>
    <n v="1705.41"/>
    <d v="2003-10-10T00:00:00"/>
    <s v="Shipped"/>
    <n v="4"/>
    <x v="4"/>
    <n v="2003"/>
    <x v="1"/>
    <n v="80"/>
    <s v="S18_3278"/>
    <s v="Corporate Gift Ideas Co."/>
    <n v="6505551386"/>
    <s v="7734 Strong St."/>
    <m/>
    <s v="San Francisco"/>
    <s v="CA"/>
    <m/>
    <s v="USA"/>
    <s v="NA"/>
    <s v="Brown"/>
    <s v="Julie"/>
    <s v="Small"/>
    <n v="1705.4099999999999"/>
  </r>
  <r>
    <n v="10169"/>
    <n v="32"/>
    <n v="70.760000000000005"/>
    <n v="5"/>
    <n v="2264.3200000000002"/>
    <d v="2003-11-04T00:00:00"/>
    <s v="Shipped"/>
    <n v="4"/>
    <x v="5"/>
    <n v="2003"/>
    <x v="1"/>
    <n v="80"/>
    <s v="S18_327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264.3200000000002"/>
  </r>
  <r>
    <n v="10181"/>
    <n v="30"/>
    <n v="82.82"/>
    <n v="17"/>
    <n v="2484.6"/>
    <d v="2003-11-12T00:00:00"/>
    <s v="Shipped"/>
    <n v="4"/>
    <x v="5"/>
    <n v="2003"/>
    <x v="1"/>
    <n v="80"/>
    <s v="S18_3278"/>
    <s v="Herkku Gifts"/>
    <s v="+47 2267 3215"/>
    <s v="Drammen 121, PR 744 Sentrum"/>
    <m/>
    <s v="Bergen"/>
    <m/>
    <s v="N 5804"/>
    <s v="Norway"/>
    <s v="EMEA"/>
    <s v="Oeztan"/>
    <s v="Veysel"/>
    <s v="Small"/>
    <n v="2484.6"/>
  </r>
  <r>
    <n v="10191"/>
    <n v="36"/>
    <n v="94.88"/>
    <n v="6"/>
    <n v="3415.68"/>
    <d v="2003-11-20T00:00:00"/>
    <s v="Shipped"/>
    <n v="4"/>
    <x v="5"/>
    <n v="2003"/>
    <x v="1"/>
    <n v="80"/>
    <s v="S18_3278"/>
    <s v="Toms Spezialitten, Ltd"/>
    <s v="0221-5554327"/>
    <s v="Mehrheimerstr. 369"/>
    <m/>
    <s v="Koln"/>
    <m/>
    <n v="50739"/>
    <s v="Germany"/>
    <s v="EMEA"/>
    <s v="Pfalzheim"/>
    <s v="Henriette"/>
    <s v="Medium"/>
    <n v="3415.68"/>
  </r>
  <r>
    <n v="10203"/>
    <n v="33"/>
    <n v="86.04"/>
    <n v="11"/>
    <n v="2839.32"/>
    <d v="2003-12-02T00:00:00"/>
    <s v="Shipped"/>
    <n v="4"/>
    <x v="6"/>
    <n v="2003"/>
    <x v="1"/>
    <n v="80"/>
    <s v="S18_3278"/>
    <s v="Euro Shopping Channel"/>
    <s v="(91) 555 94 44"/>
    <s v="C/ Moralzarzal, 86"/>
    <m/>
    <s v="Madrid"/>
    <m/>
    <n v="28034"/>
    <s v="Spain"/>
    <s v="EMEA"/>
    <s v="Freyre"/>
    <s v="Diego"/>
    <s v="Small"/>
    <n v="2839.32"/>
  </r>
  <r>
    <n v="10211"/>
    <n v="35"/>
    <n v="78"/>
    <n v="5"/>
    <n v="2730"/>
    <d v="2004-01-15T00:00:00"/>
    <s v="Shipped"/>
    <n v="1"/>
    <x v="7"/>
    <n v="2004"/>
    <x v="1"/>
    <n v="80"/>
    <s v="S18_3278"/>
    <s v="Auto Canal Petit"/>
    <s v="(1) 47.55.6555"/>
    <s v="25, rue Lauriston"/>
    <m/>
    <s v="Paris"/>
    <m/>
    <n v="75016"/>
    <s v="France"/>
    <s v="EMEA"/>
    <s v="Perrier"/>
    <s v="Dominique"/>
    <s v="Small"/>
    <n v="2730"/>
  </r>
  <r>
    <n v="10225"/>
    <n v="37"/>
    <n v="95.69"/>
    <n v="12"/>
    <n v="3540.53"/>
    <d v="2004-02-22T00:00:00"/>
    <s v="Shipped"/>
    <n v="1"/>
    <x v="0"/>
    <n v="2004"/>
    <x v="1"/>
    <n v="80"/>
    <s v="S18_3278"/>
    <s v="Vida Sport, Ltd"/>
    <s v="0897-034555"/>
    <s v="Grenzacherweg 237"/>
    <m/>
    <s v="Gensve"/>
    <m/>
    <n v="1203"/>
    <s v="Switzerland"/>
    <s v="EMEA"/>
    <s v="Holz"/>
    <s v="Michael"/>
    <s v="Medium"/>
    <n v="3540.5299999999997"/>
  </r>
  <r>
    <n v="10238"/>
    <n v="41"/>
    <n v="73.17"/>
    <n v="6"/>
    <n v="2999.97"/>
    <d v="2004-04-09T00:00:00"/>
    <s v="Shipped"/>
    <n v="2"/>
    <x v="8"/>
    <n v="2004"/>
    <x v="1"/>
    <n v="80"/>
    <s v="S18_3278"/>
    <s v="Danish Wholesale Imports"/>
    <s v="31 12 3555"/>
    <s v="Vinb'ltet 34"/>
    <m/>
    <s v="Kobenhavn"/>
    <m/>
    <n v="1734"/>
    <s v="Denmark"/>
    <s v="EMEA"/>
    <s v="Petersen"/>
    <s v="Jytte"/>
    <s v="Small"/>
    <n v="2999.9700000000003"/>
  </r>
  <r>
    <n v="10252"/>
    <n v="20"/>
    <n v="76.39"/>
    <n v="2"/>
    <n v="1527.8"/>
    <d v="2004-05-26T00:00:00"/>
    <s v="Shipped"/>
    <n v="2"/>
    <x v="1"/>
    <n v="2004"/>
    <x v="1"/>
    <n v="80"/>
    <s v="S18_3278"/>
    <s v="Auto Canal Petit"/>
    <s v="(1) 47.55.6555"/>
    <s v="25, rue Lauriston"/>
    <m/>
    <s v="Paris"/>
    <m/>
    <n v="75016"/>
    <s v="France"/>
    <s v="EMEA"/>
    <s v="Perrier"/>
    <s v="Dominique"/>
    <s v="Small"/>
    <n v="1527.8"/>
  </r>
  <r>
    <n v="10265"/>
    <n v="45"/>
    <n v="86.84"/>
    <n v="2"/>
    <n v="3907.8"/>
    <d v="2004-07-02T00:00:00"/>
    <s v="Shipped"/>
    <n v="3"/>
    <x v="2"/>
    <n v="2004"/>
    <x v="1"/>
    <n v="80"/>
    <s v="S18_3278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n v="3907.8"/>
  </r>
  <r>
    <n v="10276"/>
    <n v="38"/>
    <n v="69.959999999999994"/>
    <n v="6"/>
    <n v="2658.48"/>
    <d v="2004-08-02T00:00:00"/>
    <s v="Shipped"/>
    <n v="3"/>
    <x v="3"/>
    <n v="2004"/>
    <x v="1"/>
    <n v="80"/>
    <s v="S18_3278"/>
    <s v="Online Mini Collectables"/>
    <n v="6175557555"/>
    <s v="7635 Spinnaker Dr."/>
    <m/>
    <s v="Brickhaven"/>
    <s v="MA"/>
    <n v="58339"/>
    <s v="USA"/>
    <s v="NA"/>
    <s v="Barajas"/>
    <s v="Miguel"/>
    <s v="Small"/>
    <n v="2658.4799999999996"/>
  </r>
  <r>
    <n v="10287"/>
    <n v="43"/>
    <n v="70.760000000000005"/>
    <n v="15"/>
    <n v="3042.68"/>
    <d v="2004-08-30T00:00:00"/>
    <s v="Shipped"/>
    <n v="3"/>
    <x v="3"/>
    <n v="2004"/>
    <x v="1"/>
    <n v="80"/>
    <s v="S18_3278"/>
    <s v="Vida Sport, Ltd"/>
    <s v="0897-034555"/>
    <s v="Grenzacherweg 237"/>
    <m/>
    <s v="Gensve"/>
    <m/>
    <n v="1203"/>
    <s v="Switzerland"/>
    <s v="EMEA"/>
    <s v="Holz"/>
    <s v="Michael"/>
    <s v="Medium"/>
    <n v="3042.6800000000003"/>
  </r>
  <r>
    <n v="10300"/>
    <n v="49"/>
    <n v="78.8"/>
    <n v="8"/>
    <n v="3861.2"/>
    <d v="2003-10-04T00:00:00"/>
    <s v="Shipped"/>
    <n v="4"/>
    <x v="4"/>
    <n v="2003"/>
    <x v="1"/>
    <n v="80"/>
    <s v="S18_3278"/>
    <s v="Blauer See Auto, Co."/>
    <s v="+49 69 66 90 2555"/>
    <s v="Lyonerstr. 34"/>
    <m/>
    <s v="Frankfurt"/>
    <m/>
    <n v="60528"/>
    <s v="Germany"/>
    <s v="EMEA"/>
    <s v="Keitel"/>
    <s v="Roland"/>
    <s v="Medium"/>
    <n v="3861.2"/>
  </r>
  <r>
    <n v="10310"/>
    <n v="27"/>
    <n v="80.41"/>
    <n v="13"/>
    <n v="2171.0700000000002"/>
    <d v="2004-10-16T00:00:00"/>
    <s v="Shipped"/>
    <n v="4"/>
    <x v="4"/>
    <n v="2004"/>
    <x v="1"/>
    <n v="80"/>
    <s v="S18_3278"/>
    <s v="Toms Spezialitten, Ltd"/>
    <s v="0221-5554327"/>
    <s v="Mehrheimerstr. 369"/>
    <m/>
    <s v="Koln"/>
    <m/>
    <n v="50739"/>
    <s v="Germany"/>
    <s v="EMEA"/>
    <s v="Pfalzheim"/>
    <s v="Henriette"/>
    <s v="Small"/>
    <n v="2171.0699999999997"/>
  </r>
  <r>
    <n v="10319"/>
    <n v="46"/>
    <n v="73.98"/>
    <n v="1"/>
    <n v="3403.08"/>
    <d v="2004-11-03T00:00:00"/>
    <s v="Shipped"/>
    <n v="4"/>
    <x v="5"/>
    <n v="2004"/>
    <x v="1"/>
    <n v="80"/>
    <s v="S18_3278"/>
    <s v="Microscale Inc."/>
    <n v="2125551957"/>
    <s v="5290 North Pendale Street"/>
    <s v="Suite 200"/>
    <s v="NYC"/>
    <s v="NY"/>
    <n v="10022"/>
    <s v="USA"/>
    <s v="NA"/>
    <s v="Kuo"/>
    <s v="Kee"/>
    <s v="Medium"/>
    <n v="3403.0800000000004"/>
  </r>
  <r>
    <n v="10329"/>
    <n v="38"/>
    <n v="59.1"/>
    <n v="10"/>
    <n v="2245.8000000000002"/>
    <d v="2004-11-15T00:00:00"/>
    <s v="Shipped"/>
    <n v="4"/>
    <x v="5"/>
    <n v="2004"/>
    <x v="1"/>
    <n v="80"/>
    <s v="S18_3278"/>
    <s v="Land of Toys Inc."/>
    <n v="2125557818"/>
    <s v="897 Long Airport Avenue"/>
    <m/>
    <s v="NYC"/>
    <s v="NY"/>
    <n v="10022"/>
    <s v="USA"/>
    <s v="NA"/>
    <s v="Yu"/>
    <s v="Kwai"/>
    <s v="Small"/>
    <n v="2245.8000000000002"/>
  </r>
  <r>
    <n v="10342"/>
    <n v="25"/>
    <n v="66.739999999999995"/>
    <n v="5"/>
    <n v="1668.5"/>
    <d v="2004-11-24T00:00:00"/>
    <s v="Shipped"/>
    <n v="4"/>
    <x v="5"/>
    <n v="2004"/>
    <x v="1"/>
    <n v="80"/>
    <s v="S18_3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668.4999999999998"/>
  </r>
  <r>
    <n v="10363"/>
    <n v="46"/>
    <n v="60.3"/>
    <n v="10"/>
    <n v="2773.8"/>
    <d v="2005-01-06T00:00:00"/>
    <s v="Shipped"/>
    <n v="1"/>
    <x v="7"/>
    <n v="2005"/>
    <x v="1"/>
    <n v="80"/>
    <s v="S18_3278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2773.7999999999997"/>
  </r>
  <r>
    <n v="10378"/>
    <n v="22"/>
    <n v="100"/>
    <n v="4"/>
    <n v="2464"/>
    <d v="2005-02-10T00:00:00"/>
    <s v="Shipped"/>
    <n v="1"/>
    <x v="0"/>
    <n v="2005"/>
    <x v="1"/>
    <n v="80"/>
    <s v="S18_3278"/>
    <s v="Euro Shopping Channel"/>
    <s v="(91) 555 94 44"/>
    <s v="C/ Moralzarzal, 86"/>
    <m/>
    <s v="Madrid"/>
    <m/>
    <n v="28034"/>
    <s v="Spain"/>
    <s v="EMEA"/>
    <s v="Freyre"/>
    <s v="Diego"/>
    <s v="Small"/>
    <n v="2200"/>
  </r>
  <r>
    <n v="10390"/>
    <n v="40"/>
    <n v="100"/>
    <n v="9"/>
    <n v="5491.6"/>
    <d v="2005-03-04T00:00:00"/>
    <s v="Shipped"/>
    <n v="1"/>
    <x v="11"/>
    <n v="2005"/>
    <x v="1"/>
    <n v="80"/>
    <s v="S18_3278"/>
    <s v="Mini Gifts Distributors Ltd."/>
    <n v="4155551450"/>
    <s v="5677 Strong St."/>
    <m/>
    <s v="San Rafael"/>
    <s v="CA"/>
    <n v="97562"/>
    <s v="USA"/>
    <s v="NA"/>
    <s v="Nelson"/>
    <s v="Valarie"/>
    <s v="Medium"/>
    <n v="4000"/>
  </r>
  <r>
    <n v="10103"/>
    <n v="46"/>
    <n v="100"/>
    <n v="16"/>
    <n v="4791.82"/>
    <d v="2003-01-29T00:00:00"/>
    <s v="Shipped"/>
    <n v="1"/>
    <x v="7"/>
    <n v="2003"/>
    <x v="3"/>
    <n v="99"/>
    <s v="S18_3320"/>
    <s v="Baane Mini Imports"/>
    <s v="07-98 9555"/>
    <s v="Erling Skakkes gate 78"/>
    <m/>
    <s v="Stavern"/>
    <m/>
    <n v="4110"/>
    <s v="Norway"/>
    <s v="EMEA"/>
    <s v="Bergulfsen"/>
    <s v="Jonas"/>
    <s v="Medium"/>
    <n v="4600"/>
  </r>
  <r>
    <n v="10111"/>
    <n v="39"/>
    <n v="100"/>
    <n v="4"/>
    <n v="4178.8500000000004"/>
    <d v="2003-03-25T00:00:00"/>
    <s v="Shipped"/>
    <n v="1"/>
    <x v="11"/>
    <n v="2003"/>
    <x v="3"/>
    <n v="99"/>
    <s v="S18_3320"/>
    <s v="Mini Wheels Co."/>
    <n v="6505555787"/>
    <s v="5557 North Pendale Street"/>
    <m/>
    <s v="San Francisco"/>
    <s v="CA"/>
    <m/>
    <s v="USA"/>
    <s v="NA"/>
    <s v="Murphy"/>
    <s v="Julie"/>
    <s v="Medium"/>
    <n v="3900"/>
  </r>
  <r>
    <n v="10126"/>
    <n v="38"/>
    <n v="82.34"/>
    <n v="16"/>
    <n v="3128.92"/>
    <d v="2003-05-28T00:00:00"/>
    <s v="Shipped"/>
    <n v="2"/>
    <x v="1"/>
    <n v="2003"/>
    <x v="3"/>
    <n v="99"/>
    <s v="S18_3320"/>
    <s v="Corrida Auto Replicas, Ltd"/>
    <s v="(91) 555 22 82"/>
    <s v="C/ Araquil, 67"/>
    <m/>
    <s v="Madrid"/>
    <m/>
    <n v="28023"/>
    <s v="Spain"/>
    <s v="EMEA"/>
    <s v="Sommer"/>
    <s v="Mart¡n"/>
    <s v="Medium"/>
    <n v="3128.92"/>
  </r>
  <r>
    <n v="10139"/>
    <n v="30"/>
    <n v="100"/>
    <n v="5"/>
    <n v="3095.4"/>
    <d v="2003-07-16T00:00:00"/>
    <s v="Shipped"/>
    <n v="3"/>
    <x v="2"/>
    <n v="2003"/>
    <x v="3"/>
    <n v="99"/>
    <s v="S18_332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000"/>
  </r>
  <r>
    <n v="10149"/>
    <n v="42"/>
    <n v="94.25"/>
    <n v="2"/>
    <n v="3958.5"/>
    <d v="2003-09-12T00:00:00"/>
    <s v="Shipped"/>
    <n v="3"/>
    <x v="10"/>
    <n v="2003"/>
    <x v="3"/>
    <n v="99"/>
    <s v="S18_3320"/>
    <s v="Signal Collectibles Ltd."/>
    <n v="4155554312"/>
    <s v="2793 Furth Circle"/>
    <m/>
    <s v="Brisbane"/>
    <s v="CA"/>
    <n v="94217"/>
    <s v="USA"/>
    <s v="NA"/>
    <s v="Taylor"/>
    <s v="Sue"/>
    <s v="Medium"/>
    <n v="3958.5"/>
  </r>
  <r>
    <n v="10163"/>
    <n v="43"/>
    <n v="100"/>
    <n v="6"/>
    <n v="4991.4399999999996"/>
    <d v="2003-10-20T00:00:00"/>
    <s v="Shipped"/>
    <n v="4"/>
    <x v="4"/>
    <n v="2003"/>
    <x v="3"/>
    <n v="99"/>
    <s v="S18_3320"/>
    <s v="Classic Legends Inc."/>
    <n v="2125558493"/>
    <s v="5905 Pompton St."/>
    <s v="Suite 750"/>
    <s v="NYC"/>
    <s v="NY"/>
    <n v="10022"/>
    <s v="USA"/>
    <s v="NA"/>
    <s v="Hernandez"/>
    <s v="Maria"/>
    <s v="Medium"/>
    <n v="4300"/>
  </r>
  <r>
    <n v="10173"/>
    <n v="29"/>
    <n v="95.24"/>
    <n v="4"/>
    <n v="2761.96"/>
    <d v="2003-11-05T00:00:00"/>
    <s v="Shipped"/>
    <n v="4"/>
    <x v="5"/>
    <n v="2003"/>
    <x v="3"/>
    <n v="99"/>
    <s v="S18_3320"/>
    <s v="Rovelli Gifts"/>
    <s v="035-640555"/>
    <s v="Via Ludovico il Moro 22"/>
    <m/>
    <s v="Bergamo"/>
    <m/>
    <n v="24100"/>
    <s v="Italy"/>
    <s v="EMEA"/>
    <s v="Rovelli"/>
    <s v="Giovanni"/>
    <s v="Small"/>
    <n v="2761.96"/>
  </r>
  <r>
    <n v="10182"/>
    <n v="33"/>
    <n v="86.31"/>
    <n v="1"/>
    <n v="2848.23"/>
    <d v="2003-11-12T00:00:00"/>
    <s v="Shipped"/>
    <n v="4"/>
    <x v="5"/>
    <n v="2003"/>
    <x v="3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Small"/>
    <n v="2848.23"/>
  </r>
  <r>
    <n v="10193"/>
    <n v="32"/>
    <n v="79.37"/>
    <n v="5"/>
    <n v="2539.84"/>
    <d v="2003-11-21T00:00:00"/>
    <s v="Shipped"/>
    <n v="4"/>
    <x v="5"/>
    <n v="2003"/>
    <x v="3"/>
    <n v="99"/>
    <s v="S18_3320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2539.84"/>
  </r>
  <r>
    <n v="10206"/>
    <n v="28"/>
    <n v="87.3"/>
    <n v="11"/>
    <n v="2444.4"/>
    <d v="2003-12-05T00:00:00"/>
    <s v="Shipped"/>
    <n v="4"/>
    <x v="6"/>
    <n v="2003"/>
    <x v="3"/>
    <n v="99"/>
    <s v="S18_3320"/>
    <s v="Canadian Gift Exchange Network"/>
    <s v="(604) 555-3392"/>
    <s v="1900 Oak St."/>
    <m/>
    <s v="Vancouver"/>
    <s v="BC"/>
    <s v="V3F 2K1"/>
    <s v="Canada"/>
    <s v="NA"/>
    <s v="Tannamuri"/>
    <s v="Yoshi"/>
    <s v="Small"/>
    <n v="2444.4"/>
  </r>
  <r>
    <n v="10215"/>
    <n v="41"/>
    <n v="100"/>
    <n v="8"/>
    <n v="4555.92"/>
    <d v="2004-01-29T00:00:00"/>
    <s v="Shipped"/>
    <n v="1"/>
    <x v="7"/>
    <n v="2004"/>
    <x v="3"/>
    <n v="99"/>
    <s v="S18_3320"/>
    <s v="West Coast Collectables Co."/>
    <n v="3105553722"/>
    <s v="3675 Furth Circle"/>
    <m/>
    <s v="Burbank"/>
    <s v="CA"/>
    <n v="94019"/>
    <s v="USA"/>
    <s v="NA"/>
    <s v="Thompson"/>
    <s v="Steve"/>
    <s v="Medium"/>
    <n v="4100"/>
  </r>
  <r>
    <n v="10227"/>
    <n v="33"/>
    <n v="100"/>
    <n v="1"/>
    <n v="3666.96"/>
    <d v="2004-03-02T00:00:00"/>
    <s v="Shipped"/>
    <n v="1"/>
    <x v="11"/>
    <n v="2004"/>
    <x v="3"/>
    <n v="99"/>
    <s v="S18_3320"/>
    <s v="Saveley &amp; Henriot, Co."/>
    <s v="78.32.5555"/>
    <s v="2, rue du Commerce"/>
    <m/>
    <s v="Lyon"/>
    <m/>
    <n v="69004"/>
    <s v="France"/>
    <s v="EMEA"/>
    <s v="Saveley"/>
    <s v="Mary"/>
    <s v="Medium"/>
    <n v="3300"/>
  </r>
  <r>
    <n v="10244"/>
    <n v="36"/>
    <n v="84.33"/>
    <n v="5"/>
    <n v="3035.88"/>
    <d v="2004-04-29T00:00:00"/>
    <s v="Shipped"/>
    <n v="2"/>
    <x v="8"/>
    <n v="2004"/>
    <x v="3"/>
    <n v="99"/>
    <s v="S18_3320"/>
    <s v="Euro Shopping Channel"/>
    <s v="(91) 555 94 44"/>
    <s v="C/ Moralzarzal, 86"/>
    <m/>
    <s v="Madrid"/>
    <m/>
    <n v="28034"/>
    <s v="Spain"/>
    <s v="EMEA"/>
    <s v="Freyre"/>
    <s v="Diego"/>
    <s v="Medium"/>
    <n v="3035.88"/>
  </r>
  <r>
    <n v="10257"/>
    <n v="26"/>
    <n v="89.29"/>
    <n v="5"/>
    <n v="2321.54"/>
    <d v="2004-06-14T00:00:00"/>
    <s v="Shipped"/>
    <n v="2"/>
    <x v="9"/>
    <n v="2004"/>
    <x v="3"/>
    <n v="99"/>
    <s v="S18_3320"/>
    <s v="The Sharp Gifts Warehouse"/>
    <n v="4085553659"/>
    <s v="3086 Ingle Ln."/>
    <m/>
    <s v="San Jose"/>
    <s v="CA"/>
    <n v="94217"/>
    <s v="USA"/>
    <s v="NA"/>
    <s v="Frick"/>
    <s v="Sue"/>
    <s v="Small"/>
    <n v="2321.54"/>
  </r>
  <r>
    <n v="10280"/>
    <n v="34"/>
    <n v="100"/>
    <n v="7"/>
    <n v="3474.46"/>
    <d v="2004-08-17T00:00:00"/>
    <s v="Shipped"/>
    <n v="3"/>
    <x v="3"/>
    <n v="2004"/>
    <x v="3"/>
    <n v="99"/>
    <s v="S18_3320"/>
    <s v="Amica Models &amp; Co."/>
    <s v="011-4988555"/>
    <s v="Via Monte Bianco 34"/>
    <m/>
    <s v="Torino"/>
    <m/>
    <n v="10100"/>
    <s v="Italy"/>
    <s v="EMEA"/>
    <s v="Accorti"/>
    <s v="Paolo"/>
    <s v="Medium"/>
    <n v="3400"/>
  </r>
  <r>
    <n v="10290"/>
    <n v="26"/>
    <n v="96.23"/>
    <n v="2"/>
    <n v="2501.98"/>
    <d v="2004-09-07T00:00:00"/>
    <s v="Shipped"/>
    <n v="3"/>
    <x v="10"/>
    <n v="2004"/>
    <x v="3"/>
    <n v="99"/>
    <s v="S18_3320"/>
    <s v="Auto-Moto Classics Inc."/>
    <n v="6175558428"/>
    <s v="16780 Pompton St."/>
    <m/>
    <s v="Brickhaven"/>
    <s v="MA"/>
    <n v="58339"/>
    <s v="USA"/>
    <s v="NA"/>
    <s v="Taylor"/>
    <s v="Leslie"/>
    <s v="Small"/>
    <n v="2501.98"/>
  </r>
  <r>
    <n v="10304"/>
    <n v="38"/>
    <n v="100"/>
    <n v="11"/>
    <n v="3958.46"/>
    <d v="2004-10-11T00:00:00"/>
    <s v="Shipped"/>
    <n v="4"/>
    <x v="4"/>
    <n v="2004"/>
    <x v="3"/>
    <n v="99"/>
    <s v="S18_3320"/>
    <s v="Auto Assoc. &amp; Cie."/>
    <s v="30.59.8555"/>
    <s v="67, avenue de l'Europe"/>
    <m/>
    <s v="Versailles"/>
    <m/>
    <n v="78000"/>
    <s v="France"/>
    <s v="EMEA"/>
    <s v="Tonini"/>
    <s v="Daniel"/>
    <s v="Medium"/>
    <n v="3800"/>
  </r>
  <r>
    <n v="10312"/>
    <n v="33"/>
    <n v="100"/>
    <n v="8"/>
    <n v="3535.95"/>
    <d v="2004-10-21T00:00:00"/>
    <s v="Shipped"/>
    <n v="4"/>
    <x v="4"/>
    <n v="2004"/>
    <x v="3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Medium"/>
    <n v="3300"/>
  </r>
  <r>
    <n v="10323"/>
    <n v="33"/>
    <n v="91.27"/>
    <n v="2"/>
    <n v="3011.91"/>
    <d v="2004-11-05T00:00:00"/>
    <s v="Shipped"/>
    <n v="4"/>
    <x v="5"/>
    <n v="2004"/>
    <x v="3"/>
    <n v="99"/>
    <s v="S18_3320"/>
    <s v="Blauer See Auto, Co."/>
    <s v="+49 69 66 90 2555"/>
    <s v="Lyonerstr. 34"/>
    <m/>
    <s v="Frankfurt"/>
    <m/>
    <n v="60528"/>
    <s v="Germany"/>
    <s v="EMEA"/>
    <s v="Keitel"/>
    <s v="Roland"/>
    <s v="Medium"/>
    <n v="3011.91"/>
  </r>
  <r>
    <n v="10333"/>
    <n v="46"/>
    <n v="100"/>
    <n v="2"/>
    <n v="11336.7"/>
    <d v="2004-11-18T00:00:00"/>
    <s v="Shipped"/>
    <n v="4"/>
    <x v="5"/>
    <n v="2004"/>
    <x v="3"/>
    <n v="99"/>
    <s v="S18_3320"/>
    <s v="Mini Wheels Co."/>
    <n v="6505555787"/>
    <s v="5557 North Pendale Street"/>
    <m/>
    <s v="San Francisco"/>
    <s v="CA"/>
    <m/>
    <s v="USA"/>
    <s v="NA"/>
    <s v="Murphy"/>
    <s v="Julie"/>
    <s v="Large"/>
    <n v="4600"/>
  </r>
  <r>
    <n v="10347"/>
    <n v="26"/>
    <n v="100"/>
    <n v="12"/>
    <n v="2656.94"/>
    <d v="2004-11-29T00:00:00"/>
    <s v="Shipped"/>
    <n v="4"/>
    <x v="5"/>
    <n v="2004"/>
    <x v="3"/>
    <n v="99"/>
    <s v="S18_332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600"/>
  </r>
  <r>
    <n v="10357"/>
    <n v="25"/>
    <n v="100"/>
    <n v="3"/>
    <n v="2604.25"/>
    <d v="2004-12-10T00:00:00"/>
    <s v="Shipped"/>
    <n v="4"/>
    <x v="6"/>
    <n v="2004"/>
    <x v="3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Small"/>
    <n v="2500"/>
  </r>
  <r>
    <n v="10369"/>
    <n v="45"/>
    <n v="73.08"/>
    <n v="4"/>
    <n v="3288.6"/>
    <d v="2005-01-20T00:00:00"/>
    <s v="Shipped"/>
    <n v="1"/>
    <x v="7"/>
    <n v="2005"/>
    <x v="3"/>
    <n v="99"/>
    <s v="S18_3320"/>
    <s v="Collectables For Less Inc."/>
    <n v="6175558555"/>
    <s v="7825 Douglas Av."/>
    <m/>
    <s v="Brickhaven"/>
    <s v="MA"/>
    <n v="58339"/>
    <s v="USA"/>
    <s v="NA"/>
    <s v="Nelson"/>
    <s v="Allen"/>
    <s v="Medium"/>
    <n v="3288.6"/>
  </r>
  <r>
    <n v="10382"/>
    <n v="50"/>
    <n v="100"/>
    <n v="7"/>
    <n v="8935.5"/>
    <d v="2005-02-17T00:00:00"/>
    <s v="Shipped"/>
    <n v="1"/>
    <x v="0"/>
    <n v="2005"/>
    <x v="3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Large"/>
    <n v="5000"/>
  </r>
  <r>
    <n v="10392"/>
    <n v="36"/>
    <n v="100"/>
    <n v="1"/>
    <n v="4035.96"/>
    <d v="2005-03-10T00:00:00"/>
    <s v="Shipped"/>
    <n v="1"/>
    <x v="11"/>
    <n v="2005"/>
    <x v="3"/>
    <n v="99"/>
    <s v="S18_3320"/>
    <s v="Mini Auto Werke"/>
    <s v="7675-3555"/>
    <s v="Kirchgasse 6"/>
    <m/>
    <s v="Graz"/>
    <m/>
    <n v="8010"/>
    <s v="Austria"/>
    <s v="EMEA"/>
    <s v="Mendel"/>
    <s v="Roland"/>
    <s v="Medium"/>
    <n v="3600"/>
  </r>
  <r>
    <n v="10423"/>
    <n v="21"/>
    <n v="89.29"/>
    <n v="5"/>
    <n v="1875.09"/>
    <d v="2005-05-30T00:00:00"/>
    <s v="In Process"/>
    <n v="2"/>
    <x v="1"/>
    <n v="2005"/>
    <x v="3"/>
    <n v="99"/>
    <s v="S18_3320"/>
    <s v="Petit Auto"/>
    <s v="(02) 5554 67"/>
    <s v="Rue Joseph-Bens 532"/>
    <m/>
    <s v="Bruxelles"/>
    <m/>
    <s v="B-1180"/>
    <s v="Belgium"/>
    <s v="EMEA"/>
    <s v="Dewey"/>
    <s v="Catherine"/>
    <s v="Small"/>
    <n v="1875.0900000000001"/>
  </r>
  <r>
    <n v="10108"/>
    <n v="29"/>
    <n v="100"/>
    <n v="8"/>
    <n v="4049.56"/>
    <d v="2003-03-03T00:00:00"/>
    <s v="Shipped"/>
    <n v="1"/>
    <x v="11"/>
    <n v="2003"/>
    <x v="1"/>
    <n v="146"/>
    <s v="S18_3482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2900"/>
  </r>
  <r>
    <n v="10122"/>
    <n v="21"/>
    <n v="100"/>
    <n v="12"/>
    <n v="2469.39"/>
    <d v="2003-05-08T00:00:00"/>
    <s v="Shipped"/>
    <n v="2"/>
    <x v="1"/>
    <n v="2003"/>
    <x v="1"/>
    <n v="146"/>
    <s v="S18_3482"/>
    <s v="Marseille Mini Autos"/>
    <s v="91.24.4555"/>
    <s v="12, rue des Bouchers"/>
    <m/>
    <s v="Marseille"/>
    <m/>
    <n v="13008"/>
    <s v="France"/>
    <s v="EMEA"/>
    <s v="Lebihan"/>
    <s v="Laurence"/>
    <s v="Small"/>
    <n v="2100"/>
  </r>
  <r>
    <n v="10135"/>
    <n v="42"/>
    <n v="100"/>
    <n v="9"/>
    <n v="5432.7"/>
    <d v="2003-07-02T00:00:00"/>
    <s v="Shipped"/>
    <n v="3"/>
    <x v="2"/>
    <n v="2003"/>
    <x v="1"/>
    <n v="146"/>
    <s v="S18_3482"/>
    <s v="Mini Gifts Distributors Ltd."/>
    <n v="4155551450"/>
    <s v="5677 Strong St."/>
    <m/>
    <s v="San Rafael"/>
    <s v="CA"/>
    <n v="97562"/>
    <s v="USA"/>
    <s v="NA"/>
    <s v="Nelson"/>
    <s v="Valarie"/>
    <s v="Medium"/>
    <n v="4200"/>
  </r>
  <r>
    <n v="10147"/>
    <n v="37"/>
    <n v="100"/>
    <n v="9"/>
    <n v="4405.22"/>
    <d v="2003-09-05T00:00:00"/>
    <s v="Shipped"/>
    <n v="3"/>
    <x v="10"/>
    <n v="2003"/>
    <x v="1"/>
    <n v="146"/>
    <s v="S18_3482"/>
    <s v="Collectables For Less Inc."/>
    <n v="6175558555"/>
    <s v="7825 Douglas Av."/>
    <m/>
    <s v="Brickhaven"/>
    <s v="MA"/>
    <n v="58339"/>
    <s v="USA"/>
    <s v="NA"/>
    <s v="Nelson"/>
    <s v="Allen"/>
    <s v="Medium"/>
    <n v="3700"/>
  </r>
  <r>
    <n v="10159"/>
    <n v="25"/>
    <n v="100"/>
    <n v="4"/>
    <n v="3638"/>
    <d v="2003-10-10T00:00:00"/>
    <s v="Shipped"/>
    <n v="4"/>
    <x v="4"/>
    <n v="2003"/>
    <x v="1"/>
    <n v="146"/>
    <s v="S18_3482"/>
    <s v="Corporate Gift Ideas Co."/>
    <n v="6505551386"/>
    <s v="7734 Strong St."/>
    <m/>
    <s v="San Francisco"/>
    <s v="CA"/>
    <m/>
    <s v="USA"/>
    <s v="NA"/>
    <s v="Brown"/>
    <s v="Julie"/>
    <s v="Medium"/>
    <n v="2500"/>
  </r>
  <r>
    <n v="10169"/>
    <n v="36"/>
    <n v="100"/>
    <n v="4"/>
    <n v="4444.92"/>
    <d v="2003-11-04T00:00:00"/>
    <s v="Shipped"/>
    <n v="4"/>
    <x v="5"/>
    <n v="2003"/>
    <x v="1"/>
    <n v="146"/>
    <s v="S18_348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600"/>
  </r>
  <r>
    <n v="10181"/>
    <n v="22"/>
    <n v="100"/>
    <n v="16"/>
    <n v="3395.48"/>
    <d v="2003-11-12T00:00:00"/>
    <s v="Shipped"/>
    <n v="4"/>
    <x v="5"/>
    <n v="2003"/>
    <x v="1"/>
    <n v="146"/>
    <s v="S18_3482"/>
    <s v="Herkku Gifts"/>
    <s v="+47 2267 3215"/>
    <s v="Drammen 121, PR 744 Sentrum"/>
    <m/>
    <s v="Bergen"/>
    <m/>
    <s v="N 5804"/>
    <s v="Norway"/>
    <s v="EMEA"/>
    <s v="Oeztan"/>
    <s v="Veysel"/>
    <s v="Medium"/>
    <n v="2200"/>
  </r>
  <r>
    <n v="10191"/>
    <n v="23"/>
    <n v="100"/>
    <n v="5"/>
    <n v="3414.58"/>
    <d v="2003-11-20T00:00:00"/>
    <s v="Shipped"/>
    <n v="4"/>
    <x v="5"/>
    <n v="2003"/>
    <x v="1"/>
    <n v="146"/>
    <s v="S18_3482"/>
    <s v="Toms Spezialitten, Ltd"/>
    <s v="0221-5554327"/>
    <s v="Mehrheimerstr. 369"/>
    <m/>
    <s v="Koln"/>
    <m/>
    <n v="50739"/>
    <s v="Germany"/>
    <s v="EMEA"/>
    <s v="Pfalzheim"/>
    <s v="Henriette"/>
    <s v="Medium"/>
    <n v="2300"/>
  </r>
  <r>
    <n v="10203"/>
    <n v="32"/>
    <n v="100"/>
    <n v="10"/>
    <n v="5127.04"/>
    <d v="2003-12-02T00:00:00"/>
    <s v="Shipped"/>
    <n v="4"/>
    <x v="6"/>
    <n v="2003"/>
    <x v="1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  <n v="3200"/>
  </r>
  <r>
    <n v="10211"/>
    <n v="28"/>
    <n v="100"/>
    <n v="4"/>
    <n v="3745.28"/>
    <d v="2004-01-15T00:00:00"/>
    <s v="Shipped"/>
    <n v="1"/>
    <x v="7"/>
    <n v="2004"/>
    <x v="1"/>
    <n v="146"/>
    <s v="S18_3482"/>
    <s v="Auto Canal Petit"/>
    <s v="(1) 47.55.6555"/>
    <s v="25, rue Lauriston"/>
    <m/>
    <s v="Paris"/>
    <m/>
    <n v="75016"/>
    <s v="France"/>
    <s v="EMEA"/>
    <s v="Perrier"/>
    <s v="Dominique"/>
    <s v="Medium"/>
    <n v="2800"/>
  </r>
  <r>
    <n v="10225"/>
    <n v="27"/>
    <n v="100"/>
    <n v="11"/>
    <n v="4564.08"/>
    <d v="2004-02-22T00:00:00"/>
    <s v="Shipped"/>
    <n v="1"/>
    <x v="0"/>
    <n v="2004"/>
    <x v="1"/>
    <n v="146"/>
    <s v="S18_3482"/>
    <s v="Vida Sport, Ltd"/>
    <s v="0897-034555"/>
    <s v="Grenzacherweg 237"/>
    <m/>
    <s v="Gensve"/>
    <m/>
    <n v="1203"/>
    <s v="Switzerland"/>
    <s v="EMEA"/>
    <s v="Holz"/>
    <s v="Michael"/>
    <s v="Medium"/>
    <n v="2700"/>
  </r>
  <r>
    <n v="10238"/>
    <n v="49"/>
    <n v="100"/>
    <n v="5"/>
    <n v="6554.24"/>
    <d v="2004-04-09T00:00:00"/>
    <s v="Shipped"/>
    <n v="2"/>
    <x v="8"/>
    <n v="2004"/>
    <x v="1"/>
    <n v="146"/>
    <s v="S18_3482"/>
    <s v="Danish Wholesale Imports"/>
    <s v="31 12 3555"/>
    <s v="Vinb'ltet 34"/>
    <m/>
    <s v="Kobenhavn"/>
    <m/>
    <n v="1734"/>
    <s v="Denmark"/>
    <s v="EMEA"/>
    <s v="Petersen"/>
    <s v="Jytte"/>
    <s v="Medium"/>
    <n v="4900"/>
  </r>
  <r>
    <n v="10252"/>
    <n v="41"/>
    <n v="100"/>
    <n v="1"/>
    <n v="6749.83"/>
    <d v="2004-05-26T00:00:00"/>
    <s v="Shipped"/>
    <n v="2"/>
    <x v="1"/>
    <n v="2004"/>
    <x v="1"/>
    <n v="146"/>
    <s v="S18_3482"/>
    <s v="Auto Canal Petit"/>
    <s v="(1) 47.55.6555"/>
    <s v="25, rue Lauriston"/>
    <m/>
    <s v="Paris"/>
    <m/>
    <n v="75016"/>
    <s v="France"/>
    <s v="EMEA"/>
    <s v="Perrier"/>
    <s v="Dominique"/>
    <s v="Medium"/>
    <n v="4100"/>
  </r>
  <r>
    <n v="10265"/>
    <n v="49"/>
    <n v="100"/>
    <n v="1"/>
    <n v="8427.02"/>
    <d v="2004-07-02T00:00:00"/>
    <s v="Shipped"/>
    <n v="3"/>
    <x v="2"/>
    <n v="2004"/>
    <x v="1"/>
    <n v="146"/>
    <s v="S18_3482"/>
    <s v="Australian Collectables, Ltd"/>
    <s v="61-9-3844-6555"/>
    <s v="7 Allen Street"/>
    <m/>
    <s v="Glen Waverly"/>
    <s v="Victoria"/>
    <n v="3150"/>
    <s v="Australia"/>
    <s v="APAC"/>
    <s v="Connery"/>
    <s v="Sean"/>
    <s v="Large"/>
    <n v="4900"/>
  </r>
  <r>
    <n v="10276"/>
    <n v="30"/>
    <n v="100"/>
    <n v="5"/>
    <n v="3924.6"/>
    <d v="2004-08-02T00:00:00"/>
    <s v="Shipped"/>
    <n v="3"/>
    <x v="3"/>
    <n v="2004"/>
    <x v="1"/>
    <n v="146"/>
    <s v="S18_3482"/>
    <s v="Online Mini Collectables"/>
    <n v="6175557555"/>
    <s v="7635 Spinnaker Dr."/>
    <m/>
    <s v="Brickhaven"/>
    <s v="MA"/>
    <n v="58339"/>
    <s v="USA"/>
    <s v="NA"/>
    <s v="Barajas"/>
    <s v="Miguel"/>
    <s v="Medium"/>
    <n v="3000"/>
  </r>
  <r>
    <n v="10287"/>
    <n v="40"/>
    <n v="100"/>
    <n v="14"/>
    <n v="6761.6"/>
    <d v="2004-08-30T00:00:00"/>
    <s v="Shipped"/>
    <n v="3"/>
    <x v="3"/>
    <n v="2004"/>
    <x v="1"/>
    <n v="146"/>
    <s v="S18_3482"/>
    <s v="Vida Sport, Ltd"/>
    <s v="0897-034555"/>
    <s v="Grenzacherweg 237"/>
    <m/>
    <s v="Gensve"/>
    <m/>
    <n v="1203"/>
    <s v="Switzerland"/>
    <s v="EMEA"/>
    <s v="Holz"/>
    <s v="Michael"/>
    <s v="Medium"/>
    <n v="4000"/>
  </r>
  <r>
    <n v="10300"/>
    <n v="23"/>
    <n v="100"/>
    <n v="7"/>
    <n v="3786.49"/>
    <d v="2003-10-04T00:00:00"/>
    <s v="Shipped"/>
    <n v="4"/>
    <x v="4"/>
    <n v="2003"/>
    <x v="1"/>
    <n v="146"/>
    <s v="S18_3482"/>
    <s v="Blauer See Auto, Co."/>
    <s v="+49 69 66 90 2555"/>
    <s v="Lyonerstr. 34"/>
    <m/>
    <s v="Frankfurt"/>
    <m/>
    <n v="60528"/>
    <s v="Germany"/>
    <s v="EMEA"/>
    <s v="Keitel"/>
    <s v="Roland"/>
    <s v="Medium"/>
    <n v="2300"/>
  </r>
  <r>
    <n v="10310"/>
    <n v="49"/>
    <n v="100"/>
    <n v="12"/>
    <n v="6266.12"/>
    <d v="2004-10-16T00:00:00"/>
    <s v="Shipped"/>
    <n v="4"/>
    <x v="4"/>
    <n v="2004"/>
    <x v="1"/>
    <n v="146"/>
    <s v="S18_3482"/>
    <s v="Toms Spezialitten, Ltd"/>
    <s v="0221-5554327"/>
    <s v="Mehrheimerstr. 369"/>
    <m/>
    <s v="Koln"/>
    <m/>
    <n v="50739"/>
    <s v="Germany"/>
    <s v="EMEA"/>
    <s v="Pfalzheim"/>
    <s v="Henriette"/>
    <s v="Medium"/>
    <n v="4900"/>
  </r>
  <r>
    <n v="10320"/>
    <n v="25"/>
    <n v="100"/>
    <n v="5"/>
    <n v="3491"/>
    <d v="2004-11-03T00:00:00"/>
    <s v="Shipped"/>
    <n v="4"/>
    <x v="5"/>
    <n v="2004"/>
    <x v="1"/>
    <n v="146"/>
    <s v="S18_3482"/>
    <s v="Volvo Model Replicas, Co"/>
    <s v="0921-12 3555"/>
    <s v="Berguvsv„gen  8"/>
    <m/>
    <s v="Lule"/>
    <m/>
    <s v="S-958 22"/>
    <s v="Sweden"/>
    <s v="EMEA"/>
    <s v="Berglund"/>
    <s v="Christina"/>
    <s v="Medium"/>
    <n v="2500"/>
  </r>
  <r>
    <n v="10330"/>
    <n v="37"/>
    <n v="100"/>
    <n v="3"/>
    <n v="4405.22"/>
    <d v="2004-11-16T00:00:00"/>
    <s v="Shipped"/>
    <n v="4"/>
    <x v="5"/>
    <n v="2004"/>
    <x v="1"/>
    <n v="146"/>
    <s v="S18_3482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3700"/>
  </r>
  <r>
    <n v="10342"/>
    <n v="55"/>
    <n v="100"/>
    <n v="7"/>
    <n v="6548.3"/>
    <d v="2004-11-24T00:00:00"/>
    <s v="Shipped"/>
    <n v="4"/>
    <x v="5"/>
    <n v="2004"/>
    <x v="1"/>
    <n v="146"/>
    <s v="S18_348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5500"/>
  </r>
  <r>
    <n v="10355"/>
    <n v="23"/>
    <n v="100"/>
    <n v="7"/>
    <n v="3177.91"/>
    <d v="2004-12-07T00:00:00"/>
    <s v="Shipped"/>
    <n v="4"/>
    <x v="6"/>
    <n v="2004"/>
    <x v="1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  <n v="2300"/>
  </r>
  <r>
    <n v="10363"/>
    <n v="24"/>
    <n v="100"/>
    <n v="11"/>
    <n v="4142.6400000000003"/>
    <d v="2005-01-06T00:00:00"/>
    <s v="Shipped"/>
    <n v="1"/>
    <x v="7"/>
    <n v="2005"/>
    <x v="1"/>
    <n v="146"/>
    <s v="S18_3482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2400"/>
  </r>
  <r>
    <n v="10378"/>
    <n v="43"/>
    <n v="96.49"/>
    <n v="10"/>
    <n v="4149.07"/>
    <d v="2005-02-10T00:00:00"/>
    <s v="Shipped"/>
    <n v="1"/>
    <x v="0"/>
    <n v="2005"/>
    <x v="1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  <n v="4149.07"/>
  </r>
  <r>
    <n v="10390"/>
    <n v="50"/>
    <n v="100"/>
    <n v="1"/>
    <n v="7397"/>
    <d v="2005-03-04T00:00:00"/>
    <s v="Shipped"/>
    <n v="1"/>
    <x v="11"/>
    <n v="2005"/>
    <x v="1"/>
    <n v="146"/>
    <s v="S18_3482"/>
    <s v="Mini Gifts Distributors Ltd."/>
    <n v="4155551450"/>
    <s v="5677 Strong St."/>
    <m/>
    <s v="San Rafael"/>
    <s v="CA"/>
    <n v="97562"/>
    <s v="USA"/>
    <s v="NA"/>
    <s v="Nelson"/>
    <s v="Valarie"/>
    <s v="Large"/>
    <n v="5000"/>
  </r>
  <r>
    <n v="10109"/>
    <n v="47"/>
    <n v="100"/>
    <n v="2"/>
    <n v="6241.6"/>
    <d v="2003-03-10T00:00:00"/>
    <s v="Shipped"/>
    <n v="1"/>
    <x v="11"/>
    <n v="2003"/>
    <x v="1"/>
    <n v="141"/>
    <s v="S18_3685"/>
    <s v="Motor Mint Distributors Inc."/>
    <n v="2155559857"/>
    <s v="11328 Douglas Av."/>
    <m/>
    <s v="Philadelphia"/>
    <s v="PA"/>
    <n v="71270"/>
    <s v="USA"/>
    <s v="NA"/>
    <s v="Hernandez"/>
    <s v="Rosa"/>
    <s v="Medium"/>
    <n v="4700"/>
  </r>
  <r>
    <n v="10123"/>
    <n v="34"/>
    <n v="100"/>
    <n v="4"/>
    <n v="5331.88"/>
    <d v="2003-05-20T00:00:00"/>
    <s v="Shipped"/>
    <n v="2"/>
    <x v="1"/>
    <n v="2003"/>
    <x v="1"/>
    <n v="141"/>
    <s v="S18_3685"/>
    <s v="Atelier graphique"/>
    <s v="40.32.2555"/>
    <s v="54, rue Royale"/>
    <m/>
    <s v="Nantes"/>
    <m/>
    <n v="44000"/>
    <s v="France"/>
    <s v="EMEA"/>
    <s v="Schmitt"/>
    <s v="Carine"/>
    <s v="Medium"/>
    <n v="3400"/>
  </r>
  <r>
    <n v="10137"/>
    <n v="31"/>
    <n v="100"/>
    <n v="4"/>
    <n v="5124.3"/>
    <d v="2003-07-10T00:00:00"/>
    <s v="Shipped"/>
    <n v="3"/>
    <x v="2"/>
    <n v="2003"/>
    <x v="1"/>
    <n v="141"/>
    <s v="S18_3685"/>
    <s v="Reims Collectables"/>
    <s v="26.47.1555"/>
    <s v="59 rue de l'Abbaye"/>
    <m/>
    <s v="Reims"/>
    <m/>
    <n v="51100"/>
    <s v="France"/>
    <s v="EMEA"/>
    <s v="Henriot"/>
    <s v="Paul"/>
    <s v="Medium"/>
    <n v="3100"/>
  </r>
  <r>
    <n v="10148"/>
    <n v="28"/>
    <n v="100"/>
    <n v="11"/>
    <n v="3639.44"/>
    <d v="2003-09-11T00:00:00"/>
    <s v="Shipped"/>
    <n v="3"/>
    <x v="10"/>
    <n v="2003"/>
    <x v="1"/>
    <n v="141"/>
    <s v="S18_3685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2800"/>
  </r>
  <r>
    <n v="10161"/>
    <n v="36"/>
    <n v="100"/>
    <n v="10"/>
    <n v="5544"/>
    <d v="2003-10-17T00:00:00"/>
    <s v="Shipped"/>
    <n v="4"/>
    <x v="4"/>
    <n v="2003"/>
    <x v="1"/>
    <n v="141"/>
    <s v="S18_3685"/>
    <s v="Heintze Collectables"/>
    <s v="86 21 3555"/>
    <s v="Smagsloget 45"/>
    <m/>
    <s v="Aaarhus"/>
    <m/>
    <n v="8200"/>
    <s v="Denmark"/>
    <s v="EMEA"/>
    <s v="Ibsen"/>
    <s v="Palle"/>
    <s v="Medium"/>
    <n v="3600"/>
  </r>
  <r>
    <n v="10172"/>
    <n v="48"/>
    <n v="100"/>
    <n v="8"/>
    <n v="5493.12"/>
    <d v="2003-11-05T00:00:00"/>
    <s v="Shipped"/>
    <n v="4"/>
    <x v="5"/>
    <n v="2003"/>
    <x v="1"/>
    <n v="141"/>
    <s v="S18_3685"/>
    <s v="Gift Depot Inc."/>
    <n v="2035552570"/>
    <s v="25593 South Bay Ln."/>
    <m/>
    <s v="Bridgewater"/>
    <s v="CT"/>
    <n v="97562"/>
    <s v="USA"/>
    <s v="NA"/>
    <s v="King"/>
    <s v="Julie"/>
    <s v="Medium"/>
    <n v="4800"/>
  </r>
  <r>
    <n v="10181"/>
    <n v="39"/>
    <n v="100"/>
    <n v="4"/>
    <n v="5785.26"/>
    <d v="2003-11-12T00:00:00"/>
    <s v="Shipped"/>
    <n v="4"/>
    <x v="5"/>
    <n v="2003"/>
    <x v="1"/>
    <n v="141"/>
    <s v="S18_3685"/>
    <s v="Herkku Gifts"/>
    <s v="+47 2267 3215"/>
    <s v="Drammen 121, PR 744 Sentrum"/>
    <m/>
    <s v="Bergen"/>
    <m/>
    <s v="N 5804"/>
    <s v="Norway"/>
    <s v="EMEA"/>
    <s v="Oeztan"/>
    <s v="Veysel"/>
    <s v="Medium"/>
    <n v="3900"/>
  </r>
  <r>
    <n v="10192"/>
    <n v="45"/>
    <n v="100"/>
    <n v="9"/>
    <n v="5340.6"/>
    <d v="2003-11-20T00:00:00"/>
    <s v="Shipped"/>
    <n v="4"/>
    <x v="5"/>
    <n v="2003"/>
    <x v="1"/>
    <n v="141"/>
    <s v="S18_3685"/>
    <s v="Online Diecast Creations Co."/>
    <n v="6035558647"/>
    <s v="2304 Long Airport Avenue"/>
    <m/>
    <s v="Nashua"/>
    <s v="NH"/>
    <n v="62005"/>
    <s v="USA"/>
    <s v="NA"/>
    <s v="Young"/>
    <s v="Valarie"/>
    <s v="Medium"/>
    <n v="4500"/>
  </r>
  <r>
    <n v="10204"/>
    <n v="35"/>
    <n v="100"/>
    <n v="15"/>
    <n v="5735.8"/>
    <d v="2003-12-02T00:00:00"/>
    <s v="Shipped"/>
    <n v="4"/>
    <x v="6"/>
    <n v="2003"/>
    <x v="1"/>
    <n v="141"/>
    <s v="S18_3685"/>
    <s v="Muscle Machine Inc"/>
    <n v="2125557413"/>
    <s v="4092 Furth Circle"/>
    <s v="Suite 400"/>
    <s v="NYC"/>
    <s v="NY"/>
    <n v="10022"/>
    <s v="USA"/>
    <s v="NA"/>
    <s v="Young"/>
    <s v="Jeff"/>
    <s v="Medium"/>
    <n v="3500"/>
  </r>
  <r>
    <n v="10212"/>
    <n v="45"/>
    <n v="100"/>
    <n v="8"/>
    <n v="6357.6"/>
    <d v="2004-01-16T00:00:00"/>
    <s v="Shipped"/>
    <n v="1"/>
    <x v="7"/>
    <n v="2004"/>
    <x v="1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Medium"/>
    <n v="4500"/>
  </r>
  <r>
    <n v="10226"/>
    <n v="46"/>
    <n v="100"/>
    <n v="6"/>
    <n v="7343.9"/>
    <d v="2004-02-26T00:00:00"/>
    <s v="Shipped"/>
    <n v="1"/>
    <x v="0"/>
    <n v="2004"/>
    <x v="1"/>
    <n v="141"/>
    <s v="S18_3685"/>
    <s v="Collectable Mini Designs Co."/>
    <n v="7605558146"/>
    <s v="361 Furth Circle"/>
    <m/>
    <s v="San Diego"/>
    <s v="CA"/>
    <n v="91217"/>
    <s v="USA"/>
    <s v="NA"/>
    <s v="Thompson"/>
    <s v="Valarie"/>
    <s v="Large"/>
    <n v="4600"/>
  </r>
  <r>
    <n v="10240"/>
    <n v="37"/>
    <n v="100"/>
    <n v="1"/>
    <n v="5959.22"/>
    <d v="2004-04-13T00:00:00"/>
    <s v="Shipped"/>
    <n v="2"/>
    <x v="8"/>
    <n v="2004"/>
    <x v="1"/>
    <n v="141"/>
    <s v="S18_3685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n v="3700"/>
  </r>
  <r>
    <n v="10253"/>
    <n v="31"/>
    <n v="100"/>
    <n v="3"/>
    <n v="4029.38"/>
    <d v="2004-06-01T00:00:00"/>
    <s v="Cancelled"/>
    <n v="2"/>
    <x v="9"/>
    <n v="2004"/>
    <x v="1"/>
    <n v="141"/>
    <s v="S18_3685"/>
    <s v="UK Collectables, Ltd."/>
    <s v="(171) 555-2282"/>
    <s v="Berkeley Gardens 12  Brewery"/>
    <m/>
    <s v="Liverpool"/>
    <m/>
    <s v="WX1 6LT"/>
    <s v="UK"/>
    <s v="EMEA"/>
    <s v="Devon"/>
    <s v="Elizabeth"/>
    <s v="Medium"/>
    <n v="3100"/>
  </r>
  <r>
    <n v="10266"/>
    <n v="33"/>
    <n v="100"/>
    <n v="4"/>
    <n v="5035.1400000000003"/>
    <d v="2004-07-06T00:00:00"/>
    <s v="Shipped"/>
    <n v="3"/>
    <x v="2"/>
    <n v="2004"/>
    <x v="1"/>
    <n v="141"/>
    <s v="S18_3685"/>
    <s v="L'ordine Souveniers"/>
    <s v="0522-556555"/>
    <s v="Strada Provinciale 124"/>
    <m/>
    <s v="Reggio Emilia"/>
    <m/>
    <n v="42100"/>
    <s v="Italy"/>
    <s v="EMEA"/>
    <s v="Moroni"/>
    <s v="Maurizio"/>
    <s v="Medium"/>
    <n v="3300"/>
  </r>
  <r>
    <n v="10278"/>
    <n v="31"/>
    <n v="100"/>
    <n v="4"/>
    <n v="4116.8"/>
    <d v="2004-08-06T00:00:00"/>
    <s v="Shipped"/>
    <n v="3"/>
    <x v="3"/>
    <n v="2004"/>
    <x v="1"/>
    <n v="141"/>
    <s v="S18_3685"/>
    <s v="Signal Gift Stores"/>
    <n v="7025551838"/>
    <s v="8489 Strong St."/>
    <m/>
    <s v="Las Vegas"/>
    <s v="NV"/>
    <n v="83030"/>
    <s v="USA"/>
    <s v="NA"/>
    <s v="King"/>
    <s v="Sue"/>
    <s v="Medium"/>
    <n v="3100"/>
  </r>
  <r>
    <n v="10287"/>
    <n v="27"/>
    <n v="100"/>
    <n v="2"/>
    <n v="4310.55"/>
    <d v="2004-08-30T00:00:00"/>
    <s v="Shipped"/>
    <n v="3"/>
    <x v="3"/>
    <n v="2004"/>
    <x v="1"/>
    <n v="141"/>
    <s v="S18_3685"/>
    <s v="Vida Sport, Ltd"/>
    <s v="0897-034555"/>
    <s v="Grenzacherweg 237"/>
    <m/>
    <s v="Gensve"/>
    <m/>
    <n v="1203"/>
    <s v="Switzerland"/>
    <s v="EMEA"/>
    <s v="Holz"/>
    <s v="Michael"/>
    <s v="Medium"/>
    <n v="2700"/>
  </r>
  <r>
    <n v="10301"/>
    <n v="39"/>
    <n v="100"/>
    <n v="6"/>
    <n v="6446.7"/>
    <d v="2003-10-05T00:00:00"/>
    <s v="Shipped"/>
    <n v="4"/>
    <x v="4"/>
    <n v="2003"/>
    <x v="1"/>
    <n v="141"/>
    <s v="S18_3685"/>
    <s v="Norway Gifts By Mail, Co."/>
    <s v="+47 2212 1555"/>
    <s v="Drammensveien 126 A, PB 744 Sentrum"/>
    <m/>
    <s v="Oslo"/>
    <m/>
    <s v="N 0106"/>
    <s v="Norway"/>
    <s v="EMEA"/>
    <s v="Klaeboe"/>
    <s v="Jan"/>
    <s v="Medium"/>
    <n v="3900"/>
  </r>
  <r>
    <n v="10311"/>
    <n v="32"/>
    <n v="100"/>
    <n v="11"/>
    <n v="3616.64"/>
    <d v="2004-10-16T00:00:00"/>
    <s v="Shipped"/>
    <n v="4"/>
    <x v="4"/>
    <n v="2004"/>
    <x v="1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Medium"/>
    <n v="3200"/>
  </r>
  <r>
    <n v="10321"/>
    <n v="28"/>
    <n v="100"/>
    <n v="8"/>
    <n v="4232.76"/>
    <d v="2004-11-04T00:00:00"/>
    <s v="Shipped"/>
    <n v="4"/>
    <x v="5"/>
    <n v="2004"/>
    <x v="1"/>
    <n v="141"/>
    <s v="S18_3685"/>
    <s v="FunGiftIdeas.com"/>
    <n v="5085552555"/>
    <s v="1785 First Street"/>
    <m/>
    <s v="New Bedford"/>
    <s v="MA"/>
    <n v="50553"/>
    <s v="USA"/>
    <s v="NA"/>
    <s v="Benitez"/>
    <s v="Violeta"/>
    <s v="Medium"/>
    <n v="2800"/>
  </r>
  <r>
    <n v="10331"/>
    <n v="26"/>
    <n v="67.91"/>
    <n v="12"/>
    <n v="1765.66"/>
    <d v="2004-11-17T00:00:00"/>
    <s v="Shipped"/>
    <n v="4"/>
    <x v="5"/>
    <n v="2004"/>
    <x v="1"/>
    <n v="141"/>
    <s v="S18_3685"/>
    <s v="Motor Mint Distributors Inc."/>
    <n v="2155559857"/>
    <s v="11328 Douglas Av."/>
    <m/>
    <s v="Philadelphia"/>
    <s v="PA"/>
    <n v="71270"/>
    <s v="USA"/>
    <s v="NA"/>
    <s v="Hernandez"/>
    <s v="Rosa"/>
    <s v="Small"/>
    <n v="1765.6599999999999"/>
  </r>
  <r>
    <n v="10343"/>
    <n v="44"/>
    <n v="84.88"/>
    <n v="2"/>
    <n v="3734.72"/>
    <d v="2004-11-24T00:00:00"/>
    <s v="Shipped"/>
    <n v="4"/>
    <x v="5"/>
    <n v="2004"/>
    <x v="1"/>
    <n v="141"/>
    <s v="S18_3685"/>
    <s v="Reims Collectables"/>
    <s v="26.47.1555"/>
    <s v="59 rue de l'Abbaye"/>
    <m/>
    <s v="Reims"/>
    <m/>
    <n v="51100"/>
    <s v="France"/>
    <s v="EMEA"/>
    <s v="Henriot"/>
    <s v="Paul"/>
    <s v="Medium"/>
    <n v="3734.72"/>
  </r>
  <r>
    <n v="10367"/>
    <n v="46"/>
    <n v="100"/>
    <n v="6"/>
    <n v="4808.38"/>
    <d v="2005-01-12T00:00:00"/>
    <s v="Resolved"/>
    <n v="1"/>
    <x v="7"/>
    <n v="2005"/>
    <x v="1"/>
    <n v="141"/>
    <s v="S18_3685"/>
    <s v="Toys4GrownUps.com"/>
    <n v="6265557265"/>
    <s v="78934 Hillside Dr."/>
    <m/>
    <s v="Pasadena"/>
    <s v="CA"/>
    <n v="90003"/>
    <s v="USA"/>
    <s v="NA"/>
    <s v="Young"/>
    <s v="Julie"/>
    <s v="Medium"/>
    <n v="4600"/>
  </r>
  <r>
    <n v="10379"/>
    <n v="32"/>
    <n v="70.83"/>
    <n v="4"/>
    <n v="2266.56"/>
    <d v="2005-02-10T00:00:00"/>
    <s v="Shipped"/>
    <n v="1"/>
    <x v="0"/>
    <n v="2005"/>
    <x v="1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Small"/>
    <n v="2266.56"/>
  </r>
  <r>
    <n v="10406"/>
    <n v="65"/>
    <n v="100"/>
    <n v="1"/>
    <n v="10468.9"/>
    <d v="2005-04-15T00:00:00"/>
    <s v="Disputed"/>
    <n v="2"/>
    <x v="8"/>
    <n v="2005"/>
    <x v="1"/>
    <n v="141"/>
    <s v="S18_3685"/>
    <s v="Danish Wholesale Imports"/>
    <s v="31 12 3555"/>
    <s v="Vinb'ltet 34"/>
    <m/>
    <s v="Kobenhavn"/>
    <m/>
    <n v="1734"/>
    <s v="Denmark"/>
    <s v="EMEA"/>
    <s v="Petersen"/>
    <s v="Jytte"/>
    <s v="Large"/>
    <n v="6500"/>
  </r>
  <r>
    <n v="10419"/>
    <n v="43"/>
    <n v="100"/>
    <n v="3"/>
    <n v="5589.14"/>
    <d v="2005-05-17T00:00:00"/>
    <s v="Shipped"/>
    <n v="2"/>
    <x v="1"/>
    <n v="2005"/>
    <x v="1"/>
    <n v="141"/>
    <s v="S18_3685"/>
    <s v="Salzburg Collectables"/>
    <s v="6562-9555"/>
    <s v="Geislweg 14"/>
    <m/>
    <s v="Salzburg"/>
    <m/>
    <n v="5020"/>
    <s v="Austria"/>
    <s v="EMEA"/>
    <s v="Pipps"/>
    <s v="Georg"/>
    <s v="Medium"/>
    <n v="4300"/>
  </r>
  <r>
    <n v="10108"/>
    <n v="43"/>
    <n v="67.77"/>
    <n v="12"/>
    <n v="2914.11"/>
    <d v="2003-03-03T00:00:00"/>
    <s v="Shipped"/>
    <n v="1"/>
    <x v="11"/>
    <n v="2003"/>
    <x v="0"/>
    <n v="62"/>
    <s v="S18_378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2914.1099999999997"/>
  </r>
  <r>
    <n v="10122"/>
    <n v="35"/>
    <n v="49.74"/>
    <n v="16"/>
    <n v="1740.9"/>
    <d v="2003-05-08T00:00:00"/>
    <s v="Shipped"/>
    <n v="2"/>
    <x v="1"/>
    <n v="2003"/>
    <x v="0"/>
    <n v="62"/>
    <s v="S18_3782"/>
    <s v="Marseille Mini Autos"/>
    <s v="91.24.4555"/>
    <s v="12, rue des Bouchers"/>
    <m/>
    <s v="Marseille"/>
    <m/>
    <n v="13008"/>
    <s v="France"/>
    <s v="EMEA"/>
    <s v="Lebihan"/>
    <s v="Laurence"/>
    <s v="Small"/>
    <n v="1740.9"/>
  </r>
  <r>
    <n v="10135"/>
    <n v="45"/>
    <n v="50.36"/>
    <n v="13"/>
    <n v="2266.1999999999998"/>
    <d v="2003-07-02T00:00:00"/>
    <s v="Shipped"/>
    <n v="3"/>
    <x v="2"/>
    <n v="2003"/>
    <x v="0"/>
    <n v="62"/>
    <s v="S18_3782"/>
    <s v="Mini Gifts Distributors Ltd."/>
    <n v="4155551450"/>
    <s v="5677 Strong St."/>
    <m/>
    <s v="San Rafael"/>
    <s v="CA"/>
    <n v="97562"/>
    <s v="USA"/>
    <s v="NA"/>
    <s v="Nelson"/>
    <s v="Valarie"/>
    <s v="Small"/>
    <n v="2266.1999999999998"/>
  </r>
  <r>
    <n v="10146"/>
    <n v="47"/>
    <n v="67.14"/>
    <n v="2"/>
    <n v="3155.58"/>
    <d v="2003-09-03T00:00:00"/>
    <s v="Shipped"/>
    <n v="3"/>
    <x v="10"/>
    <n v="2003"/>
    <x v="0"/>
    <n v="62"/>
    <s v="S18_3782"/>
    <s v="Gift Ideas Corp."/>
    <n v="2035554407"/>
    <s v="2440 Pompton St."/>
    <m/>
    <s v="Glendale"/>
    <s v="CT"/>
    <n v="97561"/>
    <s v="USA"/>
    <s v="NA"/>
    <s v="Lewis"/>
    <s v="Dan"/>
    <s v="Medium"/>
    <n v="3155.58"/>
  </r>
  <r>
    <n v="10159"/>
    <n v="21"/>
    <n v="64.66"/>
    <n v="8"/>
    <n v="1357.86"/>
    <d v="2003-10-10T00:00:00"/>
    <s v="Shipped"/>
    <n v="4"/>
    <x v="4"/>
    <n v="2003"/>
    <x v="0"/>
    <n v="62"/>
    <s v="S18_3782"/>
    <s v="Corporate Gift Ideas Co."/>
    <n v="6505551386"/>
    <s v="7734 Strong St."/>
    <m/>
    <s v="San Francisco"/>
    <s v="CA"/>
    <m/>
    <s v="USA"/>
    <s v="NA"/>
    <s v="Brown"/>
    <s v="Julie"/>
    <s v="Small"/>
    <n v="1357.86"/>
  </r>
  <r>
    <n v="10169"/>
    <n v="38"/>
    <n v="68.39"/>
    <n v="8"/>
    <n v="2598.8200000000002"/>
    <d v="2003-11-04T00:00:00"/>
    <s v="Shipped"/>
    <n v="4"/>
    <x v="5"/>
    <n v="2003"/>
    <x v="0"/>
    <n v="62"/>
    <s v="S18_378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598.8200000000002"/>
  </r>
  <r>
    <n v="10180"/>
    <n v="21"/>
    <n v="50.36"/>
    <n v="3"/>
    <n v="1057.56"/>
    <d v="2003-11-11T00:00:00"/>
    <s v="Shipped"/>
    <n v="4"/>
    <x v="5"/>
    <n v="2003"/>
    <x v="0"/>
    <n v="62"/>
    <s v="S18_3782"/>
    <s v="Daedalus Designs Imports"/>
    <s v="20.16.1555"/>
    <s v="184, chausse de Tournai"/>
    <m/>
    <s v="Lille"/>
    <m/>
    <n v="59000"/>
    <s v="France"/>
    <s v="EMEA"/>
    <s v="Rance"/>
    <s v="Martine"/>
    <s v="Small"/>
    <n v="1057.56"/>
  </r>
  <r>
    <n v="10191"/>
    <n v="43"/>
    <n v="72.739999999999995"/>
    <n v="9"/>
    <n v="3127.82"/>
    <d v="2003-11-20T00:00:00"/>
    <s v="Shipped"/>
    <n v="4"/>
    <x v="5"/>
    <n v="2003"/>
    <x v="0"/>
    <n v="62"/>
    <s v="S18_3782"/>
    <s v="Toms Spezialitten, Ltd"/>
    <s v="0221-5554327"/>
    <s v="Mehrheimerstr. 369"/>
    <m/>
    <s v="Koln"/>
    <m/>
    <n v="50739"/>
    <s v="Germany"/>
    <s v="EMEA"/>
    <s v="Pfalzheim"/>
    <s v="Henriette"/>
    <s v="Medium"/>
    <n v="3127.8199999999997"/>
  </r>
  <r>
    <n v="10211"/>
    <n v="46"/>
    <n v="54.09"/>
    <n v="8"/>
    <n v="2488.14"/>
    <d v="2004-01-15T00:00:00"/>
    <s v="Shipped"/>
    <n v="1"/>
    <x v="7"/>
    <n v="2004"/>
    <x v="0"/>
    <n v="62"/>
    <s v="S18_3782"/>
    <s v="Auto Canal Petit"/>
    <s v="(1) 47.55.6555"/>
    <s v="25, rue Lauriston"/>
    <m/>
    <s v="Paris"/>
    <m/>
    <n v="75016"/>
    <s v="France"/>
    <s v="EMEA"/>
    <s v="Perrier"/>
    <s v="Dominique"/>
    <s v="Small"/>
    <n v="2488.1400000000003"/>
  </r>
  <r>
    <n v="10224"/>
    <n v="38"/>
    <n v="58.44"/>
    <n v="1"/>
    <n v="2220.7199999999998"/>
    <d v="2004-02-21T00:00:00"/>
    <s v="Shipped"/>
    <n v="1"/>
    <x v="0"/>
    <n v="2004"/>
    <x v="0"/>
    <n v="62"/>
    <s v="S18_3782"/>
    <s v="Daedalus Designs Imports"/>
    <s v="20.16.1555"/>
    <s v="184, chausse de Tournai"/>
    <m/>
    <s v="Lille"/>
    <m/>
    <n v="59000"/>
    <s v="France"/>
    <s v="EMEA"/>
    <s v="Rance"/>
    <s v="Martine"/>
    <s v="Small"/>
    <n v="2220.7199999999998"/>
  </r>
  <r>
    <n v="10237"/>
    <n v="26"/>
    <n v="52.22"/>
    <n v="1"/>
    <n v="1357.72"/>
    <d v="2004-04-05T00:00:00"/>
    <s v="Shipped"/>
    <n v="2"/>
    <x v="8"/>
    <n v="2004"/>
    <x v="0"/>
    <n v="62"/>
    <s v="S18_3782"/>
    <s v="Vitachrome Inc."/>
    <n v="2125551500"/>
    <s v="2678 Kingston Rd."/>
    <s v="Suite 101"/>
    <s v="NYC"/>
    <s v="NY"/>
    <n v="10022"/>
    <s v="USA"/>
    <s v="NA"/>
    <s v="Frick"/>
    <s v="Michael"/>
    <s v="Small"/>
    <n v="1357.72"/>
  </r>
  <r>
    <n v="10252"/>
    <n v="31"/>
    <n v="52.84"/>
    <n v="5"/>
    <n v="1638.04"/>
    <d v="2004-05-26T00:00:00"/>
    <s v="Shipped"/>
    <n v="2"/>
    <x v="1"/>
    <n v="2004"/>
    <x v="0"/>
    <n v="62"/>
    <s v="S18_3782"/>
    <s v="Auto Canal Petit"/>
    <s v="(1) 47.55.6555"/>
    <s v="25, rue Lauriston"/>
    <m/>
    <s v="Paris"/>
    <m/>
    <n v="75016"/>
    <s v="France"/>
    <s v="EMEA"/>
    <s v="Perrier"/>
    <s v="Dominique"/>
    <s v="Small"/>
    <n v="1638.0400000000002"/>
  </r>
  <r>
    <n v="10264"/>
    <n v="48"/>
    <n v="54.71"/>
    <n v="3"/>
    <n v="2626.08"/>
    <d v="2004-06-30T00:00:00"/>
    <s v="Shipped"/>
    <n v="2"/>
    <x v="9"/>
    <n v="2004"/>
    <x v="0"/>
    <n v="62"/>
    <s v="S18_3782"/>
    <s v="Gifts4AllAges.com"/>
    <n v="6175559555"/>
    <s v="8616 Spinnaker Dr."/>
    <m/>
    <s v="Boston"/>
    <s v="MA"/>
    <n v="51003"/>
    <s v="USA"/>
    <s v="NA"/>
    <s v="Yoshido"/>
    <s v="Juri"/>
    <s v="Small"/>
    <n v="2626.08"/>
  </r>
  <r>
    <n v="10276"/>
    <n v="33"/>
    <n v="50.36"/>
    <n v="9"/>
    <n v="1661.88"/>
    <d v="2004-08-02T00:00:00"/>
    <s v="Shipped"/>
    <n v="3"/>
    <x v="3"/>
    <n v="2004"/>
    <x v="0"/>
    <n v="62"/>
    <s v="S18_3782"/>
    <s v="Online Mini Collectables"/>
    <n v="6175557555"/>
    <s v="7635 Spinnaker Dr."/>
    <m/>
    <s v="Brickhaven"/>
    <s v="MA"/>
    <n v="58339"/>
    <s v="USA"/>
    <s v="NA"/>
    <s v="Barajas"/>
    <s v="Miguel"/>
    <s v="Small"/>
    <n v="1661.8799999999999"/>
  </r>
  <r>
    <n v="10286"/>
    <n v="38"/>
    <n v="57.2"/>
    <n v="1"/>
    <n v="2173.6"/>
    <d v="2004-08-28T00:00:00"/>
    <s v="Shipped"/>
    <n v="3"/>
    <x v="3"/>
    <n v="2004"/>
    <x v="0"/>
    <n v="62"/>
    <s v="S18_3782"/>
    <s v="La Corne D'abondance, Co."/>
    <s v="(1) 42.34.2555"/>
    <s v="265, boulevard Charonne"/>
    <m/>
    <s v="Paris"/>
    <m/>
    <n v="75012"/>
    <s v="France"/>
    <s v="EMEA"/>
    <s v="Bertrand"/>
    <s v="Marie"/>
    <s v="Small"/>
    <n v="2173.6"/>
  </r>
  <r>
    <n v="10299"/>
    <n v="39"/>
    <n v="55.95"/>
    <n v="3"/>
    <n v="2182.0500000000002"/>
    <d v="2004-09-30T00:00:00"/>
    <s v="Shipped"/>
    <n v="3"/>
    <x v="10"/>
    <n v="2004"/>
    <x v="0"/>
    <n v="62"/>
    <s v="S18_3782"/>
    <s v="Toys of Finland, Co."/>
    <s v="90-224 8555"/>
    <s v="Keskuskatu 45"/>
    <m/>
    <s v="Helsinki"/>
    <m/>
    <n v="21240"/>
    <s v="Finland"/>
    <s v="EMEA"/>
    <s v="Karttunen"/>
    <s v="Matti"/>
    <s v="Small"/>
    <n v="2182.0500000000002"/>
  </r>
  <r>
    <n v="10310"/>
    <n v="42"/>
    <n v="67.14"/>
    <n v="16"/>
    <n v="2819.88"/>
    <d v="2004-10-16T00:00:00"/>
    <s v="Shipped"/>
    <n v="4"/>
    <x v="4"/>
    <n v="2004"/>
    <x v="0"/>
    <n v="62"/>
    <s v="S18_3782"/>
    <s v="Toms Spezialitten, Ltd"/>
    <s v="0221-5554327"/>
    <s v="Mehrheimerstr. 369"/>
    <m/>
    <s v="Koln"/>
    <m/>
    <n v="50739"/>
    <s v="Germany"/>
    <s v="EMEA"/>
    <s v="Pfalzheim"/>
    <s v="Henriette"/>
    <s v="Small"/>
    <n v="2819.88"/>
  </r>
  <r>
    <n v="10319"/>
    <n v="44"/>
    <n v="59.06"/>
    <n v="4"/>
    <n v="2598.64"/>
    <d v="2004-11-03T00:00:00"/>
    <s v="Shipped"/>
    <n v="4"/>
    <x v="5"/>
    <n v="2004"/>
    <x v="0"/>
    <n v="62"/>
    <s v="S18_3782"/>
    <s v="Microscale Inc."/>
    <n v="2125551957"/>
    <s v="5290 North Pendale Street"/>
    <s v="Suite 200"/>
    <s v="NYC"/>
    <s v="NY"/>
    <n v="10022"/>
    <s v="USA"/>
    <s v="NA"/>
    <s v="Kuo"/>
    <s v="Kee"/>
    <s v="Small"/>
    <n v="2598.6400000000003"/>
  </r>
  <r>
    <n v="10330"/>
    <n v="29"/>
    <n v="69.63"/>
    <n v="2"/>
    <n v="2019.27"/>
    <d v="2004-11-16T00:00:00"/>
    <s v="Shipped"/>
    <n v="4"/>
    <x v="5"/>
    <n v="2004"/>
    <x v="0"/>
    <n v="62"/>
    <s v="S18_378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2019.27"/>
  </r>
  <r>
    <n v="10342"/>
    <n v="26"/>
    <n v="55.95"/>
    <n v="8"/>
    <n v="1454.7"/>
    <d v="2004-11-24T00:00:00"/>
    <s v="Shipped"/>
    <n v="4"/>
    <x v="5"/>
    <n v="2004"/>
    <x v="0"/>
    <n v="62"/>
    <s v="S18_3782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454.7"/>
  </r>
  <r>
    <n v="10355"/>
    <n v="31"/>
    <n v="53.47"/>
    <n v="1"/>
    <n v="1657.57"/>
    <d v="2004-12-07T00:00:00"/>
    <s v="Shipped"/>
    <n v="4"/>
    <x v="6"/>
    <n v="2004"/>
    <x v="0"/>
    <n v="62"/>
    <s v="S18_3782"/>
    <s v="Euro Shopping Channel"/>
    <s v="(91) 555 94 44"/>
    <s v="C/ Moralzarzal, 86"/>
    <m/>
    <s v="Madrid"/>
    <m/>
    <n v="28034"/>
    <s v="Spain"/>
    <s v="EMEA"/>
    <s v="Freyre"/>
    <s v="Diego"/>
    <s v="Small"/>
    <n v="1657.57"/>
  </r>
  <r>
    <n v="10363"/>
    <n v="32"/>
    <n v="89.12"/>
    <n v="12"/>
    <n v="2851.84"/>
    <d v="2005-01-06T00:00:00"/>
    <s v="Shipped"/>
    <n v="1"/>
    <x v="7"/>
    <n v="2005"/>
    <x v="0"/>
    <n v="62"/>
    <s v="S18_3782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2851.84"/>
  </r>
  <r>
    <n v="10378"/>
    <n v="28"/>
    <n v="100"/>
    <n v="9"/>
    <n v="4609.6400000000003"/>
    <d v="2005-02-10T00:00:00"/>
    <s v="Shipped"/>
    <n v="1"/>
    <x v="0"/>
    <n v="2005"/>
    <x v="0"/>
    <n v="62"/>
    <s v="S18_3782"/>
    <s v="Euro Shopping Channel"/>
    <s v="(91) 555 94 44"/>
    <s v="C/ Moralzarzal, 86"/>
    <m/>
    <s v="Madrid"/>
    <m/>
    <n v="28034"/>
    <s v="Spain"/>
    <s v="EMEA"/>
    <s v="Freyre"/>
    <s v="Diego"/>
    <s v="Medium"/>
    <n v="2800"/>
  </r>
  <r>
    <n v="10390"/>
    <n v="36"/>
    <n v="100"/>
    <n v="2"/>
    <n v="5079.96"/>
    <d v="2005-03-04T00:00:00"/>
    <s v="Shipped"/>
    <n v="1"/>
    <x v="11"/>
    <n v="2005"/>
    <x v="0"/>
    <n v="62"/>
    <s v="S18_3782"/>
    <s v="Mini Gifts Distributors Ltd."/>
    <n v="4155551450"/>
    <s v="5677 Strong St."/>
    <m/>
    <s v="San Rafael"/>
    <s v="CA"/>
    <n v="97562"/>
    <s v="USA"/>
    <s v="NA"/>
    <s v="Nelson"/>
    <s v="Valarie"/>
    <s v="Medium"/>
    <n v="3600"/>
  </r>
  <r>
    <n v="10403"/>
    <n v="36"/>
    <n v="52.22"/>
    <n v="1"/>
    <n v="1879.92"/>
    <d v="2005-04-08T00:00:00"/>
    <s v="Shipped"/>
    <n v="2"/>
    <x v="8"/>
    <n v="2005"/>
    <x v="0"/>
    <n v="62"/>
    <s v="S18_3782"/>
    <s v="UK Collectables, Ltd."/>
    <s v="(171) 555-2282"/>
    <s v="Berkeley Gardens 12  Brewery"/>
    <m/>
    <s v="Liverpool"/>
    <m/>
    <s v="WX1 6LT"/>
    <s v="UK"/>
    <s v="EMEA"/>
    <s v="Devon"/>
    <s v="Elizabeth"/>
    <s v="Small"/>
    <n v="1879.92"/>
  </r>
  <r>
    <n v="10106"/>
    <n v="41"/>
    <n v="100"/>
    <n v="17"/>
    <n v="4774.8599999999997"/>
    <d v="2003-02-17T00:00:00"/>
    <s v="Shipped"/>
    <n v="1"/>
    <x v="0"/>
    <n v="2003"/>
    <x v="3"/>
    <n v="105"/>
    <s v="S18_3856"/>
    <s v="Rovelli Gifts"/>
    <s v="035-640555"/>
    <s v="Via Ludovico il Moro 22"/>
    <m/>
    <s v="Bergamo"/>
    <m/>
    <n v="24100"/>
    <s v="Italy"/>
    <s v="EMEA"/>
    <s v="Rovelli"/>
    <s v="Giovanni"/>
    <s v="Medium"/>
    <n v="4100"/>
  </r>
  <r>
    <n v="10119"/>
    <n v="27"/>
    <n v="99.52"/>
    <n v="8"/>
    <n v="2687.04"/>
    <d v="2003-04-28T00:00:00"/>
    <s v="Shipped"/>
    <n v="2"/>
    <x v="8"/>
    <n v="2003"/>
    <x v="3"/>
    <n v="105"/>
    <s v="S18_3856"/>
    <s v="Salzburg Collectables"/>
    <s v="6562-9555"/>
    <s v="Geislweg 14"/>
    <m/>
    <s v="Salzburg"/>
    <m/>
    <n v="5020"/>
    <s v="Austria"/>
    <s v="EMEA"/>
    <s v="Pipps"/>
    <s v="Georg"/>
    <s v="Small"/>
    <n v="2687.04"/>
  </r>
  <r>
    <n v="10130"/>
    <n v="33"/>
    <n v="100"/>
    <n v="1"/>
    <n v="3423.75"/>
    <d v="2003-06-16T00:00:00"/>
    <s v="Shipped"/>
    <n v="2"/>
    <x v="9"/>
    <n v="2003"/>
    <x v="3"/>
    <n v="105"/>
    <s v="S18_3856"/>
    <s v="Auto-Moto Classics Inc."/>
    <n v="6175558428"/>
    <s v="16780 Pompton St."/>
    <m/>
    <s v="Brickhaven"/>
    <s v="MA"/>
    <n v="58339"/>
    <s v="USA"/>
    <s v="NA"/>
    <s v="Taylor"/>
    <s v="Leslie"/>
    <s v="Medium"/>
    <n v="3300"/>
  </r>
  <r>
    <n v="10143"/>
    <n v="34"/>
    <n v="100"/>
    <n v="12"/>
    <n v="3455.76"/>
    <d v="2003-08-10T00:00:00"/>
    <s v="Shipped"/>
    <n v="3"/>
    <x v="3"/>
    <n v="2003"/>
    <x v="3"/>
    <n v="105"/>
    <s v="S18_3856"/>
    <s v="Mini Creations Ltd."/>
    <n v="5085559555"/>
    <s v="4575 Hillside Dr."/>
    <m/>
    <s v="New Bedford"/>
    <s v="MA"/>
    <n v="50553"/>
    <s v="USA"/>
    <s v="NA"/>
    <s v="Tam"/>
    <s v="Wing C"/>
    <s v="Medium"/>
    <n v="3400"/>
  </r>
  <r>
    <n v="10155"/>
    <n v="29"/>
    <n v="100"/>
    <n v="10"/>
    <n v="3622.97"/>
    <d v="2003-10-06T00:00:00"/>
    <s v="Shipped"/>
    <n v="4"/>
    <x v="4"/>
    <n v="2003"/>
    <x v="3"/>
    <n v="105"/>
    <s v="S18_3856"/>
    <s v="Toys of Finland, Co."/>
    <s v="90-224 8555"/>
    <s v="Keskuskatu 45"/>
    <m/>
    <s v="Helsinki"/>
    <m/>
    <n v="21240"/>
    <s v="Finland"/>
    <s v="EMEA"/>
    <s v="Karttunen"/>
    <s v="Matti"/>
    <s v="Medium"/>
    <n v="2900"/>
  </r>
  <r>
    <n v="10167"/>
    <n v="34"/>
    <n v="100"/>
    <n v="6"/>
    <n v="3599.58"/>
    <d v="2003-10-23T00:00:00"/>
    <s v="Cancelled"/>
    <n v="4"/>
    <x v="4"/>
    <n v="2003"/>
    <x v="3"/>
    <n v="105"/>
    <s v="S18_3856"/>
    <s v="Scandinavian Gift Ideas"/>
    <s v="0695-34 6555"/>
    <s v="?kergatan 24"/>
    <m/>
    <s v="Boras"/>
    <m/>
    <s v="S-844 67"/>
    <s v="Sweden"/>
    <s v="EMEA"/>
    <s v="Larsson"/>
    <s v="Maria"/>
    <s v="Medium"/>
    <n v="3400"/>
  </r>
  <r>
    <n v="10178"/>
    <n v="48"/>
    <n v="100"/>
    <n v="9"/>
    <n v="5386.56"/>
    <d v="2003-11-08T00:00:00"/>
    <s v="Shipped"/>
    <n v="4"/>
    <x v="5"/>
    <n v="2003"/>
    <x v="3"/>
    <n v="105"/>
    <s v="S18_3856"/>
    <s v="Alpha Cognac"/>
    <s v="61.77.6555"/>
    <s v="1 rue Alsace-Lorraine"/>
    <m/>
    <s v="Toulouse"/>
    <m/>
    <n v="31000"/>
    <s v="France"/>
    <s v="EMEA"/>
    <s v="Roulet"/>
    <s v="Annette"/>
    <s v="Medium"/>
    <n v="4800"/>
  </r>
  <r>
    <n v="10186"/>
    <n v="46"/>
    <n v="100"/>
    <n v="6"/>
    <n v="4918.78"/>
    <d v="2003-11-14T00:00:00"/>
    <s v="Shipped"/>
    <n v="4"/>
    <x v="5"/>
    <n v="2003"/>
    <x v="3"/>
    <n v="105"/>
    <s v="S18_3856"/>
    <s v="Double Decker Gift Stores, Ltd"/>
    <s v="(171) 555-7555"/>
    <s v="120 Hanover Sq."/>
    <m/>
    <s v="London"/>
    <m/>
    <s v="WA1 1DP"/>
    <s v="UK"/>
    <s v="EMEA"/>
    <s v="Hardy"/>
    <s v="Thomas"/>
    <s v="Medium"/>
    <n v="4600"/>
  </r>
  <r>
    <n v="10197"/>
    <n v="22"/>
    <n v="100"/>
    <n v="3"/>
    <n v="2538.8000000000002"/>
    <d v="2003-11-26T00:00:00"/>
    <s v="Shipped"/>
    <n v="4"/>
    <x v="5"/>
    <n v="2003"/>
    <x v="3"/>
    <n v="105"/>
    <s v="S18_3856"/>
    <s v="Enaco Distributors"/>
    <s v="(93) 203 4555"/>
    <s v="Rambla de Catalu¤a, 23"/>
    <m/>
    <s v="Barcelona"/>
    <m/>
    <n v="8022"/>
    <s v="Spain"/>
    <s v="EMEA"/>
    <s v="Saavedra"/>
    <s v="Eduardo"/>
    <s v="Small"/>
    <n v="2200"/>
  </r>
  <r>
    <n v="10209"/>
    <n v="20"/>
    <n v="100"/>
    <n v="5"/>
    <n v="2498.6"/>
    <d v="2004-01-09T00:00:00"/>
    <s v="Shipped"/>
    <n v="1"/>
    <x v="7"/>
    <n v="2004"/>
    <x v="3"/>
    <n v="105"/>
    <s v="S18_3856"/>
    <s v="Men 'R' US Retailers, Ltd."/>
    <n v="2155554369"/>
    <s v="6047 Douglas Av."/>
    <m/>
    <s v="Los Angeles"/>
    <s v="CA"/>
    <m/>
    <s v="USA"/>
    <s v="NA"/>
    <s v="Chandler"/>
    <s v="Michael"/>
    <s v="Small"/>
    <n v="2000"/>
  </r>
  <r>
    <n v="10222"/>
    <n v="45"/>
    <n v="85.75"/>
    <n v="9"/>
    <n v="3858.75"/>
    <d v="2004-02-19T00:00:00"/>
    <s v="Shipped"/>
    <n v="1"/>
    <x v="0"/>
    <n v="2004"/>
    <x v="3"/>
    <n v="105"/>
    <s v="S18_3856"/>
    <s v="Collectable Mini Designs Co."/>
    <n v="7605558146"/>
    <s v="361 Furth Circle"/>
    <m/>
    <s v="San Diego"/>
    <s v="CA"/>
    <n v="91217"/>
    <s v="USA"/>
    <s v="NA"/>
    <s v="Thompson"/>
    <s v="Valarie"/>
    <s v="Medium"/>
    <n v="3858.75"/>
  </r>
  <r>
    <n v="10249"/>
    <n v="46"/>
    <n v="100"/>
    <n v="5"/>
    <n v="5600.5"/>
    <d v="2004-05-08T00:00:00"/>
    <s v="Shipped"/>
    <n v="2"/>
    <x v="1"/>
    <n v="2004"/>
    <x v="3"/>
    <n v="105"/>
    <s v="S18_3856"/>
    <s v="Cambridge Collectables Co."/>
    <n v="6175555555"/>
    <s v="4658 Baden Av."/>
    <m/>
    <s v="Cambridge"/>
    <s v="MA"/>
    <n v="51247"/>
    <s v="USA"/>
    <s v="NA"/>
    <s v="Tseng"/>
    <s v="Kyung"/>
    <s v="Medium"/>
    <n v="4600"/>
  </r>
  <r>
    <n v="10262"/>
    <n v="34"/>
    <n v="100"/>
    <n v="14"/>
    <n v="4103.46"/>
    <d v="2004-06-24T00:00:00"/>
    <s v="Cancelled"/>
    <n v="2"/>
    <x v="9"/>
    <n v="2004"/>
    <x v="3"/>
    <n v="105"/>
    <s v="S18_3856"/>
    <s v="Euro Shopping Channel"/>
    <s v="(91) 555 94 44"/>
    <s v="C/ Moralzarzal, 86"/>
    <m/>
    <s v="Madrid"/>
    <m/>
    <n v="28034"/>
    <s v="Spain"/>
    <s v="EMEA"/>
    <s v="Freyre"/>
    <s v="Diego"/>
    <s v="Medium"/>
    <n v="3400"/>
  </r>
  <r>
    <n v="10273"/>
    <n v="50"/>
    <n v="85.75"/>
    <n v="1"/>
    <n v="4287.5"/>
    <d v="2004-07-21T00:00:00"/>
    <s v="Shipped"/>
    <n v="3"/>
    <x v="2"/>
    <n v="2004"/>
    <x v="3"/>
    <n v="105"/>
    <s v="S18_3856"/>
    <s v="Petit Auto"/>
    <s v="(02) 5554 67"/>
    <s v="Rue Joseph-Bens 532"/>
    <m/>
    <s v="Bruxelles"/>
    <m/>
    <s v="B-1180"/>
    <s v="Belgium"/>
    <s v="EMEA"/>
    <s v="Dewey"/>
    <s v="Catherine"/>
    <s v="Medium"/>
    <n v="4287.5"/>
  </r>
  <r>
    <n v="10283"/>
    <n v="46"/>
    <n v="100"/>
    <n v="3"/>
    <n v="5795.54"/>
    <d v="2004-08-20T00:00:00"/>
    <s v="Shipped"/>
    <n v="3"/>
    <x v="3"/>
    <n v="2004"/>
    <x v="3"/>
    <n v="105"/>
    <s v="S18_3856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4600"/>
  </r>
  <r>
    <n v="10296"/>
    <n v="22"/>
    <n v="84.7"/>
    <n v="12"/>
    <n v="1863.4"/>
    <d v="2004-09-15T00:00:00"/>
    <s v="Shipped"/>
    <n v="3"/>
    <x v="10"/>
    <n v="2004"/>
    <x v="3"/>
    <n v="105"/>
    <s v="S18_3856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1863.4"/>
  </r>
  <r>
    <n v="10307"/>
    <n v="48"/>
    <n v="86.81"/>
    <n v="6"/>
    <n v="4166.88"/>
    <d v="2004-10-14T00:00:00"/>
    <s v="Shipped"/>
    <n v="4"/>
    <x v="4"/>
    <n v="2004"/>
    <x v="3"/>
    <n v="105"/>
    <s v="S18_3856"/>
    <s v="Classic Gift Ideas, Inc"/>
    <n v="2155554695"/>
    <s v="782 First Street"/>
    <m/>
    <s v="Philadelphia"/>
    <s v="PA"/>
    <n v="71270"/>
    <s v="USA"/>
    <s v="NA"/>
    <s v="Cervantes"/>
    <s v="Francisca"/>
    <s v="Medium"/>
    <n v="4166.88"/>
  </r>
  <r>
    <n v="10316"/>
    <n v="47"/>
    <n v="86.81"/>
    <n v="14"/>
    <n v="4080.07"/>
    <d v="2004-11-01T00:00:00"/>
    <s v="Shipped"/>
    <n v="4"/>
    <x v="5"/>
    <n v="2004"/>
    <x v="3"/>
    <n v="105"/>
    <s v="S18_3856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4080.07"/>
  </r>
  <r>
    <n v="10328"/>
    <n v="34"/>
    <n v="100"/>
    <n v="6"/>
    <n v="3815.48"/>
    <d v="2004-11-12T00:00:00"/>
    <s v="Shipped"/>
    <n v="4"/>
    <x v="5"/>
    <n v="2004"/>
    <x v="3"/>
    <n v="105"/>
    <s v="S18_3856"/>
    <s v="Rovelli Gifts"/>
    <s v="035-640555"/>
    <s v="Via Ludovico il Moro 22"/>
    <m/>
    <s v="Bergamo"/>
    <m/>
    <n v="24100"/>
    <s v="Italy"/>
    <s v="EMEA"/>
    <s v="Rovelli"/>
    <s v="Giovanni"/>
    <s v="Medium"/>
    <n v="3400"/>
  </r>
  <r>
    <n v="10338"/>
    <n v="45"/>
    <n v="100"/>
    <n v="2"/>
    <n v="5526.45"/>
    <d v="2004-11-22T00:00:00"/>
    <s v="Shipped"/>
    <n v="4"/>
    <x v="5"/>
    <n v="2004"/>
    <x v="3"/>
    <n v="105"/>
    <s v="S18_3856"/>
    <s v="Royale Belge"/>
    <s v="(071) 23 67 2555"/>
    <s v="Boulevard Tirou, 255"/>
    <m/>
    <s v="Charleroi"/>
    <m/>
    <s v="B-6000"/>
    <s v="Belgium"/>
    <s v="EMEA"/>
    <s v="Cartrain"/>
    <s v="Pascale"/>
    <s v="Medium"/>
    <n v="4500"/>
  </r>
  <r>
    <n v="10351"/>
    <n v="20"/>
    <n v="100"/>
    <n v="2"/>
    <n v="3374.6"/>
    <d v="2004-12-03T00:00:00"/>
    <s v="Shipped"/>
    <n v="4"/>
    <x v="6"/>
    <n v="2004"/>
    <x v="3"/>
    <n v="105"/>
    <s v="S18_3856"/>
    <s v="Stylish Desk Decors, Co."/>
    <s v="(171) 555-0297"/>
    <s v="35 King George"/>
    <m/>
    <s v="London"/>
    <m/>
    <s v="WX3 6FW"/>
    <s v="UK"/>
    <s v="EMEA"/>
    <s v="Brown"/>
    <s v="Ann"/>
    <s v="Medium"/>
    <n v="2000"/>
  </r>
  <r>
    <n v="10373"/>
    <n v="50"/>
    <n v="60.49"/>
    <n v="6"/>
    <n v="3024.5"/>
    <d v="2005-01-31T00:00:00"/>
    <s v="Shipped"/>
    <n v="1"/>
    <x v="7"/>
    <n v="2005"/>
    <x v="3"/>
    <n v="105"/>
    <s v="S18_3856"/>
    <s v="Oulu Toy Supplies, Inc."/>
    <s v="981-443655"/>
    <s v="Torikatu 38"/>
    <m/>
    <s v="Oulu"/>
    <m/>
    <n v="90110"/>
    <s v="Finland"/>
    <s v="EMEA"/>
    <s v="Koskitalo"/>
    <s v="Pirkko"/>
    <s v="Medium"/>
    <n v="3024.5"/>
  </r>
  <r>
    <n v="10386"/>
    <n v="22"/>
    <n v="57.55"/>
    <n v="6"/>
    <n v="1266.0999999999999"/>
    <d v="2005-03-01T00:00:00"/>
    <s v="Resolved"/>
    <n v="1"/>
    <x v="11"/>
    <n v="2005"/>
    <x v="3"/>
    <n v="105"/>
    <s v="S18_3856"/>
    <s v="Euro Shopping Channel"/>
    <s v="(91) 555 94 44"/>
    <s v="C/ Moralzarzal, 86"/>
    <m/>
    <s v="Madrid"/>
    <m/>
    <n v="28034"/>
    <s v="Spain"/>
    <s v="EMEA"/>
    <s v="Freyre"/>
    <s v="Diego"/>
    <s v="Small"/>
    <n v="1266.0999999999999"/>
  </r>
  <r>
    <n v="10398"/>
    <n v="45"/>
    <n v="100"/>
    <n v="17"/>
    <n v="4811.8500000000004"/>
    <d v="2005-03-30T00:00:00"/>
    <s v="Shipped"/>
    <n v="1"/>
    <x v="11"/>
    <n v="2005"/>
    <x v="3"/>
    <n v="105"/>
    <s v="S18_3856"/>
    <s v="Reims Collectables"/>
    <s v="26.47.1555"/>
    <s v="59 rue de l'Abbaye"/>
    <m/>
    <s v="Reims"/>
    <m/>
    <n v="51100"/>
    <s v="France"/>
    <s v="EMEA"/>
    <s v="Henriot"/>
    <s v="Paul"/>
    <s v="Medium"/>
    <n v="4500"/>
  </r>
  <r>
    <n v="10400"/>
    <n v="58"/>
    <n v="100"/>
    <n v="6"/>
    <n v="7307.42"/>
    <d v="2005-04-01T00:00:00"/>
    <s v="Shipped"/>
    <n v="2"/>
    <x v="8"/>
    <n v="2005"/>
    <x v="3"/>
    <n v="105"/>
    <s v="S18_3856"/>
    <s v="The Sharp Gifts Warehouse"/>
    <n v="4085553659"/>
    <s v="3086 Ingle Ln."/>
    <m/>
    <s v="San Jose"/>
    <s v="CA"/>
    <n v="94217"/>
    <s v="USA"/>
    <s v="NA"/>
    <s v="Frick"/>
    <s v="Sue"/>
    <s v="Large"/>
    <n v="5800"/>
  </r>
  <r>
    <n v="10415"/>
    <n v="51"/>
    <n v="100"/>
    <n v="5"/>
    <n v="6209.25"/>
    <d v="2005-05-09T00:00:00"/>
    <s v="Disputed"/>
    <n v="2"/>
    <x v="1"/>
    <n v="2005"/>
    <x v="3"/>
    <n v="105"/>
    <s v="S18_3856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n v="5100"/>
  </r>
  <r>
    <n v="10104"/>
    <n v="38"/>
    <n v="100"/>
    <n v="3"/>
    <n v="5348.5"/>
    <d v="2003-01-31T00:00:00"/>
    <s v="Shipped"/>
    <n v="1"/>
    <x v="7"/>
    <n v="2003"/>
    <x v="1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  <n v="3800"/>
  </r>
  <r>
    <n v="10117"/>
    <n v="22"/>
    <n v="100"/>
    <n v="12"/>
    <n v="2780.58"/>
    <d v="2003-04-16T00:00:00"/>
    <s v="Shipped"/>
    <n v="2"/>
    <x v="8"/>
    <n v="2003"/>
    <x v="1"/>
    <n v="143"/>
    <s v="S18_402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200"/>
  </r>
  <r>
    <n v="10127"/>
    <n v="25"/>
    <n v="100"/>
    <n v="5"/>
    <n v="3447"/>
    <d v="2003-06-03T00:00:00"/>
    <s v="Shipped"/>
    <n v="2"/>
    <x v="9"/>
    <n v="2003"/>
    <x v="1"/>
    <n v="143"/>
    <s v="S18_4027"/>
    <s v="Muscle Machine Inc"/>
    <n v="2125557413"/>
    <s v="4092 Furth Circle"/>
    <s v="Suite 400"/>
    <s v="NYC"/>
    <s v="NY"/>
    <n v="10022"/>
    <s v="USA"/>
    <s v="NA"/>
    <s v="Young"/>
    <s v="Jeff"/>
    <s v="Medium"/>
    <n v="2500"/>
  </r>
  <r>
    <n v="10142"/>
    <n v="24"/>
    <n v="100"/>
    <n v="15"/>
    <n v="3791.52"/>
    <d v="2003-08-08T00:00:00"/>
    <s v="Shipped"/>
    <n v="3"/>
    <x v="3"/>
    <n v="2003"/>
    <x v="1"/>
    <n v="143"/>
    <s v="S18_4027"/>
    <s v="Mini Gifts Distributors Ltd."/>
    <n v="4155551450"/>
    <s v="5677 Strong St."/>
    <m/>
    <s v="San Rafael"/>
    <s v="CA"/>
    <n v="97562"/>
    <s v="USA"/>
    <s v="NA"/>
    <s v="Nelson"/>
    <s v="Valarie"/>
    <s v="Medium"/>
    <n v="2400"/>
  </r>
  <r>
    <n v="10152"/>
    <n v="35"/>
    <n v="100"/>
    <n v="1"/>
    <n v="4524.1000000000004"/>
    <d v="2003-09-25T00:00:00"/>
    <s v="Shipped"/>
    <n v="3"/>
    <x v="10"/>
    <n v="2003"/>
    <x v="1"/>
    <n v="143"/>
    <s v="S18_402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n v="3500"/>
  </r>
  <r>
    <n v="10165"/>
    <n v="28"/>
    <n v="100"/>
    <n v="6"/>
    <n v="3337.6"/>
    <d v="2003-10-22T00:00:00"/>
    <s v="Shipped"/>
    <n v="4"/>
    <x v="4"/>
    <n v="2003"/>
    <x v="1"/>
    <n v="143"/>
    <s v="S18_4027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2800"/>
  </r>
  <r>
    <n v="10176"/>
    <n v="36"/>
    <n v="100"/>
    <n v="5"/>
    <n v="5532.12"/>
    <d v="2003-11-06T00:00:00"/>
    <s v="Shipped"/>
    <n v="4"/>
    <x v="5"/>
    <n v="2003"/>
    <x v="1"/>
    <n v="143"/>
    <s v="S18_4027"/>
    <s v="L'ordine Souveniers"/>
    <s v="0522-556555"/>
    <s v="Strada Provinciale 124"/>
    <m/>
    <s v="Reggio Emilia"/>
    <m/>
    <n v="42100"/>
    <s v="Italy"/>
    <s v="EMEA"/>
    <s v="Moroni"/>
    <s v="Maurizio"/>
    <s v="Medium"/>
    <n v="3600"/>
  </r>
  <r>
    <n v="10185"/>
    <n v="39"/>
    <n v="100"/>
    <n v="16"/>
    <n v="5096.91"/>
    <d v="2003-11-14T00:00:00"/>
    <s v="Shipped"/>
    <n v="4"/>
    <x v="5"/>
    <n v="2003"/>
    <x v="1"/>
    <n v="143"/>
    <s v="S18_4027"/>
    <s v="Mini Creations Ltd."/>
    <n v="5085559555"/>
    <s v="4575 Hillside Dr."/>
    <m/>
    <s v="New Bedford"/>
    <s v="MA"/>
    <n v="50553"/>
    <s v="USA"/>
    <s v="NA"/>
    <s v="Tam"/>
    <s v="Wing C"/>
    <s v="Medium"/>
    <n v="3900"/>
  </r>
  <r>
    <n v="10196"/>
    <n v="27"/>
    <n v="100"/>
    <n v="8"/>
    <n v="4537.08"/>
    <d v="2003-11-26T00:00:00"/>
    <s v="Shipped"/>
    <n v="4"/>
    <x v="5"/>
    <n v="2003"/>
    <x v="1"/>
    <n v="143"/>
    <s v="S18_4027"/>
    <s v="Super Scale Inc."/>
    <n v="2035559545"/>
    <s v="567 North Pendale Street"/>
    <m/>
    <s v="New Haven"/>
    <s v="CT"/>
    <n v="97823"/>
    <s v="USA"/>
    <s v="NA"/>
    <s v="Murphy"/>
    <s v="Leslie"/>
    <s v="Medium"/>
    <n v="2700"/>
  </r>
  <r>
    <n v="10207"/>
    <n v="40"/>
    <n v="100"/>
    <n v="1"/>
    <n v="6146.8"/>
    <d v="2003-12-09T00:00:00"/>
    <s v="Shipped"/>
    <n v="4"/>
    <x v="6"/>
    <n v="2003"/>
    <x v="1"/>
    <n v="143"/>
    <s v="S18_4027"/>
    <s v="Diecast Collectables"/>
    <n v="6175552555"/>
    <s v="6251 Ingle Ln."/>
    <m/>
    <s v="Boston"/>
    <s v="MA"/>
    <n v="51003"/>
    <s v="USA"/>
    <s v="NA"/>
    <s v="Franco"/>
    <s v="Valarie"/>
    <s v="Medium"/>
    <n v="4000"/>
  </r>
  <r>
    <n v="10220"/>
    <n v="50"/>
    <n v="100"/>
    <n v="5"/>
    <n v="8258"/>
    <d v="2004-02-12T00:00:00"/>
    <s v="Shipped"/>
    <n v="1"/>
    <x v="0"/>
    <n v="2004"/>
    <x v="1"/>
    <n v="143"/>
    <s v="S18_4027"/>
    <s v="Clover Collections, Co."/>
    <s v="+353 1862 1555"/>
    <s v="25 Maiden Lane"/>
    <s v="Floor No. 4"/>
    <s v="Dublin"/>
    <m/>
    <n v="2"/>
    <s v="Ireland"/>
    <s v="EMEA"/>
    <s v="Cassidy"/>
    <s v="Dean"/>
    <s v="Large"/>
    <n v="5000"/>
  </r>
  <r>
    <n v="10230"/>
    <n v="42"/>
    <n v="100"/>
    <n v="3"/>
    <n v="7238.28"/>
    <d v="2004-03-15T00:00:00"/>
    <s v="Shipped"/>
    <n v="1"/>
    <x v="11"/>
    <n v="2004"/>
    <x v="1"/>
    <n v="143"/>
    <s v="S18_4027"/>
    <s v="Blauer See Auto, Co."/>
    <s v="+49 69 66 90 2555"/>
    <s v="Lyonerstr. 34"/>
    <m/>
    <s v="Frankfurt"/>
    <m/>
    <n v="60528"/>
    <s v="Germany"/>
    <s v="EMEA"/>
    <s v="Keitel"/>
    <s v="Roland"/>
    <s v="Large"/>
    <n v="4200"/>
  </r>
  <r>
    <n v="10247"/>
    <n v="48"/>
    <n v="100"/>
    <n v="5"/>
    <n v="6756"/>
    <d v="2004-05-05T00:00:00"/>
    <s v="Shipped"/>
    <n v="2"/>
    <x v="1"/>
    <n v="2004"/>
    <x v="1"/>
    <n v="143"/>
    <s v="S18_4027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4800"/>
  </r>
  <r>
    <n v="10272"/>
    <n v="25"/>
    <n v="100"/>
    <n v="5"/>
    <n v="3734"/>
    <d v="2004-07-20T00:00:00"/>
    <s v="Shipped"/>
    <n v="3"/>
    <x v="2"/>
    <n v="2004"/>
    <x v="1"/>
    <n v="143"/>
    <s v="S18_4027"/>
    <s v="Diecast Classics Inc."/>
    <n v="2155551555"/>
    <s v="7586 Pompton St."/>
    <m/>
    <s v="Allentown"/>
    <s v="PA"/>
    <n v="70267"/>
    <s v="USA"/>
    <s v="NA"/>
    <s v="Yu"/>
    <s v="Kyung"/>
    <s v="Medium"/>
    <n v="2500"/>
  </r>
  <r>
    <n v="10282"/>
    <n v="31"/>
    <n v="100"/>
    <n v="8"/>
    <n v="4674.8"/>
    <d v="2004-08-20T00:00:00"/>
    <s v="Shipped"/>
    <n v="3"/>
    <x v="3"/>
    <n v="2004"/>
    <x v="1"/>
    <n v="143"/>
    <s v="S18_4027"/>
    <s v="Mini Gifts Distributors Ltd."/>
    <n v="4155551450"/>
    <s v="5677 Strong St."/>
    <m/>
    <s v="San Rafael"/>
    <s v="CA"/>
    <n v="97562"/>
    <s v="USA"/>
    <s v="NA"/>
    <s v="Nelson"/>
    <s v="Valarie"/>
    <s v="Medium"/>
    <n v="3100"/>
  </r>
  <r>
    <n v="10292"/>
    <n v="44"/>
    <n v="100"/>
    <n v="2"/>
    <n v="7140.76"/>
    <d v="2004-09-08T00:00:00"/>
    <s v="Shipped"/>
    <n v="3"/>
    <x v="10"/>
    <n v="2004"/>
    <x v="1"/>
    <n v="143"/>
    <s v="S18_4027"/>
    <s v="Land of Toys Inc."/>
    <n v="2125557818"/>
    <s v="897 Long Airport Avenue"/>
    <m/>
    <s v="NYC"/>
    <s v="NY"/>
    <n v="10022"/>
    <s v="USA"/>
    <s v="NA"/>
    <s v="Yu"/>
    <s v="Kwai"/>
    <s v="Large"/>
    <n v="4400"/>
  </r>
  <r>
    <n v="10306"/>
    <n v="23"/>
    <n v="100"/>
    <n v="16"/>
    <n v="3600.65"/>
    <d v="2004-10-14T00:00:00"/>
    <s v="Shipped"/>
    <n v="4"/>
    <x v="4"/>
    <n v="2004"/>
    <x v="1"/>
    <n v="143"/>
    <s v="S18_4027"/>
    <s v="AV Stores, Co."/>
    <s v="(171) 555-1555"/>
    <s v="Fauntleroy Circus"/>
    <m/>
    <s v="Manchester"/>
    <m/>
    <s v="EC2 5NT"/>
    <s v="UK"/>
    <s v="EMEA"/>
    <s v="Ashworth"/>
    <s v="Victoria"/>
    <s v="Medium"/>
    <n v="2300"/>
  </r>
  <r>
    <n v="10314"/>
    <n v="29"/>
    <n v="100"/>
    <n v="8"/>
    <n v="4206.74"/>
    <d v="2004-10-22T00:00:00"/>
    <s v="Shipped"/>
    <n v="4"/>
    <x v="4"/>
    <n v="2004"/>
    <x v="1"/>
    <n v="143"/>
    <s v="S18_4027"/>
    <s v="Heintze Collectables"/>
    <s v="86 21 3555"/>
    <s v="Smagsloget 45"/>
    <m/>
    <s v="Aaarhus"/>
    <m/>
    <n v="8200"/>
    <s v="Denmark"/>
    <s v="EMEA"/>
    <s v="Ibsen"/>
    <s v="Palle"/>
    <s v="Medium"/>
    <n v="2900"/>
  </r>
  <r>
    <n v="10324"/>
    <n v="49"/>
    <n v="100"/>
    <n v="13"/>
    <n v="5379.71"/>
    <d v="2004-11-05T00:00:00"/>
    <s v="Shipped"/>
    <n v="4"/>
    <x v="5"/>
    <n v="2004"/>
    <x v="1"/>
    <n v="143"/>
    <s v="S18_4027"/>
    <s v="Vitachrome Inc."/>
    <n v="2125551500"/>
    <s v="2678 Kingston Rd."/>
    <s v="Suite 101"/>
    <s v="NYC"/>
    <s v="NY"/>
    <n v="10022"/>
    <s v="USA"/>
    <s v="NA"/>
    <s v="Frick"/>
    <s v="Michael"/>
    <s v="Medium"/>
    <n v="4900"/>
  </r>
  <r>
    <n v="10337"/>
    <n v="36"/>
    <n v="100"/>
    <n v="3"/>
    <n v="5679.36"/>
    <d v="2004-11-21T00:00:00"/>
    <s v="Shipped"/>
    <n v="4"/>
    <x v="5"/>
    <n v="2004"/>
    <x v="1"/>
    <n v="143"/>
    <s v="S18_4027"/>
    <s v="Classic Legends Inc."/>
    <n v="2125558493"/>
    <s v="5905 Pompton St."/>
    <s v="Suite 750"/>
    <s v="NYC"/>
    <s v="NY"/>
    <n v="10022"/>
    <s v="USA"/>
    <s v="NA"/>
    <s v="Hernandez"/>
    <s v="Maria"/>
    <s v="Medium"/>
    <n v="3600"/>
  </r>
  <r>
    <n v="10349"/>
    <n v="34"/>
    <n v="100"/>
    <n v="5"/>
    <n v="4394.84"/>
    <d v="2004-12-01T00:00:00"/>
    <s v="Shipped"/>
    <n v="4"/>
    <x v="6"/>
    <n v="2004"/>
    <x v="1"/>
    <n v="143"/>
    <s v="S18_4027"/>
    <s v="Muscle Machine Inc"/>
    <n v="2125557413"/>
    <s v="4092 Furth Circle"/>
    <s v="Suite 400"/>
    <s v="NYC"/>
    <s v="NY"/>
    <n v="10022"/>
    <s v="USA"/>
    <s v="NA"/>
    <s v="Young"/>
    <s v="Jeff"/>
    <s v="Medium"/>
    <n v="3400"/>
  </r>
  <r>
    <n v="10358"/>
    <n v="25"/>
    <n v="100"/>
    <n v="13"/>
    <n v="2528.25"/>
    <d v="2004-12-10T00:00:00"/>
    <s v="Shipped"/>
    <n v="4"/>
    <x v="6"/>
    <n v="2004"/>
    <x v="1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Small"/>
    <n v="2500"/>
  </r>
  <r>
    <n v="10372"/>
    <n v="48"/>
    <n v="100"/>
    <n v="6"/>
    <n v="7031.52"/>
    <d v="2005-01-26T00:00:00"/>
    <s v="Shipped"/>
    <n v="1"/>
    <x v="7"/>
    <n v="2005"/>
    <x v="1"/>
    <n v="143"/>
    <s v="S18_4027"/>
    <s v="Tokyo Collectables, Ltd"/>
    <s v="+81 3 3584 0555"/>
    <s v="2-2-8 Roppongi"/>
    <m/>
    <s v="Minato-ku"/>
    <s v="Tokyo"/>
    <s v="106-0032"/>
    <s v="Japan"/>
    <s v="Japan"/>
    <s v="Shimamura"/>
    <s v="Akiko"/>
    <s v="Large"/>
    <n v="4800"/>
  </r>
  <r>
    <n v="10383"/>
    <n v="38"/>
    <n v="100"/>
    <n v="1"/>
    <n v="5340.9"/>
    <d v="2005-02-22T00:00:00"/>
    <s v="Shipped"/>
    <n v="1"/>
    <x v="0"/>
    <n v="2005"/>
    <x v="1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  <n v="3800"/>
  </r>
  <r>
    <n v="10394"/>
    <n v="37"/>
    <n v="100"/>
    <n v="1"/>
    <n v="6376.58"/>
    <d v="2005-03-15T00:00:00"/>
    <s v="Shipped"/>
    <n v="1"/>
    <x v="11"/>
    <n v="2005"/>
    <x v="1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  <n v="3700"/>
  </r>
  <r>
    <n v="10413"/>
    <n v="49"/>
    <n v="100"/>
    <n v="5"/>
    <n v="6896.75"/>
    <d v="2005-05-05T00:00:00"/>
    <s v="Shipped"/>
    <n v="2"/>
    <x v="1"/>
    <n v="2005"/>
    <x v="1"/>
    <n v="143"/>
    <s v="S18_4027"/>
    <s v="Gift Depot Inc."/>
    <n v="2035552570"/>
    <s v="25593 South Bay Ln."/>
    <m/>
    <s v="Bridgewater"/>
    <s v="CT"/>
    <n v="97562"/>
    <s v="USA"/>
    <s v="NA"/>
    <s v="King"/>
    <s v="Julie"/>
    <s v="Medium"/>
    <n v="4900"/>
  </r>
  <r>
    <n v="10100"/>
    <n v="22"/>
    <n v="86.51"/>
    <n v="4"/>
    <n v="1903.22"/>
    <d v="2003-01-06T00:00:00"/>
    <s v="Shipped"/>
    <n v="1"/>
    <x v="7"/>
    <n v="2003"/>
    <x v="3"/>
    <n v="92"/>
    <s v="S18_4409"/>
    <s v="Online Diecast Creations Co."/>
    <n v="6035558647"/>
    <s v="2304 Long Airport Avenue"/>
    <m/>
    <s v="Nashua"/>
    <s v="NH"/>
    <n v="62005"/>
    <s v="USA"/>
    <s v="NA"/>
    <s v="Young"/>
    <s v="Valarie"/>
    <s v="Small"/>
    <n v="1903.22"/>
  </r>
  <r>
    <n v="10110"/>
    <n v="28"/>
    <n v="89.27"/>
    <n v="8"/>
    <n v="2499.56"/>
    <d v="2003-03-18T00:00:00"/>
    <s v="Shipped"/>
    <n v="1"/>
    <x v="11"/>
    <n v="2003"/>
    <x v="3"/>
    <n v="92"/>
    <s v="S18_4409"/>
    <s v="AV Stores, Co."/>
    <s v="(171) 555-1555"/>
    <s v="Fauntleroy Circus"/>
    <m/>
    <s v="Manchester"/>
    <m/>
    <s v="EC2 5NT"/>
    <s v="UK"/>
    <s v="EMEA"/>
    <s v="Ashworth"/>
    <s v="Victoria"/>
    <s v="Small"/>
    <n v="2499.56"/>
  </r>
  <r>
    <n v="10124"/>
    <n v="36"/>
    <n v="85.59"/>
    <n v="7"/>
    <n v="3081.24"/>
    <d v="2003-05-21T00:00:00"/>
    <s v="Shipped"/>
    <n v="2"/>
    <x v="1"/>
    <n v="2003"/>
    <x v="3"/>
    <n v="92"/>
    <s v="S18_4409"/>
    <s v="Signal Gift Stores"/>
    <n v="7025551838"/>
    <s v="8489 Strong St."/>
    <m/>
    <s v="Las Vegas"/>
    <s v="NV"/>
    <n v="83030"/>
    <s v="USA"/>
    <s v="NA"/>
    <s v="King"/>
    <s v="Sue"/>
    <s v="Medium"/>
    <n v="3081.2400000000002"/>
  </r>
  <r>
    <n v="10148"/>
    <n v="34"/>
    <n v="100"/>
    <n v="1"/>
    <n v="3598.22"/>
    <d v="2003-09-11T00:00:00"/>
    <s v="Shipped"/>
    <n v="3"/>
    <x v="10"/>
    <n v="2003"/>
    <x v="3"/>
    <n v="92"/>
    <s v="S18_440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400"/>
  </r>
  <r>
    <n v="10162"/>
    <n v="39"/>
    <n v="100"/>
    <n v="10"/>
    <n v="3912.09"/>
    <d v="2003-10-18T00:00:00"/>
    <s v="Shipped"/>
    <n v="4"/>
    <x v="4"/>
    <n v="2003"/>
    <x v="3"/>
    <n v="92"/>
    <s v="S18_4409"/>
    <s v="Corporate Gift Ideas Co."/>
    <n v="6505551386"/>
    <s v="7734 Strong St."/>
    <m/>
    <s v="San Francisco"/>
    <s v="CA"/>
    <m/>
    <s v="USA"/>
    <s v="NA"/>
    <s v="Brown"/>
    <s v="Julie"/>
    <s v="Medium"/>
    <n v="3900"/>
  </r>
  <r>
    <n v="10173"/>
    <n v="21"/>
    <n v="75.459999999999994"/>
    <n v="14"/>
    <n v="1584.66"/>
    <d v="2003-11-05T00:00:00"/>
    <s v="Shipped"/>
    <n v="4"/>
    <x v="5"/>
    <n v="2003"/>
    <x v="3"/>
    <n v="92"/>
    <s v="S18_4409"/>
    <s v="Rovelli Gifts"/>
    <s v="035-640555"/>
    <s v="Via Ludovico il Moro 22"/>
    <m/>
    <s v="Bergamo"/>
    <m/>
    <n v="24100"/>
    <s v="Italy"/>
    <s v="EMEA"/>
    <s v="Rovelli"/>
    <s v="Giovanni"/>
    <s v="Small"/>
    <n v="1584.6599999999999"/>
  </r>
  <r>
    <n v="10182"/>
    <n v="36"/>
    <n v="100"/>
    <n v="11"/>
    <n v="3942.72"/>
    <d v="2003-11-12T00:00:00"/>
    <s v="Shipped"/>
    <n v="4"/>
    <x v="5"/>
    <n v="2003"/>
    <x v="3"/>
    <n v="92"/>
    <s v="S18_4409"/>
    <s v="Mini Gifts Distributors Ltd."/>
    <n v="4155551450"/>
    <s v="5677 Strong St."/>
    <m/>
    <s v="San Rafael"/>
    <s v="CA"/>
    <n v="97562"/>
    <s v="USA"/>
    <s v="NA"/>
    <s v="Nelson"/>
    <s v="Valarie"/>
    <s v="Medium"/>
    <n v="3600"/>
  </r>
  <r>
    <n v="10193"/>
    <n v="24"/>
    <n v="97.55"/>
    <n v="15"/>
    <n v="2341.1999999999998"/>
    <d v="2003-11-21T00:00:00"/>
    <s v="Shipped"/>
    <n v="4"/>
    <x v="5"/>
    <n v="2003"/>
    <x v="3"/>
    <n v="92"/>
    <s v="S18_4409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2341.1999999999998"/>
  </r>
  <r>
    <n v="10204"/>
    <n v="29"/>
    <n v="85.59"/>
    <n v="5"/>
    <n v="2482.11"/>
    <d v="2003-12-02T00:00:00"/>
    <s v="Shipped"/>
    <n v="4"/>
    <x v="6"/>
    <n v="2003"/>
    <x v="3"/>
    <n v="92"/>
    <s v="S18_4409"/>
    <s v="Muscle Machine Inc"/>
    <n v="2125557413"/>
    <s v="4092 Furth Circle"/>
    <s v="Suite 400"/>
    <s v="NYC"/>
    <s v="NY"/>
    <n v="10022"/>
    <s v="USA"/>
    <s v="NA"/>
    <s v="Young"/>
    <s v="Jeff"/>
    <s v="Small"/>
    <n v="2482.11"/>
  </r>
  <r>
    <n v="10213"/>
    <n v="38"/>
    <n v="94.79"/>
    <n v="1"/>
    <n v="3602.02"/>
    <d v="2004-01-22T00:00:00"/>
    <s v="Shipped"/>
    <n v="1"/>
    <x v="7"/>
    <n v="2004"/>
    <x v="3"/>
    <n v="92"/>
    <s v="S18_4409"/>
    <s v="Double Decker Gift Stores, Ltd"/>
    <s v="(171) 555-7555"/>
    <s v="120 Hanover Sq."/>
    <m/>
    <s v="London"/>
    <m/>
    <s v="WA1 1DP"/>
    <s v="UK"/>
    <s v="EMEA"/>
    <s v="Hardy"/>
    <s v="Thomas"/>
    <s v="Medium"/>
    <n v="3602.0200000000004"/>
  </r>
  <r>
    <n v="10227"/>
    <n v="34"/>
    <n v="100"/>
    <n v="11"/>
    <n v="3566.94"/>
    <d v="2004-03-02T00:00:00"/>
    <s v="Shipped"/>
    <n v="1"/>
    <x v="11"/>
    <n v="2004"/>
    <x v="3"/>
    <n v="92"/>
    <s v="S18_4409"/>
    <s v="Saveley &amp; Henriot, Co."/>
    <s v="78.32.5555"/>
    <s v="2, rue du Commerce"/>
    <m/>
    <s v="Lyon"/>
    <m/>
    <n v="69004"/>
    <s v="France"/>
    <s v="EMEA"/>
    <s v="Saveley"/>
    <s v="Mary"/>
    <s v="Medium"/>
    <n v="3400"/>
  </r>
  <r>
    <n v="10241"/>
    <n v="42"/>
    <n v="90.19"/>
    <n v="3"/>
    <n v="3787.98"/>
    <d v="2004-04-13T00:00:00"/>
    <s v="Shipped"/>
    <n v="2"/>
    <x v="8"/>
    <n v="2004"/>
    <x v="3"/>
    <n v="92"/>
    <s v="S18_4409"/>
    <s v="Mini Caravy"/>
    <s v="88.60.1555"/>
    <s v="24, place Kluber"/>
    <m/>
    <s v="Strasbourg"/>
    <m/>
    <n v="67000"/>
    <s v="France"/>
    <s v="EMEA"/>
    <s v="Citeaux"/>
    <s v="Frederique"/>
    <s v="Medium"/>
    <n v="3787.98"/>
  </r>
  <r>
    <n v="10280"/>
    <n v="35"/>
    <n v="100"/>
    <n v="17"/>
    <n v="3704.05"/>
    <d v="2004-08-17T00:00:00"/>
    <s v="Shipped"/>
    <n v="3"/>
    <x v="3"/>
    <n v="2004"/>
    <x v="3"/>
    <n v="92"/>
    <s v="S18_4409"/>
    <s v="Amica Models &amp; Co."/>
    <s v="011-4988555"/>
    <s v="Via Monte Bianco 34"/>
    <m/>
    <s v="Torino"/>
    <m/>
    <n v="10100"/>
    <s v="Italy"/>
    <s v="EMEA"/>
    <s v="Accorti"/>
    <s v="Paolo"/>
    <s v="Medium"/>
    <n v="3500"/>
  </r>
  <r>
    <n v="10288"/>
    <n v="35"/>
    <n v="80.989999999999995"/>
    <n v="6"/>
    <n v="2834.65"/>
    <d v="2004-09-01T00:00:00"/>
    <s v="Shipped"/>
    <n v="3"/>
    <x v="10"/>
    <n v="2004"/>
    <x v="3"/>
    <n v="92"/>
    <s v="S18_440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834.6499999999996"/>
  </r>
  <r>
    <n v="10302"/>
    <n v="38"/>
    <n v="89.27"/>
    <n v="2"/>
    <n v="3392.26"/>
    <d v="2003-10-06T00:00:00"/>
    <s v="Shipped"/>
    <n v="4"/>
    <x v="4"/>
    <n v="2003"/>
    <x v="3"/>
    <n v="92"/>
    <s v="S18_4409"/>
    <s v="UK Collectables, Ltd."/>
    <s v="(171) 555-2282"/>
    <s v="Berkeley Gardens 12  Brewery"/>
    <m/>
    <s v="Liverpool"/>
    <m/>
    <s v="WX1 6LT"/>
    <s v="UK"/>
    <s v="EMEA"/>
    <s v="Devon"/>
    <s v="Elizabeth"/>
    <s v="Medium"/>
    <n v="3392.2599999999998"/>
  </r>
  <r>
    <n v="10311"/>
    <n v="41"/>
    <n v="81.91"/>
    <n v="1"/>
    <n v="3358.31"/>
    <d v="2004-10-16T00:00:00"/>
    <s v="Shipped"/>
    <n v="4"/>
    <x v="4"/>
    <n v="2004"/>
    <x v="3"/>
    <n v="92"/>
    <s v="S18_4409"/>
    <s v="Euro Shopping Channel"/>
    <s v="(91) 555 94 44"/>
    <s v="C/ Moralzarzal, 86"/>
    <m/>
    <s v="Madrid"/>
    <m/>
    <n v="28034"/>
    <s v="Spain"/>
    <s v="EMEA"/>
    <s v="Freyre"/>
    <s v="Diego"/>
    <s v="Medium"/>
    <n v="3358.31"/>
  </r>
  <r>
    <n v="10332"/>
    <n v="50"/>
    <n v="100"/>
    <n v="2"/>
    <n v="7310"/>
    <d v="2004-11-17T00:00:00"/>
    <s v="Shipped"/>
    <n v="4"/>
    <x v="5"/>
    <n v="2004"/>
    <x v="3"/>
    <n v="92"/>
    <s v="S18_4409"/>
    <s v="AV Stores, Co."/>
    <s v="(171) 555-1555"/>
    <s v="Fauntleroy Circus"/>
    <m/>
    <s v="Manchester"/>
    <m/>
    <s v="EC2 5NT"/>
    <s v="UK"/>
    <s v="EMEA"/>
    <s v="Ashworth"/>
    <s v="Victoria"/>
    <s v="Large"/>
    <n v="5000"/>
  </r>
  <r>
    <n v="10344"/>
    <n v="21"/>
    <n v="100"/>
    <n v="4"/>
    <n v="2203.11"/>
    <d v="2004-11-25T00:00:00"/>
    <s v="Shipped"/>
    <n v="4"/>
    <x v="5"/>
    <n v="2004"/>
    <x v="3"/>
    <n v="92"/>
    <s v="S18_4409"/>
    <s v="Marseille Mini Autos"/>
    <s v="91.24.4555"/>
    <s v="12, rue des Bouchers"/>
    <m/>
    <s v="Marseille"/>
    <m/>
    <n v="13008"/>
    <s v="France"/>
    <s v="EMEA"/>
    <s v="Lebihan"/>
    <s v="Laurence"/>
    <s v="Small"/>
    <n v="2100"/>
  </r>
  <r>
    <n v="10367"/>
    <n v="43"/>
    <n v="62.72"/>
    <n v="8"/>
    <n v="2696.96"/>
    <d v="2005-01-12T00:00:00"/>
    <s v="Resolved"/>
    <n v="1"/>
    <x v="7"/>
    <n v="2005"/>
    <x v="3"/>
    <n v="92"/>
    <s v="S18_4409"/>
    <s v="Toys4GrownUps.com"/>
    <n v="6265557265"/>
    <s v="78934 Hillside Dr."/>
    <m/>
    <s v="Pasadena"/>
    <s v="CA"/>
    <n v="90003"/>
    <s v="USA"/>
    <s v="NA"/>
    <s v="Young"/>
    <s v="Julie"/>
    <s v="Small"/>
    <n v="2696.96"/>
  </r>
  <r>
    <n v="10380"/>
    <n v="32"/>
    <n v="100"/>
    <n v="1"/>
    <n v="3376.64"/>
    <d v="2005-02-16T00:00:00"/>
    <s v="Shipped"/>
    <n v="1"/>
    <x v="0"/>
    <n v="2005"/>
    <x v="3"/>
    <n v="92"/>
    <s v="S18_4409"/>
    <s v="Euro Shopping Channel"/>
    <s v="(91) 555 94 44"/>
    <s v="C/ Moralzarzal, 86"/>
    <m/>
    <s v="Madrid"/>
    <m/>
    <n v="28034"/>
    <s v="Spain"/>
    <s v="EMEA"/>
    <s v="Freyre"/>
    <s v="Diego"/>
    <s v="Medium"/>
    <n v="3200"/>
  </r>
  <r>
    <n v="10407"/>
    <n v="6"/>
    <n v="90.19"/>
    <n v="3"/>
    <n v="541.14"/>
    <d v="2005-04-22T00:00:00"/>
    <s v="On Hold"/>
    <n v="2"/>
    <x v="8"/>
    <n v="2005"/>
    <x v="3"/>
    <n v="92"/>
    <s v="S18_4409"/>
    <s v="The Sharp Gifts Warehouse"/>
    <n v="4085553659"/>
    <s v="3086 Ingle Ln."/>
    <m/>
    <s v="San Jose"/>
    <s v="CA"/>
    <n v="94217"/>
    <s v="USA"/>
    <s v="NA"/>
    <s v="Frick"/>
    <s v="Sue"/>
    <s v="Small"/>
    <n v="541.14"/>
  </r>
  <r>
    <n v="10420"/>
    <n v="66"/>
    <n v="92.95"/>
    <n v="6"/>
    <n v="6134.7"/>
    <d v="2005-05-29T00:00:00"/>
    <s v="In Process"/>
    <n v="2"/>
    <x v="1"/>
    <n v="2005"/>
    <x v="3"/>
    <n v="92"/>
    <s v="S18_440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6134.7"/>
  </r>
  <r>
    <n v="10105"/>
    <n v="41"/>
    <n v="82.5"/>
    <n v="10"/>
    <n v="3382.5"/>
    <d v="2003-02-11T00:00:00"/>
    <s v="Shipped"/>
    <n v="1"/>
    <x v="0"/>
    <n v="2003"/>
    <x v="3"/>
    <n v="87"/>
    <s v="S18_4522"/>
    <s v="Danish Wholesale Imports"/>
    <s v="31 12 3555"/>
    <s v="Vinb'ltet 34"/>
    <m/>
    <s v="Kobenhavn"/>
    <m/>
    <n v="1734"/>
    <s v="Denmark"/>
    <s v="EMEA"/>
    <s v="Petersen"/>
    <s v="Jytte"/>
    <s v="Medium"/>
    <n v="3382.5"/>
  </r>
  <r>
    <n v="10117"/>
    <n v="23"/>
    <n v="97.42"/>
    <n v="4"/>
    <n v="2240.66"/>
    <d v="2003-04-16T00:00:00"/>
    <s v="Shipped"/>
    <n v="2"/>
    <x v="8"/>
    <n v="2003"/>
    <x v="3"/>
    <n v="87"/>
    <s v="S18_452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240.66"/>
  </r>
  <r>
    <n v="10128"/>
    <n v="43"/>
    <n v="92.16"/>
    <n v="1"/>
    <n v="3962.88"/>
    <d v="2003-06-06T00:00:00"/>
    <s v="Shipped"/>
    <n v="2"/>
    <x v="9"/>
    <n v="2003"/>
    <x v="3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Medium"/>
    <n v="3962.8799999999997"/>
  </r>
  <r>
    <n v="10142"/>
    <n v="24"/>
    <n v="70.22"/>
    <n v="7"/>
    <n v="1685.28"/>
    <d v="2003-08-08T00:00:00"/>
    <s v="Shipped"/>
    <n v="3"/>
    <x v="3"/>
    <n v="2003"/>
    <x v="3"/>
    <n v="87"/>
    <s v="S18_4522"/>
    <s v="Mini Gifts Distributors Ltd."/>
    <n v="4155551450"/>
    <s v="5677 Strong St."/>
    <m/>
    <s v="San Rafael"/>
    <s v="CA"/>
    <n v="97562"/>
    <s v="USA"/>
    <s v="NA"/>
    <s v="Nelson"/>
    <s v="Valarie"/>
    <s v="Small"/>
    <n v="1685.28"/>
  </r>
  <r>
    <n v="10153"/>
    <n v="22"/>
    <n v="83.38"/>
    <n v="6"/>
    <n v="1834.36"/>
    <d v="2003-09-28T00:00:00"/>
    <s v="Shipped"/>
    <n v="3"/>
    <x v="10"/>
    <n v="2003"/>
    <x v="3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Small"/>
    <n v="1834.36"/>
  </r>
  <r>
    <n v="10166"/>
    <n v="26"/>
    <n v="73.73"/>
    <n v="1"/>
    <n v="1916.98"/>
    <d v="2003-10-21T00:00:00"/>
    <s v="Shipped"/>
    <n v="4"/>
    <x v="4"/>
    <n v="2003"/>
    <x v="3"/>
    <n v="87"/>
    <s v="S18_4522"/>
    <s v="FunGiftIdeas.com"/>
    <n v="5085552555"/>
    <s v="1785 First Street"/>
    <m/>
    <s v="New Bedford"/>
    <s v="MA"/>
    <n v="50553"/>
    <s v="USA"/>
    <s v="NA"/>
    <s v="Benitez"/>
    <s v="Violeta"/>
    <s v="Small"/>
    <n v="1916.98"/>
  </r>
  <r>
    <n v="10177"/>
    <n v="35"/>
    <n v="74.599999999999994"/>
    <n v="8"/>
    <n v="2611"/>
    <d v="2003-11-07T00:00:00"/>
    <s v="Shipped"/>
    <n v="4"/>
    <x v="5"/>
    <n v="2003"/>
    <x v="3"/>
    <n v="87"/>
    <s v="S18_4522"/>
    <s v="CAF Imports"/>
    <s v="+34 913 728 555"/>
    <s v="Merchants House, 27-30 Merchant's Quay"/>
    <m/>
    <s v="Madrid"/>
    <m/>
    <n v="28023"/>
    <s v="Spain"/>
    <s v="EMEA"/>
    <s v="Fernandez"/>
    <s v="Jesus"/>
    <s v="Small"/>
    <n v="2611"/>
  </r>
  <r>
    <n v="10185"/>
    <n v="47"/>
    <n v="77.239999999999995"/>
    <n v="8"/>
    <n v="3630.28"/>
    <d v="2003-11-14T00:00:00"/>
    <s v="Shipped"/>
    <n v="4"/>
    <x v="5"/>
    <n v="2003"/>
    <x v="3"/>
    <n v="87"/>
    <s v="S18_4522"/>
    <s v="Mini Creations Ltd."/>
    <n v="5085559555"/>
    <s v="4575 Hillside Dr."/>
    <m/>
    <s v="New Bedford"/>
    <s v="MA"/>
    <n v="50553"/>
    <s v="USA"/>
    <s v="NA"/>
    <s v="Tam"/>
    <s v="Wing C"/>
    <s v="Medium"/>
    <n v="3630.2799999999997"/>
  </r>
  <r>
    <n v="10197"/>
    <n v="50"/>
    <n v="100"/>
    <n v="14"/>
    <n v="5090.5"/>
    <d v="2003-11-26T00:00:00"/>
    <s v="Shipped"/>
    <n v="4"/>
    <x v="5"/>
    <n v="2003"/>
    <x v="3"/>
    <n v="87"/>
    <s v="S18_4522"/>
    <s v="Enaco Distributors"/>
    <s v="(93) 203 4555"/>
    <s v="Rambla de Catalu¤a, 23"/>
    <m/>
    <s v="Barcelona"/>
    <m/>
    <n v="8022"/>
    <s v="Spain"/>
    <s v="EMEA"/>
    <s v="Saavedra"/>
    <s v="Eduardo"/>
    <s v="Medium"/>
    <n v="5000"/>
  </r>
  <r>
    <n v="10208"/>
    <n v="45"/>
    <n v="87.77"/>
    <n v="8"/>
    <n v="3949.65"/>
    <d v="2004-01-02T00:00:00"/>
    <s v="Shipped"/>
    <n v="1"/>
    <x v="7"/>
    <n v="2004"/>
    <x v="3"/>
    <n v="87"/>
    <s v="S18_4522"/>
    <s v="Saveley &amp; Henriot, Co."/>
    <s v="78.32.5555"/>
    <s v="2, rue du Commerce"/>
    <m/>
    <s v="Lyon"/>
    <m/>
    <n v="69004"/>
    <s v="France"/>
    <s v="EMEA"/>
    <s v="Saveley"/>
    <s v="Mary"/>
    <s v="Medium"/>
    <n v="3949.6499999999996"/>
  </r>
  <r>
    <n v="10221"/>
    <n v="39"/>
    <n v="89.53"/>
    <n v="2"/>
    <n v="3491.67"/>
    <d v="2004-02-18T00:00:00"/>
    <s v="Shipped"/>
    <n v="1"/>
    <x v="0"/>
    <n v="2004"/>
    <x v="3"/>
    <n v="87"/>
    <s v="S18_4522"/>
    <s v="Petit Auto"/>
    <s v="(02) 5554 67"/>
    <s v="Rue Joseph-Bens 532"/>
    <m/>
    <s v="Bruxelles"/>
    <m/>
    <s v="B-1180"/>
    <s v="Belgium"/>
    <s v="EMEA"/>
    <s v="Dewey"/>
    <s v="Catherine"/>
    <s v="Medium"/>
    <n v="3491.67"/>
  </r>
  <r>
    <n v="10232"/>
    <n v="23"/>
    <n v="89.53"/>
    <n v="5"/>
    <n v="2059.19"/>
    <d v="2004-03-20T00:00:00"/>
    <s v="Shipped"/>
    <n v="1"/>
    <x v="11"/>
    <n v="2004"/>
    <x v="3"/>
    <n v="87"/>
    <s v="S18_4522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059.19"/>
  </r>
  <r>
    <n v="10248"/>
    <n v="42"/>
    <n v="75.48"/>
    <n v="11"/>
    <n v="3170.16"/>
    <d v="2004-05-07T00:00:00"/>
    <s v="Cancelled"/>
    <n v="2"/>
    <x v="1"/>
    <n v="2004"/>
    <x v="3"/>
    <n v="87"/>
    <s v="S18_4522"/>
    <s v="Land of Toys Inc."/>
    <n v="2125557818"/>
    <s v="897 Long Airport Avenue"/>
    <m/>
    <s v="NYC"/>
    <s v="NY"/>
    <n v="10022"/>
    <s v="USA"/>
    <s v="NA"/>
    <s v="Yu"/>
    <s v="Kwai"/>
    <s v="Medium"/>
    <n v="3170.1600000000003"/>
  </r>
  <r>
    <n v="10261"/>
    <n v="20"/>
    <n v="89.53"/>
    <n v="9"/>
    <n v="1790.6"/>
    <d v="2004-06-17T00:00:00"/>
    <s v="Shipped"/>
    <n v="2"/>
    <x v="9"/>
    <n v="2004"/>
    <x v="3"/>
    <n v="87"/>
    <s v="S18_4522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1790.6"/>
  </r>
  <r>
    <n v="10273"/>
    <n v="33"/>
    <n v="71.09"/>
    <n v="12"/>
    <n v="2345.9699999999998"/>
    <d v="2004-07-21T00:00:00"/>
    <s v="Shipped"/>
    <n v="3"/>
    <x v="2"/>
    <n v="2004"/>
    <x v="3"/>
    <n v="87"/>
    <s v="S18_4522"/>
    <s v="Petit Auto"/>
    <s v="(02) 5554 67"/>
    <s v="Rue Joseph-Bens 532"/>
    <m/>
    <s v="Bruxelles"/>
    <m/>
    <s v="B-1180"/>
    <s v="Belgium"/>
    <s v="EMEA"/>
    <s v="Dewey"/>
    <s v="Catherine"/>
    <s v="Small"/>
    <n v="2345.9700000000003"/>
  </r>
  <r>
    <n v="10283"/>
    <n v="34"/>
    <n v="100"/>
    <n v="14"/>
    <n v="3580.88"/>
    <d v="2004-08-20T00:00:00"/>
    <s v="Shipped"/>
    <n v="3"/>
    <x v="3"/>
    <n v="2004"/>
    <x v="3"/>
    <n v="87"/>
    <s v="S18_4522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3400"/>
  </r>
  <r>
    <n v="10293"/>
    <n v="49"/>
    <n v="100"/>
    <n v="3"/>
    <n v="4946.0600000000004"/>
    <d v="2004-09-09T00:00:00"/>
    <s v="Shipped"/>
    <n v="3"/>
    <x v="10"/>
    <n v="2004"/>
    <x v="3"/>
    <n v="87"/>
    <s v="S18_4522"/>
    <s v="Amica Models &amp; Co."/>
    <s v="011-4988555"/>
    <s v="Via Monte Bianco 34"/>
    <m/>
    <s v="Torino"/>
    <m/>
    <n v="10100"/>
    <s v="Italy"/>
    <s v="EMEA"/>
    <s v="Accorti"/>
    <s v="Paolo"/>
    <s v="Medium"/>
    <n v="4900"/>
  </r>
  <r>
    <n v="10306"/>
    <n v="39"/>
    <n v="90.4"/>
    <n v="8"/>
    <n v="3525.6"/>
    <d v="2004-10-14T00:00:00"/>
    <s v="Shipped"/>
    <n v="4"/>
    <x v="4"/>
    <n v="2004"/>
    <x v="3"/>
    <n v="87"/>
    <s v="S18_4522"/>
    <s v="AV Stores, Co."/>
    <s v="(171) 555-1555"/>
    <s v="Fauntleroy Circus"/>
    <m/>
    <s v="Manchester"/>
    <m/>
    <s v="EC2 5NT"/>
    <s v="UK"/>
    <s v="EMEA"/>
    <s v="Ashworth"/>
    <s v="Victoria"/>
    <s v="Medium"/>
    <n v="3525.6000000000004"/>
  </r>
  <r>
    <n v="10315"/>
    <n v="36"/>
    <n v="100"/>
    <n v="7"/>
    <n v="3602.16"/>
    <d v="2004-10-29T00:00:00"/>
    <s v="Shipped"/>
    <n v="4"/>
    <x v="4"/>
    <n v="2004"/>
    <x v="3"/>
    <n v="87"/>
    <s v="S18_4522"/>
    <s v="La Rochelle Gifts"/>
    <s v="40.67.8555"/>
    <s v="67, rue des Cinquante Otages"/>
    <m/>
    <s v="Nantes"/>
    <m/>
    <n v="44000"/>
    <s v="France"/>
    <s v="EMEA"/>
    <s v="Labrune"/>
    <s v="Janine"/>
    <s v="Medium"/>
    <n v="3600"/>
  </r>
  <r>
    <n v="10326"/>
    <n v="50"/>
    <n v="86.01"/>
    <n v="5"/>
    <n v="4300.5"/>
    <d v="2004-11-09T00:00:00"/>
    <s v="Shipped"/>
    <n v="4"/>
    <x v="5"/>
    <n v="2004"/>
    <x v="3"/>
    <n v="87"/>
    <s v="S18_4522"/>
    <s v="Volvo Model Replicas, Co"/>
    <s v="0921-12 3555"/>
    <s v="Berguvsv„gen  8"/>
    <m/>
    <s v="Lule"/>
    <m/>
    <s v="S-958 22"/>
    <s v="Sweden"/>
    <s v="EMEA"/>
    <s v="Berglund"/>
    <s v="Christina"/>
    <s v="Medium"/>
    <n v="4300.5"/>
  </r>
  <r>
    <n v="10337"/>
    <n v="29"/>
    <n v="100"/>
    <n v="2"/>
    <n v="4498.1899999999996"/>
    <d v="2004-11-21T00:00:00"/>
    <s v="Shipped"/>
    <n v="4"/>
    <x v="5"/>
    <n v="2004"/>
    <x v="3"/>
    <n v="87"/>
    <s v="S18_4522"/>
    <s v="Classic Legends Inc."/>
    <n v="2125558493"/>
    <s v="5905 Pompton St."/>
    <s v="Suite 750"/>
    <s v="NYC"/>
    <s v="NY"/>
    <n v="10022"/>
    <s v="USA"/>
    <s v="NA"/>
    <s v="Hernandez"/>
    <s v="Maria"/>
    <s v="Medium"/>
    <n v="2900"/>
  </r>
  <r>
    <n v="10350"/>
    <n v="30"/>
    <n v="100"/>
    <n v="3"/>
    <n v="3023.1"/>
    <d v="2004-12-02T00:00:00"/>
    <s v="Shipped"/>
    <n v="4"/>
    <x v="6"/>
    <n v="2004"/>
    <x v="3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Medium"/>
    <n v="3000"/>
  </r>
  <r>
    <n v="10372"/>
    <n v="41"/>
    <n v="86.89"/>
    <n v="7"/>
    <n v="3562.49"/>
    <d v="2005-01-26T00:00:00"/>
    <s v="Shipped"/>
    <n v="1"/>
    <x v="7"/>
    <n v="2005"/>
    <x v="3"/>
    <n v="87"/>
    <s v="S18_4522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3562.4900000000002"/>
  </r>
  <r>
    <n v="10383"/>
    <n v="28"/>
    <n v="58.58"/>
    <n v="7"/>
    <n v="1640.24"/>
    <d v="2005-02-22T00:00:00"/>
    <s v="Shipped"/>
    <n v="1"/>
    <x v="0"/>
    <n v="2005"/>
    <x v="3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Small"/>
    <n v="1640.24"/>
  </r>
  <r>
    <n v="10396"/>
    <n v="45"/>
    <n v="100"/>
    <n v="5"/>
    <n v="4739.3999999999996"/>
    <d v="2005-03-23T00:00:00"/>
    <s v="Shipped"/>
    <n v="1"/>
    <x v="11"/>
    <n v="2005"/>
    <x v="3"/>
    <n v="87"/>
    <s v="S18_4522"/>
    <s v="Mini Gifts Distributors Ltd."/>
    <n v="4155551450"/>
    <s v="5677 Strong St."/>
    <m/>
    <s v="San Rafael"/>
    <s v="CA"/>
    <n v="97562"/>
    <s v="USA"/>
    <s v="NA"/>
    <s v="Nelson"/>
    <s v="Valarie"/>
    <s v="Medium"/>
    <n v="4500"/>
  </r>
  <r>
    <n v="10414"/>
    <n v="16"/>
    <n v="75.48"/>
    <n v="11"/>
    <n v="1207.68"/>
    <d v="2005-05-06T00:00:00"/>
    <s v="On Hold"/>
    <n v="2"/>
    <x v="1"/>
    <n v="2005"/>
    <x v="3"/>
    <n v="87"/>
    <s v="S18_4522"/>
    <s v="Gifts4AllAges.com"/>
    <n v="6175559555"/>
    <s v="8616 Spinnaker Dr."/>
    <m/>
    <s v="Boston"/>
    <s v="MA"/>
    <n v="51003"/>
    <s v="USA"/>
    <s v="NA"/>
    <s v="Yoshido"/>
    <s v="Juri"/>
    <s v="Small"/>
    <n v="1207.68"/>
  </r>
  <r>
    <n v="10103"/>
    <n v="36"/>
    <n v="100"/>
    <n v="5"/>
    <n v="4228.2"/>
    <d v="2003-01-29T00:00:00"/>
    <s v="Shipped"/>
    <n v="1"/>
    <x v="7"/>
    <n v="2003"/>
    <x v="2"/>
    <n v="121"/>
    <s v="S18_4600"/>
    <s v="Baane Mini Imports"/>
    <s v="07-98 9555"/>
    <s v="Erling Skakkes gate 78"/>
    <m/>
    <s v="Stavern"/>
    <m/>
    <n v="4110"/>
    <s v="Norway"/>
    <s v="EMEA"/>
    <s v="Bergulfsen"/>
    <s v="Jonas"/>
    <s v="Medium"/>
    <n v="3600"/>
  </r>
  <r>
    <n v="10114"/>
    <n v="41"/>
    <n v="100"/>
    <n v="9"/>
    <n v="4815.45"/>
    <d v="2003-04-01T00:00:00"/>
    <s v="Shipped"/>
    <n v="2"/>
    <x v="8"/>
    <n v="2003"/>
    <x v="2"/>
    <n v="121"/>
    <s v="S18_4600"/>
    <s v="La Corne D'abondance, Co."/>
    <s v="(1) 42.34.2555"/>
    <s v="265, boulevard Charonne"/>
    <m/>
    <s v="Paris"/>
    <m/>
    <n v="75012"/>
    <s v="France"/>
    <s v="EMEA"/>
    <s v="Bertrand"/>
    <s v="Marie"/>
    <s v="Medium"/>
    <n v="4100"/>
  </r>
  <r>
    <n v="10126"/>
    <n v="50"/>
    <n v="100"/>
    <n v="5"/>
    <n v="7083"/>
    <d v="2003-05-28T00:00:00"/>
    <s v="Shipped"/>
    <n v="2"/>
    <x v="1"/>
    <n v="2003"/>
    <x v="2"/>
    <n v="121"/>
    <s v="S18_4600"/>
    <s v="Corrida Auto Replicas, Ltd"/>
    <s v="(91) 555 22 82"/>
    <s v="C/ Araquil, 67"/>
    <m/>
    <s v="Madrid"/>
    <m/>
    <n v="28023"/>
    <s v="Spain"/>
    <s v="EMEA"/>
    <s v="Sommer"/>
    <s v="Mart¡n"/>
    <s v="Large"/>
    <n v="5000"/>
  </r>
  <r>
    <n v="10140"/>
    <n v="40"/>
    <n v="100"/>
    <n v="5"/>
    <n v="4601.2"/>
    <d v="2003-07-24T00:00:00"/>
    <s v="Shipped"/>
    <n v="3"/>
    <x v="2"/>
    <n v="2003"/>
    <x v="2"/>
    <n v="121"/>
    <s v="S18_4600"/>
    <s v="Technics Stores Inc."/>
    <n v="6505556809"/>
    <s v="9408 Furth Circle"/>
    <m/>
    <s v="Burlingame"/>
    <s v="CA"/>
    <n v="94217"/>
    <s v="USA"/>
    <s v="NA"/>
    <s v="Hirano"/>
    <s v="Juri"/>
    <s v="Medium"/>
    <n v="4000"/>
  </r>
  <r>
    <n v="10150"/>
    <n v="49"/>
    <n v="100"/>
    <n v="2"/>
    <n v="6467.02"/>
    <d v="2003-09-19T00:00:00"/>
    <s v="Shipped"/>
    <n v="3"/>
    <x v="10"/>
    <n v="2003"/>
    <x v="2"/>
    <n v="121"/>
    <s v="S18_460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4900"/>
  </r>
  <r>
    <n v="10164"/>
    <n v="45"/>
    <n v="100"/>
    <n v="3"/>
    <n v="5012.55"/>
    <d v="2003-10-21T00:00:00"/>
    <s v="Resolved"/>
    <n v="4"/>
    <x v="4"/>
    <n v="2003"/>
    <x v="2"/>
    <n v="121"/>
    <s v="S18_4600"/>
    <s v="Mini Auto Werke"/>
    <s v="7675-3555"/>
    <s v="Kirchgasse 6"/>
    <m/>
    <s v="Graz"/>
    <m/>
    <n v="8010"/>
    <s v="Austria"/>
    <s v="EMEA"/>
    <s v="Mendel"/>
    <s v="Roland"/>
    <s v="Medium"/>
    <n v="4500"/>
  </r>
  <r>
    <n v="10175"/>
    <n v="47"/>
    <n v="100"/>
    <n v="10"/>
    <n v="5121.59"/>
    <d v="2003-11-06T00:00:00"/>
    <s v="Shipped"/>
    <n v="4"/>
    <x v="5"/>
    <n v="2003"/>
    <x v="2"/>
    <n v="121"/>
    <s v="S18_4600"/>
    <s v="Stylish Desk Decors, Co."/>
    <s v="(171) 555-0297"/>
    <s v="35 King George"/>
    <m/>
    <s v="London"/>
    <m/>
    <s v="WX3 6FW"/>
    <s v="UK"/>
    <s v="EMEA"/>
    <s v="Brown"/>
    <s v="Ann"/>
    <s v="Medium"/>
    <n v="4700"/>
  </r>
  <r>
    <n v="10183"/>
    <n v="21"/>
    <n v="100"/>
    <n v="2"/>
    <n v="2441.04"/>
    <d v="2003-11-13T00:00:00"/>
    <s v="Shipped"/>
    <n v="4"/>
    <x v="5"/>
    <n v="2003"/>
    <x v="2"/>
    <n v="121"/>
    <s v="S18_4600"/>
    <s v="Classic Gift Ideas, Inc"/>
    <n v="2155554695"/>
    <s v="782 First Street"/>
    <m/>
    <s v="Philadelphia"/>
    <s v="PA"/>
    <n v="71270"/>
    <s v="USA"/>
    <s v="NA"/>
    <s v="Cervantes"/>
    <s v="Francisca"/>
    <s v="Small"/>
    <n v="2100"/>
  </r>
  <r>
    <n v="10194"/>
    <n v="32"/>
    <n v="100"/>
    <n v="5"/>
    <n v="4262.08"/>
    <d v="2003-11-25T00:00:00"/>
    <s v="Shipped"/>
    <n v="4"/>
    <x v="5"/>
    <n v="2003"/>
    <x v="2"/>
    <n v="121"/>
    <s v="S18_4600"/>
    <s v="Saveley &amp; Henriot, Co."/>
    <s v="78.32.5555"/>
    <s v="2, rue du Commerce"/>
    <m/>
    <s v="Lyon"/>
    <m/>
    <n v="69004"/>
    <s v="France"/>
    <s v="EMEA"/>
    <s v="Saveley"/>
    <s v="Mary"/>
    <s v="Medium"/>
    <n v="3200"/>
  </r>
  <r>
    <n v="10207"/>
    <n v="47"/>
    <n v="100"/>
    <n v="16"/>
    <n v="6658.02"/>
    <d v="2003-12-09T00:00:00"/>
    <s v="Shipped"/>
    <n v="4"/>
    <x v="6"/>
    <n v="2003"/>
    <x v="2"/>
    <n v="121"/>
    <s v="S18_4600"/>
    <s v="Diecast Collectables"/>
    <n v="6175552555"/>
    <s v="6251 Ingle Ln."/>
    <m/>
    <s v="Boston"/>
    <s v="MA"/>
    <n v="51003"/>
    <s v="USA"/>
    <s v="NA"/>
    <s v="Franco"/>
    <s v="Valarie"/>
    <s v="Medium"/>
    <n v="4700"/>
  </r>
  <r>
    <n v="10217"/>
    <n v="38"/>
    <n v="100"/>
    <n v="5"/>
    <n v="4509.08"/>
    <d v="2004-02-04T00:00:00"/>
    <s v="Shipped"/>
    <n v="1"/>
    <x v="0"/>
    <n v="2004"/>
    <x v="2"/>
    <n v="121"/>
    <s v="S18_46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3800"/>
  </r>
  <r>
    <n v="10229"/>
    <n v="41"/>
    <n v="100"/>
    <n v="10"/>
    <n v="4716.2299999999996"/>
    <d v="2004-03-11T00:00:00"/>
    <s v="Shipped"/>
    <n v="1"/>
    <x v="11"/>
    <n v="2004"/>
    <x v="2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  <n v="4100"/>
  </r>
  <r>
    <n v="10245"/>
    <n v="21"/>
    <n v="100"/>
    <n v="3"/>
    <n v="2390.2199999999998"/>
    <d v="2004-05-04T00:00:00"/>
    <s v="Shipped"/>
    <n v="2"/>
    <x v="1"/>
    <n v="2004"/>
    <x v="2"/>
    <n v="121"/>
    <s v="S18_4600"/>
    <s v="Super Scale Inc."/>
    <n v="2035559545"/>
    <s v="567 North Pendale Street"/>
    <m/>
    <s v="New Haven"/>
    <s v="CT"/>
    <n v="97823"/>
    <s v="USA"/>
    <s v="NA"/>
    <s v="Murphy"/>
    <s v="Leslie"/>
    <s v="Small"/>
    <n v="2100"/>
  </r>
  <r>
    <n v="10259"/>
    <n v="41"/>
    <n v="100"/>
    <n v="13"/>
    <n v="4666.62"/>
    <d v="2004-06-15T00:00:00"/>
    <s v="Shipped"/>
    <n v="2"/>
    <x v="9"/>
    <n v="2004"/>
    <x v="2"/>
    <n v="121"/>
    <s v="S18_46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4100"/>
  </r>
  <r>
    <n v="10270"/>
    <n v="38"/>
    <n v="100"/>
    <n v="3"/>
    <n v="5383.08"/>
    <d v="2004-07-19T00:00:00"/>
    <s v="Shipped"/>
    <n v="3"/>
    <x v="2"/>
    <n v="2004"/>
    <x v="2"/>
    <n v="121"/>
    <s v="S18_460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800"/>
  </r>
  <r>
    <n v="10281"/>
    <n v="25"/>
    <n v="99.29"/>
    <n v="10"/>
    <n v="2482.25"/>
    <d v="2004-08-19T00:00:00"/>
    <s v="Shipped"/>
    <n v="3"/>
    <x v="3"/>
    <n v="2004"/>
    <x v="2"/>
    <n v="121"/>
    <s v="S18_4600"/>
    <s v="Diecast Classics Inc."/>
    <n v="2155551555"/>
    <s v="7586 Pompton St."/>
    <m/>
    <s v="Allentown"/>
    <s v="PA"/>
    <n v="70267"/>
    <s v="USA"/>
    <s v="NA"/>
    <s v="Yu"/>
    <s v="Kyung"/>
    <s v="Small"/>
    <n v="2482.25"/>
  </r>
  <r>
    <n v="10291"/>
    <n v="48"/>
    <n v="100"/>
    <n v="5"/>
    <n v="5288.64"/>
    <d v="2004-09-08T00:00:00"/>
    <s v="Shipped"/>
    <n v="3"/>
    <x v="10"/>
    <n v="2004"/>
    <x v="2"/>
    <n v="121"/>
    <s v="S18_4600"/>
    <s v="Scandinavian Gift Ideas"/>
    <s v="0695-34 6555"/>
    <s v="?kergatan 24"/>
    <m/>
    <s v="Boras"/>
    <m/>
    <s v="S-844 67"/>
    <s v="Sweden"/>
    <s v="EMEA"/>
    <s v="Larsson"/>
    <s v="Maria"/>
    <s v="Medium"/>
    <n v="4800"/>
  </r>
  <r>
    <n v="10305"/>
    <n v="22"/>
    <n v="99.29"/>
    <n v="14"/>
    <n v="2184.38"/>
    <d v="2004-10-13T00:00:00"/>
    <s v="Shipped"/>
    <n v="4"/>
    <x v="4"/>
    <n v="2004"/>
    <x v="2"/>
    <n v="121"/>
    <s v="S18_4600"/>
    <s v="Marta's Replicas Co."/>
    <n v="6175558555"/>
    <s v="39323 Spinnaker Dr."/>
    <m/>
    <s v="Cambridge"/>
    <s v="MA"/>
    <n v="51247"/>
    <s v="USA"/>
    <s v="NA"/>
    <s v="Hernandez"/>
    <s v="Marta"/>
    <s v="Small"/>
    <n v="2184.38"/>
  </r>
  <r>
    <n v="10313"/>
    <n v="28"/>
    <n v="100"/>
    <n v="8"/>
    <n v="2881.76"/>
    <d v="2004-10-22T00:00:00"/>
    <s v="Shipped"/>
    <n v="4"/>
    <x v="4"/>
    <n v="2004"/>
    <x v="2"/>
    <n v="121"/>
    <s v="S18_4600"/>
    <s v="Canadian Gift Exchange Network"/>
    <s v="(604) 555-3392"/>
    <s v="1900 Oak St."/>
    <m/>
    <s v="Vancouver"/>
    <s v="BC"/>
    <s v="V3F 2K1"/>
    <s v="Canada"/>
    <s v="NA"/>
    <s v="Tannamuri"/>
    <s v="Yoshi"/>
    <s v="Small"/>
    <n v="2800"/>
  </r>
  <r>
    <n v="10323"/>
    <n v="47"/>
    <n v="100"/>
    <n v="1"/>
    <n v="6203.06"/>
    <d v="2004-11-05T00:00:00"/>
    <s v="Shipped"/>
    <n v="4"/>
    <x v="5"/>
    <n v="2004"/>
    <x v="2"/>
    <n v="121"/>
    <s v="S18_4600"/>
    <s v="Blauer See Auto, Co."/>
    <s v="+49 69 66 90 2555"/>
    <s v="Lyonerstr. 34"/>
    <m/>
    <s v="Frankfurt"/>
    <m/>
    <n v="60528"/>
    <s v="Germany"/>
    <s v="EMEA"/>
    <s v="Keitel"/>
    <s v="Roland"/>
    <s v="Medium"/>
    <n v="4700"/>
  </r>
  <r>
    <n v="10334"/>
    <n v="49"/>
    <n v="100"/>
    <n v="4"/>
    <n v="6763.47"/>
    <d v="2004-11-19T00:00:00"/>
    <s v="On Hold"/>
    <n v="4"/>
    <x v="5"/>
    <n v="2004"/>
    <x v="2"/>
    <n v="121"/>
    <s v="S18_4600"/>
    <s v="Volvo Model Replicas, Co"/>
    <s v="0921-12 3555"/>
    <s v="Berguvsv„gen  8"/>
    <m/>
    <s v="Lule"/>
    <m/>
    <s v="S-958 22"/>
    <s v="Sweden"/>
    <s v="EMEA"/>
    <s v="Berglund"/>
    <s v="Christina"/>
    <s v="Medium"/>
    <n v="4900"/>
  </r>
  <r>
    <n v="10347"/>
    <n v="45"/>
    <n v="100"/>
    <n v="4"/>
    <n v="5884.65"/>
    <d v="2004-11-29T00:00:00"/>
    <s v="Shipped"/>
    <n v="4"/>
    <x v="5"/>
    <n v="2004"/>
    <x v="2"/>
    <n v="121"/>
    <s v="S18_4600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4500"/>
  </r>
  <r>
    <n v="10357"/>
    <n v="28"/>
    <n v="100"/>
    <n v="2"/>
    <n v="3559.64"/>
    <d v="2004-12-10T00:00:00"/>
    <s v="Shipped"/>
    <n v="4"/>
    <x v="6"/>
    <n v="2004"/>
    <x v="2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  <n v="2800"/>
  </r>
  <r>
    <n v="10370"/>
    <n v="29"/>
    <n v="57.53"/>
    <n v="6"/>
    <n v="1668.37"/>
    <d v="2005-01-20T00:00:00"/>
    <s v="Shipped"/>
    <n v="1"/>
    <x v="7"/>
    <n v="2005"/>
    <x v="2"/>
    <n v="121"/>
    <s v="S18_460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668.3700000000001"/>
  </r>
  <r>
    <n v="10382"/>
    <n v="39"/>
    <n v="100"/>
    <n v="1"/>
    <n v="4890.6000000000004"/>
    <d v="2005-02-17T00:00:00"/>
    <s v="Shipped"/>
    <n v="1"/>
    <x v="0"/>
    <n v="2005"/>
    <x v="2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  <n v="3900"/>
  </r>
  <r>
    <n v="10411"/>
    <n v="46"/>
    <n v="100"/>
    <n v="3"/>
    <n v="5235.72"/>
    <d v="2005-05-01T00:00:00"/>
    <s v="Shipped"/>
    <n v="2"/>
    <x v="1"/>
    <n v="2005"/>
    <x v="2"/>
    <n v="121"/>
    <s v="S18_4600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4600"/>
  </r>
  <r>
    <n v="10425"/>
    <n v="38"/>
    <n v="100"/>
    <n v="13"/>
    <n v="4325.16"/>
    <d v="2005-05-31T00:00:00"/>
    <s v="In Process"/>
    <n v="2"/>
    <x v="1"/>
    <n v="2005"/>
    <x v="2"/>
    <n v="121"/>
    <s v="S18_4600"/>
    <s v="La Rochelle Gifts"/>
    <s v="40.67.8555"/>
    <s v="67, rue des Cinquante Otages"/>
    <m/>
    <s v="Nantes"/>
    <m/>
    <n v="44000"/>
    <s v="France"/>
    <s v="EMEA"/>
    <s v="Labrune"/>
    <s v="Janine"/>
    <s v="Medium"/>
    <n v="3800"/>
  </r>
  <r>
    <n v="10103"/>
    <n v="41"/>
    <n v="47.29"/>
    <n v="9"/>
    <n v="1938.89"/>
    <d v="2003-01-29T00:00:00"/>
    <s v="Shipped"/>
    <n v="1"/>
    <x v="7"/>
    <n v="2003"/>
    <x v="3"/>
    <n v="50"/>
    <s v="S18_4668"/>
    <s v="Baane Mini Imports"/>
    <s v="07-98 9555"/>
    <s v="Erling Skakkes gate 78"/>
    <m/>
    <s v="Stavern"/>
    <m/>
    <n v="4110"/>
    <s v="Norway"/>
    <s v="EMEA"/>
    <s v="Bergulfsen"/>
    <s v="Jonas"/>
    <s v="Small"/>
    <n v="1938.8899999999999"/>
  </r>
  <r>
    <n v="10113"/>
    <n v="50"/>
    <n v="49.81"/>
    <n v="3"/>
    <n v="2490.5"/>
    <d v="2003-03-26T00:00:00"/>
    <s v="Shipped"/>
    <n v="1"/>
    <x v="11"/>
    <n v="2003"/>
    <x v="3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  <n v="2490.5"/>
  </r>
  <r>
    <n v="10126"/>
    <n v="43"/>
    <n v="53.83"/>
    <n v="9"/>
    <n v="2314.69"/>
    <d v="2003-05-28T00:00:00"/>
    <s v="Shipped"/>
    <n v="2"/>
    <x v="1"/>
    <n v="2003"/>
    <x v="3"/>
    <n v="50"/>
    <s v="S18_4668"/>
    <s v="Corrida Auto Replicas, Ltd"/>
    <s v="(91) 555 22 82"/>
    <s v="C/ Araquil, 67"/>
    <m/>
    <s v="Madrid"/>
    <m/>
    <n v="28023"/>
    <s v="Spain"/>
    <s v="EMEA"/>
    <s v="Sommer"/>
    <s v="Mart¡n"/>
    <s v="Small"/>
    <n v="2314.69"/>
  </r>
  <r>
    <n v="10140"/>
    <n v="29"/>
    <n v="43.27"/>
    <n v="9"/>
    <n v="1254.83"/>
    <d v="2003-07-24T00:00:00"/>
    <s v="Shipped"/>
    <n v="3"/>
    <x v="2"/>
    <n v="2003"/>
    <x v="3"/>
    <n v="50"/>
    <s v="S18_4668"/>
    <s v="Technics Stores Inc."/>
    <n v="6505556809"/>
    <s v="9408 Furth Circle"/>
    <m/>
    <s v="Burlingame"/>
    <s v="CA"/>
    <n v="94217"/>
    <s v="USA"/>
    <s v="NA"/>
    <s v="Hirano"/>
    <s v="Juri"/>
    <s v="Small"/>
    <n v="1254.8300000000002"/>
  </r>
  <r>
    <n v="10150"/>
    <n v="30"/>
    <n v="42.76"/>
    <n v="6"/>
    <n v="1282.8"/>
    <d v="2003-09-19T00:00:00"/>
    <s v="Shipped"/>
    <n v="3"/>
    <x v="10"/>
    <n v="2003"/>
    <x v="3"/>
    <n v="50"/>
    <s v="S18_4668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1282.8"/>
  </r>
  <r>
    <n v="10164"/>
    <n v="25"/>
    <n v="53.83"/>
    <n v="7"/>
    <n v="1345.75"/>
    <d v="2003-10-21T00:00:00"/>
    <s v="Resolved"/>
    <n v="4"/>
    <x v="4"/>
    <n v="2003"/>
    <x v="3"/>
    <n v="50"/>
    <s v="S18_4668"/>
    <s v="Mini Auto Werke"/>
    <s v="7675-3555"/>
    <s v="Kirchgasse 6"/>
    <m/>
    <s v="Graz"/>
    <m/>
    <n v="8010"/>
    <s v="Austria"/>
    <s v="EMEA"/>
    <s v="Mendel"/>
    <s v="Roland"/>
    <s v="Small"/>
    <n v="1345.75"/>
  </r>
  <r>
    <n v="10174"/>
    <n v="49"/>
    <n v="44.78"/>
    <n v="2"/>
    <n v="2194.2199999999998"/>
    <d v="2003-11-06T00:00:00"/>
    <s v="Shipped"/>
    <n v="4"/>
    <x v="5"/>
    <n v="2003"/>
    <x v="3"/>
    <n v="50"/>
    <s v="S18_466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  <n v="2194.2200000000003"/>
  </r>
  <r>
    <n v="10183"/>
    <n v="40"/>
    <n v="49.3"/>
    <n v="6"/>
    <n v="1972"/>
    <d v="2003-11-13T00:00:00"/>
    <s v="Shipped"/>
    <n v="4"/>
    <x v="5"/>
    <n v="2003"/>
    <x v="3"/>
    <n v="50"/>
    <s v="S18_4668"/>
    <s v="Classic Gift Ideas, Inc"/>
    <n v="2155554695"/>
    <s v="782 First Street"/>
    <m/>
    <s v="Philadelphia"/>
    <s v="PA"/>
    <n v="71270"/>
    <s v="USA"/>
    <s v="NA"/>
    <s v="Cervantes"/>
    <s v="Francisca"/>
    <s v="Small"/>
    <n v="1972"/>
  </r>
  <r>
    <n v="10194"/>
    <n v="41"/>
    <n v="44.78"/>
    <n v="9"/>
    <n v="1835.98"/>
    <d v="2003-11-25T00:00:00"/>
    <s v="Shipped"/>
    <n v="4"/>
    <x v="5"/>
    <n v="2003"/>
    <x v="3"/>
    <n v="50"/>
    <s v="S18_4668"/>
    <s v="Saveley &amp; Henriot, Co."/>
    <s v="78.32.5555"/>
    <s v="2, rue du Commerce"/>
    <m/>
    <s v="Lyon"/>
    <m/>
    <n v="69004"/>
    <s v="France"/>
    <s v="EMEA"/>
    <s v="Saveley"/>
    <s v="Mary"/>
    <s v="Small"/>
    <n v="1835.98"/>
  </r>
  <r>
    <n v="10206"/>
    <n v="21"/>
    <n v="53.33"/>
    <n v="4"/>
    <n v="1119.93"/>
    <d v="2003-12-05T00:00:00"/>
    <s v="Shipped"/>
    <n v="4"/>
    <x v="6"/>
    <n v="2003"/>
    <x v="3"/>
    <n v="50"/>
    <s v="S18_4668"/>
    <s v="Canadian Gift Exchange Network"/>
    <s v="(604) 555-3392"/>
    <s v="1900 Oak St."/>
    <m/>
    <s v="Vancouver"/>
    <s v="BC"/>
    <s v="V3F 2K1"/>
    <s v="Canada"/>
    <s v="NA"/>
    <s v="Tannamuri"/>
    <s v="Yoshi"/>
    <s v="Small"/>
    <n v="1119.93"/>
  </r>
  <r>
    <n v="10215"/>
    <n v="46"/>
    <n v="45.28"/>
    <n v="1"/>
    <n v="2082.88"/>
    <d v="2004-01-29T00:00:00"/>
    <s v="Shipped"/>
    <n v="1"/>
    <x v="7"/>
    <n v="2004"/>
    <x v="3"/>
    <n v="50"/>
    <s v="S18_4668"/>
    <s v="West Coast Collectables Co."/>
    <n v="3105553722"/>
    <s v="3675 Furth Circle"/>
    <m/>
    <s v="Burbank"/>
    <s v="CA"/>
    <n v="94019"/>
    <s v="USA"/>
    <s v="NA"/>
    <s v="Thompson"/>
    <s v="Steve"/>
    <s v="Small"/>
    <n v="2082.88"/>
  </r>
  <r>
    <n v="10229"/>
    <n v="39"/>
    <n v="40.25"/>
    <n v="14"/>
    <n v="1569.75"/>
    <d v="2004-03-11T00:00:00"/>
    <s v="Shipped"/>
    <n v="1"/>
    <x v="11"/>
    <n v="2004"/>
    <x v="3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  <n v="1569.75"/>
  </r>
  <r>
    <n v="10245"/>
    <n v="45"/>
    <n v="59.87"/>
    <n v="7"/>
    <n v="2694.15"/>
    <d v="2004-05-04T00:00:00"/>
    <s v="Shipped"/>
    <n v="2"/>
    <x v="1"/>
    <n v="2004"/>
    <x v="3"/>
    <n v="50"/>
    <s v="S18_4668"/>
    <s v="Super Scale Inc."/>
    <n v="2035559545"/>
    <s v="567 North Pendale Street"/>
    <m/>
    <s v="New Haven"/>
    <s v="CT"/>
    <n v="97823"/>
    <s v="USA"/>
    <s v="NA"/>
    <s v="Murphy"/>
    <s v="Leslie"/>
    <s v="Small"/>
    <n v="2694.15"/>
  </r>
  <r>
    <n v="10258"/>
    <n v="21"/>
    <n v="59.87"/>
    <n v="4"/>
    <n v="1257.27"/>
    <d v="2004-06-15T00:00:00"/>
    <s v="Shipped"/>
    <n v="2"/>
    <x v="9"/>
    <n v="2004"/>
    <x v="3"/>
    <n v="50"/>
    <s v="S18_4668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1257.27"/>
  </r>
  <r>
    <n v="10270"/>
    <n v="44"/>
    <n v="58.36"/>
    <n v="7"/>
    <n v="2567.84"/>
    <d v="2004-07-19T00:00:00"/>
    <s v="Shipped"/>
    <n v="3"/>
    <x v="2"/>
    <n v="2004"/>
    <x v="3"/>
    <n v="50"/>
    <s v="S18_466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567.84"/>
  </r>
  <r>
    <n v="10281"/>
    <n v="44"/>
    <n v="59.87"/>
    <n v="14"/>
    <n v="2634.28"/>
    <d v="2004-08-19T00:00:00"/>
    <s v="Shipped"/>
    <n v="3"/>
    <x v="3"/>
    <n v="2004"/>
    <x v="3"/>
    <n v="50"/>
    <s v="S18_4668"/>
    <s v="Diecast Classics Inc."/>
    <n v="2155551555"/>
    <s v="7586 Pompton St."/>
    <m/>
    <s v="Allentown"/>
    <s v="PA"/>
    <n v="70267"/>
    <s v="USA"/>
    <s v="NA"/>
    <s v="Yu"/>
    <s v="Kyung"/>
    <s v="Small"/>
    <n v="2634.2799999999997"/>
  </r>
  <r>
    <n v="10291"/>
    <n v="29"/>
    <n v="51.82"/>
    <n v="9"/>
    <n v="1502.78"/>
    <d v="2004-09-08T00:00:00"/>
    <s v="Shipped"/>
    <n v="3"/>
    <x v="10"/>
    <n v="2004"/>
    <x v="3"/>
    <n v="50"/>
    <s v="S18_4668"/>
    <s v="Scandinavian Gift Ideas"/>
    <s v="0695-34 6555"/>
    <s v="?kergatan 24"/>
    <m/>
    <s v="Boras"/>
    <m/>
    <s v="S-844 67"/>
    <s v="Sweden"/>
    <s v="EMEA"/>
    <s v="Larsson"/>
    <s v="Maria"/>
    <s v="Small"/>
    <n v="1502.78"/>
  </r>
  <r>
    <n v="10304"/>
    <n v="34"/>
    <n v="49.3"/>
    <n v="4"/>
    <n v="1676.2"/>
    <d v="2004-10-11T00:00:00"/>
    <s v="Shipped"/>
    <n v="4"/>
    <x v="4"/>
    <n v="2004"/>
    <x v="3"/>
    <n v="50"/>
    <s v="S18_4668"/>
    <s v="Auto Assoc. &amp; Cie."/>
    <s v="30.59.8555"/>
    <s v="67, avenue de l'Europe"/>
    <m/>
    <s v="Versailles"/>
    <m/>
    <n v="78000"/>
    <s v="France"/>
    <s v="EMEA"/>
    <s v="Tonini"/>
    <s v="Daniel"/>
    <s v="Small"/>
    <n v="1676.1999999999998"/>
  </r>
  <r>
    <n v="10312"/>
    <n v="39"/>
    <n v="56.85"/>
    <n v="1"/>
    <n v="2217.15"/>
    <d v="2004-10-21T00:00:00"/>
    <s v="Shipped"/>
    <n v="4"/>
    <x v="4"/>
    <n v="2004"/>
    <x v="3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  <n v="2217.15"/>
  </r>
  <r>
    <n v="10324"/>
    <n v="38"/>
    <n v="100"/>
    <n v="6"/>
    <n v="6832.02"/>
    <d v="2004-11-05T00:00:00"/>
    <s v="Shipped"/>
    <n v="4"/>
    <x v="5"/>
    <n v="2004"/>
    <x v="3"/>
    <n v="50"/>
    <s v="S18_4668"/>
    <s v="Vitachrome Inc."/>
    <n v="2125551500"/>
    <s v="2678 Kingston Rd."/>
    <s v="Suite 101"/>
    <s v="NYC"/>
    <s v="NY"/>
    <n v="10022"/>
    <s v="USA"/>
    <s v="NA"/>
    <s v="Frick"/>
    <s v="Michael"/>
    <s v="Medium"/>
    <n v="3800"/>
  </r>
  <r>
    <n v="10333"/>
    <n v="24"/>
    <n v="79.86"/>
    <n v="8"/>
    <n v="1916.64"/>
    <d v="2004-11-18T00:00:00"/>
    <s v="Shipped"/>
    <n v="4"/>
    <x v="5"/>
    <n v="2004"/>
    <x v="3"/>
    <n v="50"/>
    <s v="S18_4668"/>
    <s v="Mini Wheels Co."/>
    <n v="6505555787"/>
    <s v="5557 North Pendale Street"/>
    <m/>
    <s v="San Francisco"/>
    <s v="CA"/>
    <m/>
    <s v="USA"/>
    <s v="NA"/>
    <s v="Murphy"/>
    <s v="Julie"/>
    <s v="Small"/>
    <n v="1916.6399999999999"/>
  </r>
  <r>
    <n v="10348"/>
    <n v="29"/>
    <n v="100"/>
    <n v="6"/>
    <n v="7110.8"/>
    <d v="2004-11-01T00:00:00"/>
    <s v="Shipped"/>
    <n v="4"/>
    <x v="5"/>
    <n v="2004"/>
    <x v="3"/>
    <n v="50"/>
    <s v="S18_4668"/>
    <s v="Corrida Auto Replicas, Ltd"/>
    <s v="(91) 555 22 82"/>
    <s v="C/ Araquil, 67"/>
    <m/>
    <s v="Madrid"/>
    <m/>
    <n v="28023"/>
    <s v="Spain"/>
    <s v="EMEA"/>
    <s v="Sommer"/>
    <s v="Mart¡n"/>
    <s v="Large"/>
    <n v="2900"/>
  </r>
  <r>
    <n v="10358"/>
    <n v="30"/>
    <n v="100"/>
    <n v="8"/>
    <n v="5302.8"/>
    <d v="2004-12-10T00:00:00"/>
    <s v="Shipped"/>
    <n v="4"/>
    <x v="6"/>
    <n v="2004"/>
    <x v="3"/>
    <n v="50"/>
    <s v="S18_4668"/>
    <s v="Euro Shopping Channel"/>
    <s v="(91) 555 94 44"/>
    <s v="C/ Moralzarzal, 86"/>
    <m/>
    <s v="Madrid"/>
    <m/>
    <n v="28034"/>
    <s v="Spain"/>
    <s v="EMEA"/>
    <s v="Freyre"/>
    <s v="Diego"/>
    <s v="Medium"/>
    <n v="3000"/>
  </r>
  <r>
    <n v="10370"/>
    <n v="20"/>
    <n v="100"/>
    <n v="2"/>
    <n v="2730"/>
    <d v="2005-01-20T00:00:00"/>
    <s v="Shipped"/>
    <n v="1"/>
    <x v="7"/>
    <n v="2005"/>
    <x v="3"/>
    <n v="50"/>
    <s v="S18_466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000"/>
  </r>
  <r>
    <n v="10382"/>
    <n v="39"/>
    <n v="100"/>
    <n v="2"/>
    <n v="7827.3"/>
    <d v="2005-02-17T00:00:00"/>
    <s v="Shipped"/>
    <n v="1"/>
    <x v="0"/>
    <n v="2005"/>
    <x v="3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Large"/>
    <n v="3900"/>
  </r>
  <r>
    <n v="10411"/>
    <n v="35"/>
    <n v="59.87"/>
    <n v="7"/>
    <n v="2095.4499999999998"/>
    <d v="2005-05-01T00:00:00"/>
    <s v="Shipped"/>
    <n v="2"/>
    <x v="1"/>
    <n v="2005"/>
    <x v="3"/>
    <n v="50"/>
    <s v="S18_4668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2095.4499999999998"/>
  </r>
  <r>
    <n v="10424"/>
    <n v="26"/>
    <n v="59.87"/>
    <n v="4"/>
    <n v="1556.62"/>
    <d v="2005-05-31T00:00:00"/>
    <s v="In Process"/>
    <n v="2"/>
    <x v="1"/>
    <n v="2005"/>
    <x v="3"/>
    <n v="50"/>
    <s v="S18_4668"/>
    <s v="Euro Shopping Channel"/>
    <s v="(91) 555 94 44"/>
    <s v="C/ Moralzarzal, 86"/>
    <m/>
    <s v="Madrid"/>
    <m/>
    <n v="28034"/>
    <s v="Spain"/>
    <s v="EMEA"/>
    <s v="Freyre"/>
    <s v="Diego"/>
    <s v="Small"/>
    <n v="1556.62"/>
  </r>
  <r>
    <n v="10108"/>
    <n v="44"/>
    <n v="100"/>
    <n v="11"/>
    <n v="5565.12"/>
    <d v="2003-03-03T00:00:00"/>
    <s v="Shipped"/>
    <n v="1"/>
    <x v="11"/>
    <n v="2003"/>
    <x v="1"/>
    <n v="148"/>
    <s v="S18_472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4400"/>
  </r>
  <r>
    <n v="10122"/>
    <n v="28"/>
    <n v="100"/>
    <n v="15"/>
    <n v="3583.16"/>
    <d v="2003-05-08T00:00:00"/>
    <s v="Shipped"/>
    <n v="2"/>
    <x v="1"/>
    <n v="2003"/>
    <x v="1"/>
    <n v="148"/>
    <s v="S18_4721"/>
    <s v="Marseille Mini Autos"/>
    <s v="91.24.4555"/>
    <s v="12, rue des Bouchers"/>
    <m/>
    <s v="Marseille"/>
    <m/>
    <n v="13008"/>
    <s v="France"/>
    <s v="EMEA"/>
    <s v="Lebihan"/>
    <s v="Laurence"/>
    <s v="Medium"/>
    <n v="2800"/>
  </r>
  <r>
    <n v="10135"/>
    <n v="31"/>
    <n v="100"/>
    <n v="12"/>
    <n v="4705.18"/>
    <d v="2003-07-02T00:00:00"/>
    <s v="Shipped"/>
    <n v="3"/>
    <x v="2"/>
    <n v="2003"/>
    <x v="1"/>
    <n v="148"/>
    <s v="S18_4721"/>
    <s v="Mini Gifts Distributors Ltd."/>
    <n v="4155551450"/>
    <s v="5677 Strong St."/>
    <m/>
    <s v="San Rafael"/>
    <s v="CA"/>
    <n v="97562"/>
    <s v="USA"/>
    <s v="NA"/>
    <s v="Nelson"/>
    <s v="Valarie"/>
    <s v="Medium"/>
    <n v="3100"/>
  </r>
  <r>
    <n v="10146"/>
    <n v="29"/>
    <n v="100"/>
    <n v="1"/>
    <n v="4444.54"/>
    <d v="2003-09-03T00:00:00"/>
    <s v="Shipped"/>
    <n v="3"/>
    <x v="10"/>
    <n v="2003"/>
    <x v="1"/>
    <n v="148"/>
    <s v="S18_4721"/>
    <s v="Gift Ideas Corp."/>
    <n v="2035554407"/>
    <s v="2440 Pompton St."/>
    <m/>
    <s v="Glendale"/>
    <s v="CT"/>
    <n v="97561"/>
    <s v="USA"/>
    <s v="NA"/>
    <s v="Lewis"/>
    <s v="Dan"/>
    <s v="Medium"/>
    <n v="2900"/>
  </r>
  <r>
    <n v="10159"/>
    <n v="32"/>
    <n v="100"/>
    <n v="7"/>
    <n v="4618.88"/>
    <d v="2003-10-10T00:00:00"/>
    <s v="Shipped"/>
    <n v="4"/>
    <x v="4"/>
    <n v="2003"/>
    <x v="1"/>
    <n v="148"/>
    <s v="S18_4721"/>
    <s v="Corporate Gift Ideas Co."/>
    <n v="6505551386"/>
    <s v="7734 Strong St."/>
    <m/>
    <s v="San Francisco"/>
    <s v="CA"/>
    <m/>
    <s v="USA"/>
    <s v="NA"/>
    <s v="Brown"/>
    <s v="Julie"/>
    <s v="Medium"/>
    <n v="3200"/>
  </r>
  <r>
    <n v="10169"/>
    <n v="33"/>
    <n v="100"/>
    <n v="7"/>
    <n v="4910.3999999999996"/>
    <d v="2003-11-04T00:00:00"/>
    <s v="Shipped"/>
    <n v="4"/>
    <x v="5"/>
    <n v="2003"/>
    <x v="1"/>
    <n v="148"/>
    <s v="S18_4721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300"/>
  </r>
  <r>
    <n v="10180"/>
    <n v="44"/>
    <n v="100"/>
    <n v="2"/>
    <n v="5565.12"/>
    <d v="2003-11-11T00:00:00"/>
    <s v="Shipped"/>
    <n v="4"/>
    <x v="5"/>
    <n v="2003"/>
    <x v="1"/>
    <n v="148"/>
    <s v="S18_4721"/>
    <s v="Daedalus Designs Imports"/>
    <s v="20.16.1555"/>
    <s v="184, chausse de Tournai"/>
    <m/>
    <s v="Lille"/>
    <m/>
    <n v="59000"/>
    <s v="France"/>
    <s v="EMEA"/>
    <s v="Rance"/>
    <s v="Martine"/>
    <s v="Medium"/>
    <n v="4400"/>
  </r>
  <r>
    <n v="10191"/>
    <n v="32"/>
    <n v="100"/>
    <n v="8"/>
    <n v="4237.76"/>
    <d v="2003-11-20T00:00:00"/>
    <s v="Shipped"/>
    <n v="4"/>
    <x v="5"/>
    <n v="2003"/>
    <x v="1"/>
    <n v="148"/>
    <s v="S18_4721"/>
    <s v="Toms Spezialitten, Ltd"/>
    <s v="0221-5554327"/>
    <s v="Mehrheimerstr. 369"/>
    <m/>
    <s v="Koln"/>
    <m/>
    <n v="50739"/>
    <s v="Germany"/>
    <s v="EMEA"/>
    <s v="Pfalzheim"/>
    <s v="Henriette"/>
    <s v="Medium"/>
    <n v="3200"/>
  </r>
  <r>
    <n v="10211"/>
    <n v="41"/>
    <n v="100"/>
    <n v="7"/>
    <n v="5673.58"/>
    <d v="2004-01-15T00:00:00"/>
    <s v="Shipped"/>
    <n v="1"/>
    <x v="7"/>
    <n v="2004"/>
    <x v="1"/>
    <n v="148"/>
    <s v="S18_4721"/>
    <s v="Auto Canal Petit"/>
    <s v="(1) 47.55.6555"/>
    <s v="25, rue Lauriston"/>
    <m/>
    <s v="Paris"/>
    <m/>
    <n v="75016"/>
    <s v="France"/>
    <s v="EMEA"/>
    <s v="Perrier"/>
    <s v="Dominique"/>
    <s v="Medium"/>
    <n v="4100"/>
  </r>
  <r>
    <n v="10225"/>
    <n v="35"/>
    <n v="100"/>
    <n v="14"/>
    <n v="5260.15"/>
    <d v="2004-02-22T00:00:00"/>
    <s v="Shipped"/>
    <n v="1"/>
    <x v="0"/>
    <n v="2004"/>
    <x v="1"/>
    <n v="148"/>
    <s v="S18_4721"/>
    <s v="Vida Sport, Ltd"/>
    <s v="0897-034555"/>
    <s v="Grenzacherweg 237"/>
    <m/>
    <s v="Gensve"/>
    <m/>
    <n v="1203"/>
    <s v="Switzerland"/>
    <s v="EMEA"/>
    <s v="Holz"/>
    <s v="Michael"/>
    <s v="Medium"/>
    <n v="3500"/>
  </r>
  <r>
    <n v="10238"/>
    <n v="44"/>
    <n v="100"/>
    <n v="8"/>
    <n v="6350.96"/>
    <d v="2004-04-09T00:00:00"/>
    <s v="Shipped"/>
    <n v="2"/>
    <x v="8"/>
    <n v="2004"/>
    <x v="1"/>
    <n v="148"/>
    <s v="S18_4721"/>
    <s v="Danish Wholesale Imports"/>
    <s v="31 12 3555"/>
    <s v="Vinb'ltet 34"/>
    <m/>
    <s v="Kobenhavn"/>
    <m/>
    <n v="1734"/>
    <s v="Denmark"/>
    <s v="EMEA"/>
    <s v="Petersen"/>
    <s v="Jytte"/>
    <s v="Medium"/>
    <n v="4400"/>
  </r>
  <r>
    <n v="10252"/>
    <n v="26"/>
    <n v="100"/>
    <n v="4"/>
    <n v="3559.4"/>
    <d v="2004-05-26T00:00:00"/>
    <s v="Shipped"/>
    <n v="2"/>
    <x v="1"/>
    <n v="2004"/>
    <x v="1"/>
    <n v="148"/>
    <s v="S18_4721"/>
    <s v="Auto Canal Petit"/>
    <s v="(1) 47.55.6555"/>
    <s v="25, rue Lauriston"/>
    <m/>
    <s v="Paris"/>
    <m/>
    <n v="75016"/>
    <s v="France"/>
    <s v="EMEA"/>
    <s v="Perrier"/>
    <s v="Dominique"/>
    <s v="Medium"/>
    <n v="2600"/>
  </r>
  <r>
    <n v="10264"/>
    <n v="20"/>
    <n v="100"/>
    <n v="2"/>
    <n v="2410.6"/>
    <d v="2004-06-30T00:00:00"/>
    <s v="Shipped"/>
    <n v="2"/>
    <x v="9"/>
    <n v="2004"/>
    <x v="1"/>
    <n v="148"/>
    <s v="S18_4721"/>
    <s v="Gifts4AllAges.com"/>
    <n v="6175559555"/>
    <s v="8616 Spinnaker Dr."/>
    <m/>
    <s v="Boston"/>
    <s v="MA"/>
    <n v="51003"/>
    <s v="USA"/>
    <s v="NA"/>
    <s v="Yoshido"/>
    <s v="Juri"/>
    <s v="Small"/>
    <n v="2000"/>
  </r>
  <r>
    <n v="10276"/>
    <n v="48"/>
    <n v="100"/>
    <n v="8"/>
    <n v="5713.92"/>
    <d v="2004-08-02T00:00:00"/>
    <s v="Shipped"/>
    <n v="3"/>
    <x v="3"/>
    <n v="2004"/>
    <x v="1"/>
    <n v="148"/>
    <s v="S18_4721"/>
    <s v="Online Mini Collectables"/>
    <n v="6175557555"/>
    <s v="7635 Spinnaker Dr."/>
    <m/>
    <s v="Brickhaven"/>
    <s v="MA"/>
    <n v="58339"/>
    <s v="USA"/>
    <s v="NA"/>
    <s v="Barajas"/>
    <s v="Miguel"/>
    <s v="Medium"/>
    <n v="4800"/>
  </r>
  <r>
    <n v="10287"/>
    <n v="34"/>
    <n v="100"/>
    <n v="17"/>
    <n v="4300.32"/>
    <d v="2004-08-30T00:00:00"/>
    <s v="Shipped"/>
    <n v="3"/>
    <x v="3"/>
    <n v="2004"/>
    <x v="1"/>
    <n v="148"/>
    <s v="S18_4721"/>
    <s v="Vida Sport, Ltd"/>
    <s v="0897-034555"/>
    <s v="Grenzacherweg 237"/>
    <m/>
    <s v="Gensve"/>
    <m/>
    <n v="1203"/>
    <s v="Switzerland"/>
    <s v="EMEA"/>
    <s v="Holz"/>
    <s v="Michael"/>
    <s v="Medium"/>
    <n v="3400"/>
  </r>
  <r>
    <n v="10299"/>
    <n v="49"/>
    <n v="100"/>
    <n v="2"/>
    <n v="7947.31"/>
    <d v="2004-09-30T00:00:00"/>
    <s v="Shipped"/>
    <n v="3"/>
    <x v="10"/>
    <n v="2004"/>
    <x v="1"/>
    <n v="148"/>
    <s v="S18_4721"/>
    <s v="Toys of Finland, Co."/>
    <s v="90-224 8555"/>
    <s v="Keskuskatu 45"/>
    <m/>
    <s v="Helsinki"/>
    <m/>
    <n v="21240"/>
    <s v="Finland"/>
    <s v="EMEA"/>
    <s v="Karttunen"/>
    <s v="Matti"/>
    <s v="Large"/>
    <n v="4900"/>
  </r>
  <r>
    <n v="10310"/>
    <n v="40"/>
    <n v="100"/>
    <n v="15"/>
    <n v="5356.8"/>
    <d v="2004-10-16T00:00:00"/>
    <s v="Shipped"/>
    <n v="4"/>
    <x v="4"/>
    <n v="2004"/>
    <x v="1"/>
    <n v="148"/>
    <s v="S18_4721"/>
    <s v="Toms Spezialitten, Ltd"/>
    <s v="0221-5554327"/>
    <s v="Mehrheimerstr. 369"/>
    <m/>
    <s v="Koln"/>
    <m/>
    <n v="50739"/>
    <s v="Germany"/>
    <s v="EMEA"/>
    <s v="Pfalzheim"/>
    <s v="Henriette"/>
    <s v="Medium"/>
    <n v="4000"/>
  </r>
  <r>
    <n v="10319"/>
    <n v="45"/>
    <n v="100"/>
    <n v="3"/>
    <n v="7901.1"/>
    <d v="2004-11-03T00:00:00"/>
    <s v="Shipped"/>
    <n v="4"/>
    <x v="5"/>
    <n v="2004"/>
    <x v="1"/>
    <n v="148"/>
    <s v="S18_4721"/>
    <s v="Microscale Inc."/>
    <n v="2125551957"/>
    <s v="5290 North Pendale Street"/>
    <s v="Suite 200"/>
    <s v="NYC"/>
    <s v="NY"/>
    <n v="10022"/>
    <s v="USA"/>
    <s v="NA"/>
    <s v="Kuo"/>
    <s v="Kee"/>
    <s v="Large"/>
    <n v="4500"/>
  </r>
  <r>
    <n v="10330"/>
    <n v="50"/>
    <n v="100"/>
    <n v="4"/>
    <n v="6101"/>
    <d v="2004-11-16T00:00:00"/>
    <s v="Shipped"/>
    <n v="4"/>
    <x v="5"/>
    <n v="2004"/>
    <x v="1"/>
    <n v="148"/>
    <s v="S18_472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5000"/>
  </r>
  <r>
    <n v="10342"/>
    <n v="38"/>
    <n v="100"/>
    <n v="11"/>
    <n v="6276.46"/>
    <d v="2004-11-24T00:00:00"/>
    <s v="Shipped"/>
    <n v="4"/>
    <x v="5"/>
    <n v="2004"/>
    <x v="1"/>
    <n v="148"/>
    <s v="S18_472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800"/>
  </r>
  <r>
    <n v="10355"/>
    <n v="25"/>
    <n v="100"/>
    <n v="2"/>
    <n v="4203.5"/>
    <d v="2004-12-07T00:00:00"/>
    <s v="Shipped"/>
    <n v="4"/>
    <x v="6"/>
    <n v="2004"/>
    <x v="1"/>
    <n v="148"/>
    <s v="S18_4721"/>
    <s v="Euro Shopping Channel"/>
    <s v="(91) 555 94 44"/>
    <s v="C/ Moralzarzal, 86"/>
    <m/>
    <s v="Madrid"/>
    <m/>
    <n v="28034"/>
    <s v="Spain"/>
    <s v="EMEA"/>
    <s v="Freyre"/>
    <s v="Diego"/>
    <s v="Medium"/>
    <n v="2500"/>
  </r>
  <r>
    <n v="10363"/>
    <n v="28"/>
    <n v="58.18"/>
    <n v="13"/>
    <n v="1629.04"/>
    <d v="2005-01-06T00:00:00"/>
    <s v="Shipped"/>
    <n v="1"/>
    <x v="7"/>
    <n v="2005"/>
    <x v="1"/>
    <n v="148"/>
    <s v="S18_4721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1629.04"/>
  </r>
  <r>
    <n v="10378"/>
    <n v="49"/>
    <n v="67.14"/>
    <n v="8"/>
    <n v="3289.86"/>
    <d v="2005-02-10T00:00:00"/>
    <s v="Shipped"/>
    <n v="1"/>
    <x v="0"/>
    <n v="2005"/>
    <x v="1"/>
    <n v="148"/>
    <s v="S18_4721"/>
    <s v="Euro Shopping Channel"/>
    <s v="(91) 555 94 44"/>
    <s v="C/ Moralzarzal, 86"/>
    <m/>
    <s v="Madrid"/>
    <m/>
    <n v="28034"/>
    <s v="Spain"/>
    <s v="EMEA"/>
    <s v="Freyre"/>
    <s v="Diego"/>
    <s v="Medium"/>
    <n v="3289.86"/>
  </r>
  <r>
    <n v="10390"/>
    <n v="49"/>
    <n v="100"/>
    <n v="3"/>
    <n v="6862.94"/>
    <d v="2005-03-04T00:00:00"/>
    <s v="Shipped"/>
    <n v="1"/>
    <x v="11"/>
    <n v="2005"/>
    <x v="1"/>
    <n v="148"/>
    <s v="S18_4721"/>
    <s v="Mini Gifts Distributors Ltd."/>
    <n v="4155551450"/>
    <s v="5677 Strong St."/>
    <m/>
    <s v="San Rafael"/>
    <s v="CA"/>
    <n v="97562"/>
    <s v="USA"/>
    <s v="NA"/>
    <s v="Nelson"/>
    <s v="Valarie"/>
    <s v="Medium"/>
    <n v="4900"/>
  </r>
  <r>
    <n v="10110"/>
    <n v="42"/>
    <n v="61.29"/>
    <n v="9"/>
    <n v="2574.1799999999998"/>
    <d v="2003-03-18T00:00:00"/>
    <s v="Shipped"/>
    <n v="1"/>
    <x v="11"/>
    <n v="2003"/>
    <x v="1"/>
    <n v="71"/>
    <s v="S18_4933"/>
    <s v="AV Stores, Co."/>
    <s v="(171) 555-1555"/>
    <s v="Fauntleroy Circus"/>
    <m/>
    <s v="Manchester"/>
    <m/>
    <s v="EC2 5NT"/>
    <s v="UK"/>
    <s v="EMEA"/>
    <s v="Ashworth"/>
    <s v="Victoria"/>
    <s v="Small"/>
    <n v="2574.1799999999998"/>
  </r>
  <r>
    <n v="10124"/>
    <n v="23"/>
    <n v="57.73"/>
    <n v="8"/>
    <n v="1327.79"/>
    <d v="2003-05-21T00:00:00"/>
    <s v="Shipped"/>
    <n v="2"/>
    <x v="1"/>
    <n v="2003"/>
    <x v="1"/>
    <n v="71"/>
    <s v="S18_4933"/>
    <s v="Signal Gift Stores"/>
    <n v="7025551838"/>
    <s v="8489 Strong St."/>
    <m/>
    <s v="Las Vegas"/>
    <s v="NV"/>
    <n v="83030"/>
    <s v="USA"/>
    <s v="NA"/>
    <s v="King"/>
    <s v="Sue"/>
    <s v="Small"/>
    <n v="1327.79"/>
  </r>
  <r>
    <n v="10148"/>
    <n v="29"/>
    <n v="81.25"/>
    <n v="2"/>
    <n v="2356.25"/>
    <d v="2003-09-11T00:00:00"/>
    <s v="Shipped"/>
    <n v="3"/>
    <x v="10"/>
    <n v="2003"/>
    <x v="1"/>
    <n v="71"/>
    <s v="S18_4933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356.25"/>
  </r>
  <r>
    <n v="10161"/>
    <n v="25"/>
    <n v="80.540000000000006"/>
    <n v="1"/>
    <n v="2013.5"/>
    <d v="2003-10-17T00:00:00"/>
    <s v="Shipped"/>
    <n v="4"/>
    <x v="4"/>
    <n v="2003"/>
    <x v="1"/>
    <n v="71"/>
    <s v="S18_4933"/>
    <s v="Heintze Collectables"/>
    <s v="86 21 3555"/>
    <s v="Smagsloget 45"/>
    <m/>
    <s v="Aaarhus"/>
    <m/>
    <n v="8200"/>
    <s v="Denmark"/>
    <s v="EMEA"/>
    <s v="Ibsen"/>
    <s v="Palle"/>
    <s v="Small"/>
    <n v="2013.5000000000002"/>
  </r>
  <r>
    <n v="10173"/>
    <n v="39"/>
    <n v="71.98"/>
    <n v="15"/>
    <n v="2807.22"/>
    <d v="2003-11-05T00:00:00"/>
    <s v="Shipped"/>
    <n v="4"/>
    <x v="5"/>
    <n v="2003"/>
    <x v="1"/>
    <n v="71"/>
    <s v="S18_4933"/>
    <s v="Rovelli Gifts"/>
    <s v="035-640555"/>
    <s v="Via Ludovico il Moro 22"/>
    <m/>
    <s v="Bergamo"/>
    <m/>
    <n v="24100"/>
    <s v="Italy"/>
    <s v="EMEA"/>
    <s v="Rovelli"/>
    <s v="Giovanni"/>
    <s v="Small"/>
    <n v="2807.2200000000003"/>
  </r>
  <r>
    <n v="10182"/>
    <n v="44"/>
    <n v="69.84"/>
    <n v="12"/>
    <n v="3072.96"/>
    <d v="2003-11-12T00:00:00"/>
    <s v="Shipped"/>
    <n v="4"/>
    <x v="5"/>
    <n v="2003"/>
    <x v="1"/>
    <n v="71"/>
    <s v="S18_4933"/>
    <s v="Mini Gifts Distributors Ltd."/>
    <n v="4155551450"/>
    <s v="5677 Strong St."/>
    <m/>
    <s v="San Rafael"/>
    <s v="CA"/>
    <n v="97562"/>
    <s v="USA"/>
    <s v="NA"/>
    <s v="Nelson"/>
    <s v="Valarie"/>
    <s v="Medium"/>
    <n v="3072.96"/>
  </r>
  <r>
    <n v="10193"/>
    <n v="25"/>
    <n v="76.260000000000005"/>
    <n v="16"/>
    <n v="1906.5"/>
    <d v="2003-11-21T00:00:00"/>
    <s v="Shipped"/>
    <n v="4"/>
    <x v="5"/>
    <n v="2003"/>
    <x v="1"/>
    <n v="71"/>
    <s v="S18_4933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1906.5000000000002"/>
  </r>
  <r>
    <n v="10204"/>
    <n v="45"/>
    <n v="76.260000000000005"/>
    <n v="6"/>
    <n v="3431.7"/>
    <d v="2003-12-02T00:00:00"/>
    <s v="Shipped"/>
    <n v="4"/>
    <x v="6"/>
    <n v="2003"/>
    <x v="1"/>
    <n v="71"/>
    <s v="S18_4933"/>
    <s v="Muscle Machine Inc"/>
    <n v="2125557413"/>
    <s v="4092 Furth Circle"/>
    <s v="Suite 400"/>
    <s v="NYC"/>
    <s v="NY"/>
    <n v="10022"/>
    <s v="USA"/>
    <s v="NA"/>
    <s v="Young"/>
    <s v="Jeff"/>
    <s v="Medium"/>
    <n v="3431.7000000000003"/>
  </r>
  <r>
    <n v="10213"/>
    <n v="25"/>
    <n v="83.39"/>
    <n v="2"/>
    <n v="2084.75"/>
    <d v="2004-01-22T00:00:00"/>
    <s v="Shipped"/>
    <n v="1"/>
    <x v="7"/>
    <n v="2004"/>
    <x v="1"/>
    <n v="71"/>
    <s v="S18_4933"/>
    <s v="Double Decker Gift Stores, Ltd"/>
    <s v="(171) 555-7555"/>
    <s v="120 Hanover Sq."/>
    <m/>
    <s v="London"/>
    <m/>
    <s v="WA1 1DP"/>
    <s v="UK"/>
    <s v="EMEA"/>
    <s v="Hardy"/>
    <s v="Thomas"/>
    <s v="Small"/>
    <n v="2084.75"/>
  </r>
  <r>
    <n v="10227"/>
    <n v="37"/>
    <n v="57.73"/>
    <n v="12"/>
    <n v="2136.0100000000002"/>
    <d v="2004-03-02T00:00:00"/>
    <s v="Shipped"/>
    <n v="1"/>
    <x v="11"/>
    <n v="2004"/>
    <x v="1"/>
    <n v="71"/>
    <s v="S18_4933"/>
    <s v="Saveley &amp; Henriot, Co."/>
    <s v="78.32.5555"/>
    <s v="2, rue du Commerce"/>
    <m/>
    <s v="Lyon"/>
    <m/>
    <n v="69004"/>
    <s v="France"/>
    <s v="EMEA"/>
    <s v="Saveley"/>
    <s v="Mary"/>
    <s v="Small"/>
    <n v="2136.0099999999998"/>
  </r>
  <r>
    <n v="10241"/>
    <n v="30"/>
    <n v="66.989999999999995"/>
    <n v="4"/>
    <n v="2009.7"/>
    <d v="2004-04-13T00:00:00"/>
    <s v="Shipped"/>
    <n v="2"/>
    <x v="8"/>
    <n v="2004"/>
    <x v="1"/>
    <n v="71"/>
    <s v="S18_4933"/>
    <s v="Mini Caravy"/>
    <s v="88.60.1555"/>
    <s v="24, place Kluber"/>
    <m/>
    <s v="Strasbourg"/>
    <m/>
    <n v="67000"/>
    <s v="France"/>
    <s v="EMEA"/>
    <s v="Citeaux"/>
    <s v="Frederique"/>
    <s v="Small"/>
    <n v="2009.6999999999998"/>
  </r>
  <r>
    <n v="10267"/>
    <n v="36"/>
    <n v="75.55"/>
    <n v="1"/>
    <n v="2719.8"/>
    <d v="2004-07-07T00:00:00"/>
    <s v="Shipped"/>
    <n v="3"/>
    <x v="2"/>
    <n v="2004"/>
    <x v="1"/>
    <n v="71"/>
    <s v="S18_4933"/>
    <s v="Muscle Machine Inc"/>
    <n v="2125557413"/>
    <s v="4092 Furth Circle"/>
    <s v="Suite 400"/>
    <s v="NYC"/>
    <s v="NY"/>
    <n v="10022"/>
    <s v="USA"/>
    <s v="NA"/>
    <s v="Young"/>
    <s v="Jeff"/>
    <s v="Small"/>
    <n v="2719.7999999999997"/>
  </r>
  <r>
    <n v="10279"/>
    <n v="26"/>
    <n v="60.58"/>
    <n v="1"/>
    <n v="1575.08"/>
    <d v="2004-08-09T00:00:00"/>
    <s v="Shipped"/>
    <n v="3"/>
    <x v="3"/>
    <n v="2004"/>
    <x v="1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Small"/>
    <n v="1575.08"/>
  </r>
  <r>
    <n v="10288"/>
    <n v="23"/>
    <n v="73.41"/>
    <n v="7"/>
    <n v="1688.43"/>
    <d v="2004-09-01T00:00:00"/>
    <s v="Shipped"/>
    <n v="3"/>
    <x v="10"/>
    <n v="2004"/>
    <x v="1"/>
    <n v="71"/>
    <s v="S18_4933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688.4299999999998"/>
  </r>
  <r>
    <n v="10302"/>
    <n v="23"/>
    <n v="72.7"/>
    <n v="3"/>
    <n v="1672.1"/>
    <d v="2003-10-06T00:00:00"/>
    <s v="Shipped"/>
    <n v="4"/>
    <x v="4"/>
    <n v="2003"/>
    <x v="1"/>
    <n v="71"/>
    <s v="S18_4933"/>
    <s v="UK Collectables, Ltd."/>
    <s v="(171) 555-2282"/>
    <s v="Berkeley Gardens 12  Brewery"/>
    <m/>
    <s v="Liverpool"/>
    <m/>
    <s v="WX1 6LT"/>
    <s v="UK"/>
    <s v="EMEA"/>
    <s v="Devon"/>
    <s v="Elizabeth"/>
    <s v="Small"/>
    <n v="1672.1000000000001"/>
  </r>
  <r>
    <n v="10311"/>
    <n v="25"/>
    <n v="66.989999999999995"/>
    <n v="2"/>
    <n v="1674.75"/>
    <d v="2004-10-16T00:00:00"/>
    <s v="Shipped"/>
    <n v="4"/>
    <x v="4"/>
    <n v="2004"/>
    <x v="1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Small"/>
    <n v="1674.7499999999998"/>
  </r>
  <r>
    <n v="10332"/>
    <n v="21"/>
    <n v="100"/>
    <n v="3"/>
    <n v="3472.98"/>
    <d v="2004-11-17T00:00:00"/>
    <s v="Shipped"/>
    <n v="4"/>
    <x v="5"/>
    <n v="2004"/>
    <x v="1"/>
    <n v="71"/>
    <s v="S18_4933"/>
    <s v="AV Stores, Co."/>
    <s v="(171) 555-1555"/>
    <s v="Fauntleroy Circus"/>
    <m/>
    <s v="Manchester"/>
    <m/>
    <s v="EC2 5NT"/>
    <s v="UK"/>
    <s v="EMEA"/>
    <s v="Ashworth"/>
    <s v="Victoria"/>
    <s v="Medium"/>
    <n v="2100"/>
  </r>
  <r>
    <n v="10344"/>
    <n v="26"/>
    <n v="63.43"/>
    <n v="5"/>
    <n v="1649.18"/>
    <d v="2004-11-25T00:00:00"/>
    <s v="Shipped"/>
    <n v="4"/>
    <x v="5"/>
    <n v="2004"/>
    <x v="1"/>
    <n v="71"/>
    <s v="S18_4933"/>
    <s v="Marseille Mini Autos"/>
    <s v="91.24.4555"/>
    <s v="12, rue des Bouchers"/>
    <m/>
    <s v="Marseille"/>
    <m/>
    <n v="13008"/>
    <s v="France"/>
    <s v="EMEA"/>
    <s v="Lebihan"/>
    <s v="Laurence"/>
    <s v="Small"/>
    <n v="1649.18"/>
  </r>
  <r>
    <n v="10367"/>
    <n v="44"/>
    <n v="85.25"/>
    <n v="9"/>
    <n v="3751"/>
    <d v="2005-01-12T00:00:00"/>
    <s v="Resolved"/>
    <n v="1"/>
    <x v="7"/>
    <n v="2005"/>
    <x v="1"/>
    <n v="71"/>
    <s v="S18_4933"/>
    <s v="Toys4GrownUps.com"/>
    <n v="6265557265"/>
    <s v="78934 Hillside Dr."/>
    <m/>
    <s v="Pasadena"/>
    <s v="CA"/>
    <n v="90003"/>
    <s v="USA"/>
    <s v="NA"/>
    <s v="Young"/>
    <s v="Julie"/>
    <s v="Medium"/>
    <n v="3751"/>
  </r>
  <r>
    <n v="10380"/>
    <n v="24"/>
    <n v="100"/>
    <n v="2"/>
    <n v="4536"/>
    <d v="2005-02-16T00:00:00"/>
    <s v="Shipped"/>
    <n v="1"/>
    <x v="0"/>
    <n v="2005"/>
    <x v="1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Medium"/>
    <n v="2400"/>
  </r>
  <r>
    <n v="10407"/>
    <n v="66"/>
    <n v="66.989999999999995"/>
    <n v="4"/>
    <n v="4421.34"/>
    <d v="2005-04-22T00:00:00"/>
    <s v="On Hold"/>
    <n v="2"/>
    <x v="8"/>
    <n v="2005"/>
    <x v="1"/>
    <n v="71"/>
    <s v="S18_4933"/>
    <s v="The Sharp Gifts Warehouse"/>
    <n v="4085553659"/>
    <s v="3086 Ingle Ln."/>
    <m/>
    <s v="San Jose"/>
    <s v="CA"/>
    <n v="94217"/>
    <s v="USA"/>
    <s v="NA"/>
    <s v="Frick"/>
    <s v="Sue"/>
    <s v="Medium"/>
    <n v="4421.3399999999992"/>
  </r>
  <r>
    <n v="10420"/>
    <n v="36"/>
    <n v="57.73"/>
    <n v="7"/>
    <n v="2078.2800000000002"/>
    <d v="2005-05-29T00:00:00"/>
    <s v="In Process"/>
    <n v="2"/>
    <x v="1"/>
    <n v="2005"/>
    <x v="1"/>
    <n v="71"/>
    <s v="S18_4933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078.2799999999997"/>
  </r>
  <r>
    <n v="10110"/>
    <n v="36"/>
    <n v="85.25"/>
    <n v="13"/>
    <n v="3069"/>
    <d v="2003-03-18T00:00:00"/>
    <s v="Shipped"/>
    <n v="1"/>
    <x v="11"/>
    <n v="2003"/>
    <x v="1"/>
    <n v="73"/>
    <s v="S24_1046"/>
    <s v="AV Stores, Co."/>
    <s v="(171) 555-1555"/>
    <s v="Fauntleroy Circus"/>
    <m/>
    <s v="Manchester"/>
    <m/>
    <s v="EC2 5NT"/>
    <s v="UK"/>
    <s v="EMEA"/>
    <s v="Ashworth"/>
    <s v="Victoria"/>
    <s v="Medium"/>
    <n v="3069"/>
  </r>
  <r>
    <n v="10124"/>
    <n v="22"/>
    <n v="77.900000000000006"/>
    <n v="12"/>
    <n v="1713.8"/>
    <d v="2003-05-21T00:00:00"/>
    <s v="Shipped"/>
    <n v="2"/>
    <x v="1"/>
    <n v="2003"/>
    <x v="1"/>
    <n v="73"/>
    <s v="S24_1046"/>
    <s v="Signal Gift Stores"/>
    <n v="7025551838"/>
    <s v="8489 Strong St."/>
    <m/>
    <s v="Las Vegas"/>
    <s v="NV"/>
    <n v="83030"/>
    <s v="USA"/>
    <s v="NA"/>
    <s v="King"/>
    <s v="Sue"/>
    <s v="Small"/>
    <n v="1713.8000000000002"/>
  </r>
  <r>
    <n v="10148"/>
    <n v="25"/>
    <n v="60.26"/>
    <n v="6"/>
    <n v="1506.5"/>
    <d v="2003-09-11T00:00:00"/>
    <s v="Shipped"/>
    <n v="3"/>
    <x v="10"/>
    <n v="2003"/>
    <x v="1"/>
    <n v="73"/>
    <s v="S24_104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506.5"/>
  </r>
  <r>
    <n v="10161"/>
    <n v="37"/>
    <n v="72.760000000000005"/>
    <n v="5"/>
    <n v="2692.12"/>
    <d v="2003-10-17T00:00:00"/>
    <s v="Shipped"/>
    <n v="4"/>
    <x v="4"/>
    <n v="2003"/>
    <x v="1"/>
    <n v="73"/>
    <s v="S24_1046"/>
    <s v="Heintze Collectables"/>
    <s v="86 21 3555"/>
    <s v="Smagsloget 45"/>
    <m/>
    <s v="Aaarhus"/>
    <m/>
    <n v="8200"/>
    <s v="Denmark"/>
    <s v="EMEA"/>
    <s v="Ibsen"/>
    <s v="Palle"/>
    <s v="Small"/>
    <n v="2692.1200000000003"/>
  </r>
  <r>
    <n v="10172"/>
    <n v="32"/>
    <n v="75.69"/>
    <n v="3"/>
    <n v="2422.08"/>
    <d v="2003-11-05T00:00:00"/>
    <s v="Shipped"/>
    <n v="4"/>
    <x v="5"/>
    <n v="2003"/>
    <x v="1"/>
    <n v="73"/>
    <s v="S24_1046"/>
    <s v="Gift Depot Inc."/>
    <n v="2035552570"/>
    <s v="25593 South Bay Ln."/>
    <m/>
    <s v="Bridgewater"/>
    <s v="CT"/>
    <n v="97562"/>
    <s v="USA"/>
    <s v="NA"/>
    <s v="King"/>
    <s v="Julie"/>
    <s v="Small"/>
    <n v="2422.08"/>
  </r>
  <r>
    <n v="10182"/>
    <n v="47"/>
    <n v="74.22"/>
    <n v="16"/>
    <n v="3488.34"/>
    <d v="2003-11-12T00:00:00"/>
    <s v="Shipped"/>
    <n v="4"/>
    <x v="5"/>
    <n v="2003"/>
    <x v="1"/>
    <n v="73"/>
    <s v="S24_1046"/>
    <s v="Mini Gifts Distributors Ltd."/>
    <n v="4155551450"/>
    <s v="5677 Strong St."/>
    <m/>
    <s v="San Rafael"/>
    <s v="CA"/>
    <n v="97562"/>
    <s v="USA"/>
    <s v="NA"/>
    <s v="Nelson"/>
    <s v="Valarie"/>
    <s v="Medium"/>
    <n v="3488.34"/>
  </r>
  <r>
    <n v="10192"/>
    <n v="37"/>
    <n v="69.819999999999993"/>
    <n v="4"/>
    <n v="2583.34"/>
    <d v="2003-11-20T00:00:00"/>
    <s v="Shipped"/>
    <n v="4"/>
    <x v="5"/>
    <n v="2003"/>
    <x v="1"/>
    <n v="73"/>
    <s v="S24_1046"/>
    <s v="Online Diecast Creations Co."/>
    <n v="6035558647"/>
    <s v="2304 Long Airport Avenue"/>
    <m/>
    <s v="Nashua"/>
    <s v="NH"/>
    <n v="62005"/>
    <s v="USA"/>
    <s v="NA"/>
    <s v="Young"/>
    <s v="Valarie"/>
    <s v="Small"/>
    <n v="2583.3399999999997"/>
  </r>
  <r>
    <n v="10204"/>
    <n v="20"/>
    <n v="62.47"/>
    <n v="10"/>
    <n v="1249.4000000000001"/>
    <d v="2003-12-02T00:00:00"/>
    <s v="Shipped"/>
    <n v="4"/>
    <x v="6"/>
    <n v="2003"/>
    <x v="1"/>
    <n v="73"/>
    <s v="S24_1046"/>
    <s v="Muscle Machine Inc"/>
    <n v="2125557413"/>
    <s v="4092 Furth Circle"/>
    <s v="Suite 400"/>
    <s v="NYC"/>
    <s v="NY"/>
    <n v="10022"/>
    <s v="USA"/>
    <s v="NA"/>
    <s v="Young"/>
    <s v="Jeff"/>
    <s v="Small"/>
    <n v="1249.4000000000001"/>
  </r>
  <r>
    <n v="10212"/>
    <n v="41"/>
    <n v="82.31"/>
    <n v="3"/>
    <n v="3374.71"/>
    <d v="2004-01-16T00:00:00"/>
    <s v="Shipped"/>
    <n v="1"/>
    <x v="7"/>
    <n v="2004"/>
    <x v="1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Medium"/>
    <n v="3374.71"/>
  </r>
  <r>
    <n v="10226"/>
    <n v="21"/>
    <n v="60.26"/>
    <n v="1"/>
    <n v="1265.46"/>
    <d v="2004-02-26T00:00:00"/>
    <s v="Shipped"/>
    <n v="1"/>
    <x v="0"/>
    <n v="2004"/>
    <x v="1"/>
    <n v="73"/>
    <s v="S24_1046"/>
    <s v="Collectable Mini Designs Co."/>
    <n v="7605558146"/>
    <s v="361 Furth Circle"/>
    <m/>
    <s v="San Diego"/>
    <s v="CA"/>
    <n v="91217"/>
    <s v="USA"/>
    <s v="NA"/>
    <s v="Thompson"/>
    <s v="Valarie"/>
    <s v="Small"/>
    <n v="1265.46"/>
  </r>
  <r>
    <n v="10241"/>
    <n v="22"/>
    <n v="76.430000000000007"/>
    <n v="8"/>
    <n v="1681.46"/>
    <d v="2004-04-13T00:00:00"/>
    <s v="Shipped"/>
    <n v="2"/>
    <x v="8"/>
    <n v="2004"/>
    <x v="1"/>
    <n v="73"/>
    <s v="S24_1046"/>
    <s v="Mini Caravy"/>
    <s v="88.60.1555"/>
    <s v="24, place Kluber"/>
    <m/>
    <s v="Strasbourg"/>
    <m/>
    <n v="67000"/>
    <s v="France"/>
    <s v="EMEA"/>
    <s v="Citeaux"/>
    <s v="Frederique"/>
    <s v="Small"/>
    <n v="1681.46"/>
  </r>
  <r>
    <n v="10267"/>
    <n v="40"/>
    <n v="80.099999999999994"/>
    <n v="5"/>
    <n v="3204"/>
    <d v="2004-07-07T00:00:00"/>
    <s v="Shipped"/>
    <n v="3"/>
    <x v="2"/>
    <n v="2004"/>
    <x v="1"/>
    <n v="73"/>
    <s v="S24_1046"/>
    <s v="Muscle Machine Inc"/>
    <n v="2125557413"/>
    <s v="4092 Furth Circle"/>
    <s v="Suite 400"/>
    <s v="NYC"/>
    <s v="NY"/>
    <n v="10022"/>
    <s v="USA"/>
    <s v="NA"/>
    <s v="Young"/>
    <s v="Jeff"/>
    <s v="Medium"/>
    <n v="3204"/>
  </r>
  <r>
    <n v="10279"/>
    <n v="32"/>
    <n v="74.959999999999994"/>
    <n v="5"/>
    <n v="2398.7199999999998"/>
    <d v="2004-08-09T00:00:00"/>
    <s v="Shipped"/>
    <n v="3"/>
    <x v="3"/>
    <n v="2004"/>
    <x v="1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Small"/>
    <n v="2398.7199999999998"/>
  </r>
  <r>
    <n v="10288"/>
    <n v="36"/>
    <n v="66.14"/>
    <n v="11"/>
    <n v="2381.04"/>
    <d v="2004-09-01T00:00:00"/>
    <s v="Shipped"/>
    <n v="3"/>
    <x v="10"/>
    <n v="2004"/>
    <x v="1"/>
    <n v="73"/>
    <s v="S24_1046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381.04"/>
  </r>
  <r>
    <n v="10301"/>
    <n v="27"/>
    <n v="72.02"/>
    <n v="1"/>
    <n v="1944.54"/>
    <d v="2003-10-05T00:00:00"/>
    <s v="Shipped"/>
    <n v="4"/>
    <x v="4"/>
    <n v="2003"/>
    <x v="1"/>
    <n v="73"/>
    <s v="S24_1046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1944.54"/>
  </r>
  <r>
    <n v="10311"/>
    <n v="26"/>
    <n v="87.45"/>
    <n v="6"/>
    <n v="2273.6999999999998"/>
    <d v="2004-10-16T00:00:00"/>
    <s v="Shipped"/>
    <n v="4"/>
    <x v="4"/>
    <n v="2004"/>
    <x v="1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Small"/>
    <n v="2273.7000000000003"/>
  </r>
  <r>
    <n v="10321"/>
    <n v="30"/>
    <n v="70.55"/>
    <n v="3"/>
    <n v="2116.5"/>
    <d v="2004-11-04T00:00:00"/>
    <s v="Shipped"/>
    <n v="4"/>
    <x v="5"/>
    <n v="2004"/>
    <x v="1"/>
    <n v="73"/>
    <s v="S24_1046"/>
    <s v="FunGiftIdeas.com"/>
    <n v="5085552555"/>
    <s v="1785 First Street"/>
    <m/>
    <s v="New Bedford"/>
    <s v="MA"/>
    <n v="50553"/>
    <s v="USA"/>
    <s v="NA"/>
    <s v="Benitez"/>
    <s v="Violeta"/>
    <s v="Small"/>
    <n v="2116.5"/>
  </r>
  <r>
    <n v="10332"/>
    <n v="23"/>
    <n v="56.84"/>
    <n v="4"/>
    <n v="1307.32"/>
    <d v="2004-11-17T00:00:00"/>
    <s v="Shipped"/>
    <n v="4"/>
    <x v="5"/>
    <n v="2004"/>
    <x v="1"/>
    <n v="73"/>
    <s v="S24_1046"/>
    <s v="AV Stores, Co."/>
    <s v="(171) 555-1555"/>
    <s v="Fauntleroy Circus"/>
    <m/>
    <s v="Manchester"/>
    <m/>
    <s v="EC2 5NT"/>
    <s v="UK"/>
    <s v="EMEA"/>
    <s v="Ashworth"/>
    <s v="Victoria"/>
    <s v="Small"/>
    <n v="1307.3200000000002"/>
  </r>
  <r>
    <n v="10344"/>
    <n v="29"/>
    <n v="59.53"/>
    <n v="7"/>
    <n v="1726.37"/>
    <d v="2004-11-25T00:00:00"/>
    <s v="Shipped"/>
    <n v="4"/>
    <x v="5"/>
    <n v="2004"/>
    <x v="1"/>
    <n v="73"/>
    <s v="S24_1046"/>
    <s v="Marseille Mini Autos"/>
    <s v="91.24.4555"/>
    <s v="12, rue des Bouchers"/>
    <m/>
    <s v="Marseille"/>
    <m/>
    <n v="13008"/>
    <s v="France"/>
    <s v="EMEA"/>
    <s v="Lebihan"/>
    <s v="Laurence"/>
    <s v="Small"/>
    <n v="1726.3700000000001"/>
  </r>
  <r>
    <n v="10367"/>
    <n v="21"/>
    <n v="60.37"/>
    <n v="10"/>
    <n v="1267.77"/>
    <d v="2005-01-12T00:00:00"/>
    <s v="Resolved"/>
    <n v="1"/>
    <x v="7"/>
    <n v="2005"/>
    <x v="1"/>
    <n v="73"/>
    <s v="S24_1046"/>
    <s v="Toys4GrownUps.com"/>
    <n v="6265557265"/>
    <s v="78934 Hillside Dr."/>
    <m/>
    <s v="Pasadena"/>
    <s v="CA"/>
    <n v="90003"/>
    <s v="USA"/>
    <s v="NA"/>
    <s v="Young"/>
    <s v="Julie"/>
    <s v="Small"/>
    <n v="1267.77"/>
  </r>
  <r>
    <n v="10380"/>
    <n v="34"/>
    <n v="100"/>
    <n v="3"/>
    <n v="3441.82"/>
    <d v="2005-02-16T00:00:00"/>
    <s v="Shipped"/>
    <n v="1"/>
    <x v="0"/>
    <n v="2005"/>
    <x v="1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Medium"/>
    <n v="3400"/>
  </r>
  <r>
    <n v="10407"/>
    <n v="26"/>
    <n v="76.430000000000007"/>
    <n v="8"/>
    <n v="1987.18"/>
    <d v="2005-04-22T00:00:00"/>
    <s v="On Hold"/>
    <n v="2"/>
    <x v="8"/>
    <n v="2005"/>
    <x v="1"/>
    <n v="73"/>
    <s v="S24_1046"/>
    <s v="The Sharp Gifts Warehouse"/>
    <n v="4085553659"/>
    <s v="3086 Ingle Ln."/>
    <m/>
    <s v="San Jose"/>
    <s v="CA"/>
    <n v="94217"/>
    <s v="USA"/>
    <s v="NA"/>
    <s v="Frick"/>
    <s v="Sue"/>
    <s v="Small"/>
    <n v="1987.1800000000003"/>
  </r>
  <r>
    <n v="10420"/>
    <n v="60"/>
    <n v="64.67"/>
    <n v="11"/>
    <n v="3880.2"/>
    <d v="2005-05-29T00:00:00"/>
    <s v="In Process"/>
    <n v="2"/>
    <x v="1"/>
    <n v="2005"/>
    <x v="1"/>
    <n v="73"/>
    <s v="S24_104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880.2000000000003"/>
  </r>
  <r>
    <n v="10104"/>
    <n v="35"/>
    <n v="55.49"/>
    <n v="6"/>
    <n v="1942.15"/>
    <d v="2003-01-31T00:00:00"/>
    <s v="Shipped"/>
    <n v="1"/>
    <x v="7"/>
    <n v="2003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  <n v="1942.15"/>
  </r>
  <r>
    <n v="10115"/>
    <n v="47"/>
    <n v="69.36"/>
    <n v="2"/>
    <n v="3259.92"/>
    <d v="2003-04-04T00:00:00"/>
    <s v="Shipped"/>
    <n v="2"/>
    <x v="8"/>
    <n v="2003"/>
    <x v="1"/>
    <n v="57"/>
    <s v="S24_1444"/>
    <s v="Classic Legends Inc."/>
    <n v="2125558493"/>
    <s v="5905 Pompton St."/>
    <s v="Suite 750"/>
    <s v="NYC"/>
    <s v="NY"/>
    <n v="10022"/>
    <s v="USA"/>
    <s v="NA"/>
    <s v="Hernandez"/>
    <s v="Maria"/>
    <s v="Medium"/>
    <n v="3259.92"/>
  </r>
  <r>
    <n v="10127"/>
    <n v="20"/>
    <n v="60.69"/>
    <n v="8"/>
    <n v="1213.8"/>
    <d v="2003-06-03T00:00:00"/>
    <s v="Shipped"/>
    <n v="2"/>
    <x v="9"/>
    <n v="2003"/>
    <x v="1"/>
    <n v="57"/>
    <s v="S24_1444"/>
    <s v="Muscle Machine Inc"/>
    <n v="2125557413"/>
    <s v="4092 Furth Circle"/>
    <s v="Suite 400"/>
    <s v="NYC"/>
    <s v="NY"/>
    <n v="10022"/>
    <s v="USA"/>
    <s v="NA"/>
    <s v="Young"/>
    <s v="Jeff"/>
    <s v="Small"/>
    <n v="1213.8"/>
  </r>
  <r>
    <n v="10141"/>
    <n v="20"/>
    <n v="54.33"/>
    <n v="2"/>
    <n v="1086.5999999999999"/>
    <d v="2003-08-01T00:00:00"/>
    <s v="Shipped"/>
    <n v="3"/>
    <x v="3"/>
    <n v="2003"/>
    <x v="1"/>
    <n v="57"/>
    <s v="S24_1444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1086.5999999999999"/>
  </r>
  <r>
    <n v="10152"/>
    <n v="25"/>
    <n v="65.31"/>
    <n v="4"/>
    <n v="1632.75"/>
    <d v="2003-09-25T00:00:00"/>
    <s v="Shipped"/>
    <n v="3"/>
    <x v="10"/>
    <n v="2003"/>
    <x v="1"/>
    <n v="57"/>
    <s v="S24_1444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  <n v="1632.75"/>
  </r>
  <r>
    <n v="10165"/>
    <n v="25"/>
    <n v="69.36"/>
    <n v="9"/>
    <n v="1734"/>
    <d v="2003-10-22T00:00:00"/>
    <s v="Shipped"/>
    <n v="4"/>
    <x v="4"/>
    <n v="2003"/>
    <x v="1"/>
    <n v="57"/>
    <s v="S24_144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1734"/>
  </r>
  <r>
    <n v="10176"/>
    <n v="27"/>
    <n v="68.78"/>
    <n v="8"/>
    <n v="1857.06"/>
    <d v="2003-11-06T00:00:00"/>
    <s v="Shipped"/>
    <n v="4"/>
    <x v="5"/>
    <n v="2003"/>
    <x v="1"/>
    <n v="57"/>
    <s v="S24_1444"/>
    <s v="L'ordine Souveniers"/>
    <s v="0522-556555"/>
    <s v="Strada Provinciale 124"/>
    <m/>
    <s v="Reggio Emilia"/>
    <m/>
    <n v="42100"/>
    <s v="Italy"/>
    <s v="EMEA"/>
    <s v="Moroni"/>
    <s v="Maurizio"/>
    <s v="Small"/>
    <n v="1857.06"/>
  </r>
  <r>
    <n v="10184"/>
    <n v="31"/>
    <n v="60.11"/>
    <n v="3"/>
    <n v="1863.41"/>
    <d v="2003-11-14T00:00:00"/>
    <s v="Shipped"/>
    <n v="4"/>
    <x v="5"/>
    <n v="2003"/>
    <x v="1"/>
    <n v="57"/>
    <s v="S24_1444"/>
    <s v="Iberia Gift Imports, Corp."/>
    <s v="(95) 555 82 82"/>
    <s v="C/ Romero, 33"/>
    <m/>
    <s v="Sevilla"/>
    <m/>
    <n v="41101"/>
    <s v="Spain"/>
    <s v="EMEA"/>
    <s v="Roel"/>
    <s v="Jose Pedro"/>
    <s v="Small"/>
    <n v="1863.41"/>
  </r>
  <r>
    <n v="10195"/>
    <n v="44"/>
    <n v="66.47"/>
    <n v="3"/>
    <n v="2924.68"/>
    <d v="2003-11-25T00:00:00"/>
    <s v="Shipped"/>
    <n v="4"/>
    <x v="5"/>
    <n v="2003"/>
    <x v="1"/>
    <n v="57"/>
    <s v="S24_1444"/>
    <s v="Mini Classics"/>
    <n v="9145554562"/>
    <s v="3758 North Pendale Street"/>
    <m/>
    <s v="White Plains"/>
    <s v="NY"/>
    <n v="24067"/>
    <s v="USA"/>
    <s v="NA"/>
    <s v="Frick"/>
    <s v="Steve"/>
    <s v="Small"/>
    <n v="2924.68"/>
  </r>
  <r>
    <n v="10207"/>
    <n v="49"/>
    <n v="46.82"/>
    <n v="4"/>
    <n v="2294.1799999999998"/>
    <d v="2003-12-09T00:00:00"/>
    <s v="Shipped"/>
    <n v="4"/>
    <x v="6"/>
    <n v="2003"/>
    <x v="1"/>
    <n v="57"/>
    <s v="S24_1444"/>
    <s v="Diecast Collectables"/>
    <n v="6175552555"/>
    <s v="6251 Ingle Ln."/>
    <m/>
    <s v="Boston"/>
    <s v="MA"/>
    <n v="51003"/>
    <s v="USA"/>
    <s v="NA"/>
    <s v="Franco"/>
    <s v="Valarie"/>
    <s v="Small"/>
    <n v="2294.1799999999998"/>
  </r>
  <r>
    <n v="10220"/>
    <n v="26"/>
    <n v="56.07"/>
    <n v="8"/>
    <n v="1457.82"/>
    <d v="2004-02-12T00:00:00"/>
    <s v="Shipped"/>
    <n v="1"/>
    <x v="0"/>
    <n v="2004"/>
    <x v="1"/>
    <n v="57"/>
    <s v="S24_1444"/>
    <s v="Clover Collections, Co."/>
    <s v="+353 1862 1555"/>
    <s v="25 Maiden Lane"/>
    <s v="Floor No. 4"/>
    <s v="Dublin"/>
    <m/>
    <n v="2"/>
    <s v="Ireland"/>
    <s v="EMEA"/>
    <s v="Cassidy"/>
    <s v="Dean"/>
    <s v="Small"/>
    <n v="1457.82"/>
  </r>
  <r>
    <n v="10230"/>
    <n v="36"/>
    <n v="54.33"/>
    <n v="6"/>
    <n v="1955.88"/>
    <d v="2004-03-15T00:00:00"/>
    <s v="Shipped"/>
    <n v="1"/>
    <x v="11"/>
    <n v="2004"/>
    <x v="1"/>
    <n v="57"/>
    <s v="S24_1444"/>
    <s v="Blauer See Auto, Co."/>
    <s v="+49 69 66 90 2555"/>
    <s v="Lyonerstr. 34"/>
    <m/>
    <s v="Frankfurt"/>
    <m/>
    <n v="60528"/>
    <s v="Germany"/>
    <s v="EMEA"/>
    <s v="Keitel"/>
    <s v="Roland"/>
    <s v="Small"/>
    <n v="1955.8799999999999"/>
  </r>
  <r>
    <n v="10246"/>
    <n v="44"/>
    <n v="52.6"/>
    <n v="2"/>
    <n v="2314.4"/>
    <d v="2004-05-05T00:00:00"/>
    <s v="Shipped"/>
    <n v="2"/>
    <x v="1"/>
    <n v="2004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  <n v="2314.4"/>
  </r>
  <r>
    <n v="10259"/>
    <n v="28"/>
    <n v="46.82"/>
    <n v="1"/>
    <n v="1310.96"/>
    <d v="2004-06-15T00:00:00"/>
    <s v="Shipped"/>
    <n v="2"/>
    <x v="9"/>
    <n v="2004"/>
    <x v="1"/>
    <n v="57"/>
    <s v="S24_1444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310.96"/>
  </r>
  <r>
    <n v="10271"/>
    <n v="45"/>
    <n v="64.739999999999995"/>
    <n v="2"/>
    <n v="2913.3"/>
    <d v="2004-07-20T00:00:00"/>
    <s v="Shipped"/>
    <n v="3"/>
    <x v="2"/>
    <n v="2004"/>
    <x v="1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  <n v="2913.2999999999997"/>
  </r>
  <r>
    <n v="10282"/>
    <n v="29"/>
    <n v="46.82"/>
    <n v="11"/>
    <n v="1357.78"/>
    <d v="2004-08-20T00:00:00"/>
    <s v="Shipped"/>
    <n v="3"/>
    <x v="3"/>
    <n v="2004"/>
    <x v="1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  <n v="1357.78"/>
  </r>
  <r>
    <n v="10292"/>
    <n v="40"/>
    <n v="53.75"/>
    <n v="5"/>
    <n v="2150"/>
    <d v="2004-09-08T00:00:00"/>
    <s v="Shipped"/>
    <n v="3"/>
    <x v="10"/>
    <n v="2004"/>
    <x v="1"/>
    <n v="57"/>
    <s v="S24_1444"/>
    <s v="Land of Toys Inc."/>
    <n v="2125557818"/>
    <s v="897 Long Airport Avenue"/>
    <m/>
    <s v="NYC"/>
    <s v="NY"/>
    <n v="10022"/>
    <s v="USA"/>
    <s v="NA"/>
    <s v="Yu"/>
    <s v="Kwai"/>
    <s v="Small"/>
    <n v="2150"/>
  </r>
  <r>
    <n v="10305"/>
    <n v="45"/>
    <n v="61.85"/>
    <n v="2"/>
    <n v="2783.25"/>
    <d v="2004-10-13T00:00:00"/>
    <s v="Shipped"/>
    <n v="4"/>
    <x v="4"/>
    <n v="2004"/>
    <x v="1"/>
    <n v="57"/>
    <s v="S24_1444"/>
    <s v="Marta's Replicas Co."/>
    <n v="6175558555"/>
    <s v="39323 Spinnaker Dr."/>
    <m/>
    <s v="Cambridge"/>
    <s v="MA"/>
    <n v="51247"/>
    <s v="USA"/>
    <s v="NA"/>
    <s v="Hernandez"/>
    <s v="Marta"/>
    <s v="Small"/>
    <n v="2783.25"/>
  </r>
  <r>
    <n v="10314"/>
    <n v="44"/>
    <n v="53.18"/>
    <n v="11"/>
    <n v="2339.92"/>
    <d v="2004-10-22T00:00:00"/>
    <s v="Shipped"/>
    <n v="4"/>
    <x v="4"/>
    <n v="2004"/>
    <x v="1"/>
    <n v="57"/>
    <s v="S24_1444"/>
    <s v="Heintze Collectables"/>
    <s v="86 21 3555"/>
    <s v="Smagsloget 45"/>
    <m/>
    <s v="Aaarhus"/>
    <m/>
    <n v="8200"/>
    <s v="Denmark"/>
    <s v="EMEA"/>
    <s v="Ibsen"/>
    <s v="Palle"/>
    <s v="Small"/>
    <n v="2339.92"/>
  </r>
  <r>
    <n v="10324"/>
    <n v="25"/>
    <n v="69.16"/>
    <n v="14"/>
    <n v="1729"/>
    <d v="2004-11-05T00:00:00"/>
    <s v="Shipped"/>
    <n v="4"/>
    <x v="5"/>
    <n v="2004"/>
    <x v="1"/>
    <n v="57"/>
    <s v="S24_1444"/>
    <s v="Vitachrome Inc."/>
    <n v="2125551500"/>
    <s v="2678 Kingston Rd."/>
    <s v="Suite 101"/>
    <s v="NYC"/>
    <s v="NY"/>
    <n v="10022"/>
    <s v="USA"/>
    <s v="NA"/>
    <s v="Frick"/>
    <s v="Michael"/>
    <s v="Small"/>
    <n v="1729"/>
  </r>
  <r>
    <n v="10336"/>
    <n v="45"/>
    <n v="100"/>
    <n v="4"/>
    <n v="5972.4"/>
    <d v="2004-11-20T00:00:00"/>
    <s v="Shipped"/>
    <n v="4"/>
    <x v="5"/>
    <n v="2004"/>
    <x v="1"/>
    <n v="57"/>
    <s v="S24_1444"/>
    <s v="La Corne D'abondance, Co."/>
    <s v="(1) 42.34.2555"/>
    <s v="265, boulevard Charonne"/>
    <m/>
    <s v="Paris"/>
    <m/>
    <n v="75012"/>
    <s v="France"/>
    <s v="EMEA"/>
    <s v="Bertrand"/>
    <s v="Marie"/>
    <s v="Medium"/>
    <n v="4500"/>
  </r>
  <r>
    <n v="10349"/>
    <n v="48"/>
    <n v="47.4"/>
    <n v="4"/>
    <n v="2275.1999999999998"/>
    <d v="2004-12-01T00:00:00"/>
    <s v="Shipped"/>
    <n v="4"/>
    <x v="6"/>
    <n v="2004"/>
    <x v="1"/>
    <n v="57"/>
    <s v="S24_1444"/>
    <s v="Muscle Machine Inc"/>
    <n v="2125557413"/>
    <s v="4092 Furth Circle"/>
    <s v="Suite 400"/>
    <s v="NYC"/>
    <s v="NY"/>
    <n v="10022"/>
    <s v="USA"/>
    <s v="NA"/>
    <s v="Young"/>
    <s v="Jeff"/>
    <s v="Small"/>
    <n v="2275.1999999999998"/>
  </r>
  <r>
    <n v="10358"/>
    <n v="44"/>
    <n v="60.76"/>
    <n v="14"/>
    <n v="2673.44"/>
    <d v="2004-12-10T00:00:00"/>
    <s v="Shipped"/>
    <n v="4"/>
    <x v="6"/>
    <n v="2004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  <n v="2673.44"/>
  </r>
  <r>
    <n v="10371"/>
    <n v="25"/>
    <n v="97.27"/>
    <n v="12"/>
    <n v="2431.75"/>
    <d v="2005-01-23T00:00:00"/>
    <s v="Shipped"/>
    <n v="1"/>
    <x v="7"/>
    <n v="2005"/>
    <x v="1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  <n v="2431.75"/>
  </r>
  <r>
    <n v="10383"/>
    <n v="22"/>
    <n v="91.76"/>
    <n v="2"/>
    <n v="2018.72"/>
    <d v="2005-02-22T00:00:00"/>
    <s v="Shipped"/>
    <n v="1"/>
    <x v="0"/>
    <n v="2005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  <n v="2018.72"/>
  </r>
  <r>
    <n v="10394"/>
    <n v="31"/>
    <n v="50.29"/>
    <n v="2"/>
    <n v="1558.99"/>
    <d v="2005-03-15T00:00:00"/>
    <s v="Shipped"/>
    <n v="1"/>
    <x v="11"/>
    <n v="2005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  <n v="1558.99"/>
  </r>
  <r>
    <n v="10412"/>
    <n v="21"/>
    <n v="52.6"/>
    <n v="2"/>
    <n v="1104.5999999999999"/>
    <d v="2005-05-03T00:00:00"/>
    <s v="Shipped"/>
    <n v="2"/>
    <x v="1"/>
    <n v="2005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  <n v="1104.6000000000001"/>
  </r>
  <r>
    <n v="10425"/>
    <n v="55"/>
    <n v="46.82"/>
    <n v="1"/>
    <n v="2575.1"/>
    <d v="2005-05-31T00:00:00"/>
    <s v="In Process"/>
    <n v="2"/>
    <x v="1"/>
    <n v="2005"/>
    <x v="1"/>
    <n v="57"/>
    <s v="S24_1444"/>
    <s v="La Rochelle Gifts"/>
    <s v="40.67.8555"/>
    <s v="67, rue des Cinquante Otages"/>
    <m/>
    <s v="Nantes"/>
    <m/>
    <n v="44000"/>
    <s v="France"/>
    <s v="EMEA"/>
    <s v="Labrune"/>
    <s v="Janine"/>
    <s v="Small"/>
    <n v="2575.1"/>
  </r>
  <r>
    <n v="10107"/>
    <n v="25"/>
    <n v="100"/>
    <n v="3"/>
    <n v="2845.75"/>
    <d v="2003-02-24T00:00:00"/>
    <s v="Shipped"/>
    <n v="1"/>
    <x v="0"/>
    <n v="2003"/>
    <x v="0"/>
    <n v="112"/>
    <s v="S24_1578"/>
    <s v="Land of Toys Inc."/>
    <n v="2125557818"/>
    <s v="897 Long Airport Avenue"/>
    <m/>
    <s v="NYC"/>
    <s v="NY"/>
    <n v="10022"/>
    <s v="USA"/>
    <s v="NA"/>
    <s v="Yu"/>
    <s v="Kwai"/>
    <s v="Small"/>
    <n v="2500"/>
  </r>
  <r>
    <n v="10120"/>
    <n v="35"/>
    <n v="98.05"/>
    <n v="1"/>
    <n v="3431.75"/>
    <d v="2003-04-29T00:00:00"/>
    <s v="Shipped"/>
    <n v="2"/>
    <x v="8"/>
    <n v="2003"/>
    <x v="0"/>
    <n v="112"/>
    <s v="S24_1578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431.75"/>
  </r>
  <r>
    <n v="10134"/>
    <n v="35"/>
    <n v="93.54"/>
    <n v="3"/>
    <n v="3273.9"/>
    <d v="2003-07-01T00:00:00"/>
    <s v="Shipped"/>
    <n v="3"/>
    <x v="2"/>
    <n v="2003"/>
    <x v="0"/>
    <n v="112"/>
    <s v="S24_1578"/>
    <s v="Lyon Souveniers"/>
    <s v="+33 1 46 62 7555"/>
    <s v="27 rue du Colonel Pierre Avia"/>
    <m/>
    <s v="Paris"/>
    <m/>
    <n v="75508"/>
    <s v="France"/>
    <s v="EMEA"/>
    <s v="Da Cunha"/>
    <s v="Daniel"/>
    <s v="Medium"/>
    <n v="3273.9"/>
  </r>
  <r>
    <n v="10145"/>
    <n v="43"/>
    <n v="95.8"/>
    <n v="7"/>
    <n v="4119.3999999999996"/>
    <d v="2003-08-25T00:00:00"/>
    <s v="Shipped"/>
    <n v="3"/>
    <x v="3"/>
    <n v="2003"/>
    <x v="0"/>
    <n v="112"/>
    <s v="S24_1578"/>
    <s v="Toys4GrownUps.com"/>
    <n v="6265557265"/>
    <s v="78934 Hillside Dr."/>
    <m/>
    <s v="Pasadena"/>
    <s v="CA"/>
    <n v="90003"/>
    <s v="USA"/>
    <s v="NA"/>
    <s v="Young"/>
    <s v="Julie"/>
    <s v="Medium"/>
    <n v="4119.3999999999996"/>
  </r>
  <r>
    <n v="10159"/>
    <n v="44"/>
    <n v="100"/>
    <n v="15"/>
    <n v="5355.68"/>
    <d v="2003-10-10T00:00:00"/>
    <s v="Shipped"/>
    <n v="4"/>
    <x v="4"/>
    <n v="2003"/>
    <x v="0"/>
    <n v="112"/>
    <s v="S24_1578"/>
    <s v="Corporate Gift Ideas Co."/>
    <n v="6505551386"/>
    <s v="7734 Strong St."/>
    <m/>
    <s v="San Francisco"/>
    <s v="CA"/>
    <m/>
    <s v="USA"/>
    <s v="NA"/>
    <s v="Brown"/>
    <s v="Julie"/>
    <s v="Medium"/>
    <n v="4400"/>
  </r>
  <r>
    <n v="10168"/>
    <n v="50"/>
    <n v="100"/>
    <n v="2"/>
    <n v="5747.5"/>
    <d v="2003-10-28T00:00:00"/>
    <s v="Shipped"/>
    <n v="4"/>
    <x v="4"/>
    <n v="2003"/>
    <x v="0"/>
    <n v="112"/>
    <s v="S24_1578"/>
    <s v="Technics Stores Inc."/>
    <n v="6505556809"/>
    <s v="9408 Furth Circle"/>
    <m/>
    <s v="Burlingame"/>
    <s v="CA"/>
    <n v="94217"/>
    <s v="USA"/>
    <s v="NA"/>
    <s v="Hirano"/>
    <s v="Juri"/>
    <s v="Medium"/>
    <n v="5000"/>
  </r>
  <r>
    <n v="10180"/>
    <n v="48"/>
    <n v="100"/>
    <n v="10"/>
    <n v="5355.36"/>
    <d v="2003-11-11T00:00:00"/>
    <s v="Shipped"/>
    <n v="4"/>
    <x v="5"/>
    <n v="2003"/>
    <x v="0"/>
    <n v="112"/>
    <s v="S24_1578"/>
    <s v="Daedalus Designs Imports"/>
    <s v="20.16.1555"/>
    <s v="184, chausse de Tournai"/>
    <m/>
    <s v="Lille"/>
    <m/>
    <n v="59000"/>
    <s v="France"/>
    <s v="EMEA"/>
    <s v="Rance"/>
    <s v="Martine"/>
    <s v="Medium"/>
    <n v="4800"/>
  </r>
  <r>
    <n v="10188"/>
    <n v="25"/>
    <n v="100"/>
    <n v="2"/>
    <n v="2535.75"/>
    <d v="2003-11-18T00:00:00"/>
    <s v="Shipped"/>
    <n v="4"/>
    <x v="5"/>
    <n v="2003"/>
    <x v="0"/>
    <n v="112"/>
    <s v="S24_1578"/>
    <s v="Herkku Gifts"/>
    <s v="+47 2267 3215"/>
    <s v="Drammen 121, PR 744 Sentrum"/>
    <m/>
    <s v="Bergen"/>
    <m/>
    <s v="N 5804"/>
    <s v="Norway"/>
    <s v="EMEA"/>
    <s v="Oeztan"/>
    <s v="Veysel"/>
    <s v="Small"/>
    <n v="2500"/>
  </r>
  <r>
    <n v="10201"/>
    <n v="39"/>
    <n v="100"/>
    <n v="3"/>
    <n v="4351.2299999999996"/>
    <d v="2003-12-01T00:00:00"/>
    <s v="Shipped"/>
    <n v="4"/>
    <x v="6"/>
    <n v="2003"/>
    <x v="0"/>
    <n v="112"/>
    <s v="S24_1578"/>
    <s v="Mini Wheels Co."/>
    <n v="6505555787"/>
    <s v="5557 North Pendale Street"/>
    <m/>
    <s v="San Francisco"/>
    <s v="CA"/>
    <m/>
    <s v="USA"/>
    <s v="NA"/>
    <s v="Murphy"/>
    <s v="Julie"/>
    <s v="Medium"/>
    <n v="3900"/>
  </r>
  <r>
    <n v="10211"/>
    <n v="25"/>
    <n v="90.16"/>
    <n v="15"/>
    <n v="2254"/>
    <d v="2004-01-15T00:00:00"/>
    <s v="Shipped"/>
    <n v="1"/>
    <x v="7"/>
    <n v="2004"/>
    <x v="0"/>
    <n v="112"/>
    <s v="S24_1578"/>
    <s v="Auto Canal Petit"/>
    <s v="(1) 47.55.6555"/>
    <s v="25, rue Lauriston"/>
    <m/>
    <s v="Paris"/>
    <m/>
    <n v="75016"/>
    <s v="France"/>
    <s v="EMEA"/>
    <s v="Perrier"/>
    <s v="Dominique"/>
    <s v="Small"/>
    <n v="2254"/>
  </r>
  <r>
    <n v="10223"/>
    <n v="32"/>
    <n v="91.29"/>
    <n v="2"/>
    <n v="2921.28"/>
    <d v="2004-02-20T00:00:00"/>
    <s v="Shipped"/>
    <n v="1"/>
    <x v="0"/>
    <n v="2004"/>
    <x v="0"/>
    <n v="112"/>
    <s v="S24_15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921.28"/>
  </r>
  <r>
    <n v="10237"/>
    <n v="20"/>
    <n v="100"/>
    <n v="8"/>
    <n v="2299"/>
    <d v="2004-04-05T00:00:00"/>
    <s v="Shipped"/>
    <n v="2"/>
    <x v="8"/>
    <n v="2004"/>
    <x v="0"/>
    <n v="112"/>
    <s v="S24_1578"/>
    <s v="Vitachrome Inc."/>
    <n v="2125551500"/>
    <s v="2678 Kingston Rd."/>
    <s v="Suite 101"/>
    <s v="NYC"/>
    <s v="NY"/>
    <n v="10022"/>
    <s v="USA"/>
    <s v="NA"/>
    <s v="Frick"/>
    <s v="Michael"/>
    <s v="Small"/>
    <n v="2000"/>
  </r>
  <r>
    <n v="10251"/>
    <n v="26"/>
    <n v="100"/>
    <n v="3"/>
    <n v="2637.18"/>
    <d v="2004-05-18T00:00:00"/>
    <s v="Shipped"/>
    <n v="2"/>
    <x v="1"/>
    <n v="2004"/>
    <x v="0"/>
    <n v="112"/>
    <s v="S24_1578"/>
    <s v="Tekni Collectables Inc."/>
    <n v="2015559350"/>
    <s v="7476 Moss Rd."/>
    <m/>
    <s v="Newark"/>
    <s v="NJ"/>
    <n v="94019"/>
    <s v="USA"/>
    <s v="NA"/>
    <s v="Brown"/>
    <s v="William"/>
    <s v="Small"/>
    <n v="2600"/>
  </r>
  <r>
    <n v="10263"/>
    <n v="42"/>
    <n v="100"/>
    <n v="3"/>
    <n v="4307.5200000000004"/>
    <d v="2004-06-28T00:00:00"/>
    <s v="Shipped"/>
    <n v="2"/>
    <x v="9"/>
    <n v="2004"/>
    <x v="0"/>
    <n v="112"/>
    <s v="S24_1578"/>
    <s v="Gift Depot Inc."/>
    <n v="2035552570"/>
    <s v="25593 South Bay Ln."/>
    <m/>
    <s v="Bridgewater"/>
    <s v="CT"/>
    <n v="97562"/>
    <s v="USA"/>
    <s v="NA"/>
    <s v="King"/>
    <s v="Julie"/>
    <s v="Medium"/>
    <n v="4200"/>
  </r>
  <r>
    <n v="10275"/>
    <n v="21"/>
    <n v="100"/>
    <n v="2"/>
    <n v="2153.7600000000002"/>
    <d v="2004-07-23T00:00:00"/>
    <s v="Shipped"/>
    <n v="3"/>
    <x v="2"/>
    <n v="2004"/>
    <x v="0"/>
    <n v="112"/>
    <s v="S24_1578"/>
    <s v="La Rochelle Gifts"/>
    <s v="40.67.8555"/>
    <s v="67, rue des Cinquante Otages"/>
    <m/>
    <s v="Nantes"/>
    <m/>
    <n v="44000"/>
    <s v="France"/>
    <s v="EMEA"/>
    <s v="Labrune"/>
    <s v="Janine"/>
    <s v="Small"/>
    <n v="2100"/>
  </r>
  <r>
    <n v="10285"/>
    <n v="34"/>
    <n v="100"/>
    <n v="7"/>
    <n v="3716.88"/>
    <d v="2004-08-27T00:00:00"/>
    <s v="Shipped"/>
    <n v="3"/>
    <x v="3"/>
    <n v="2004"/>
    <x v="0"/>
    <n v="112"/>
    <s v="S24_1578"/>
    <s v="Marta's Replicas Co."/>
    <n v="6175558555"/>
    <s v="39323 Spinnaker Dr."/>
    <m/>
    <s v="Cambridge"/>
    <s v="MA"/>
    <n v="51247"/>
    <s v="USA"/>
    <s v="NA"/>
    <s v="Hernandez"/>
    <s v="Marta"/>
    <s v="Medium"/>
    <n v="3400"/>
  </r>
  <r>
    <n v="10299"/>
    <n v="47"/>
    <n v="100"/>
    <n v="10"/>
    <n v="5455.76"/>
    <d v="2004-09-30T00:00:00"/>
    <s v="Shipped"/>
    <n v="3"/>
    <x v="10"/>
    <n v="2004"/>
    <x v="0"/>
    <n v="112"/>
    <s v="S24_1578"/>
    <s v="Toys of Finland, Co."/>
    <s v="90-224 8555"/>
    <s v="Keskuskatu 45"/>
    <m/>
    <s v="Helsinki"/>
    <m/>
    <n v="21240"/>
    <s v="Finland"/>
    <s v="EMEA"/>
    <s v="Karttunen"/>
    <s v="Matti"/>
    <s v="Medium"/>
    <n v="4700"/>
  </r>
  <r>
    <n v="10309"/>
    <n v="21"/>
    <n v="100"/>
    <n v="6"/>
    <n v="2650.62"/>
    <d v="2004-10-15T00:00:00"/>
    <s v="Shipped"/>
    <n v="4"/>
    <x v="4"/>
    <n v="2004"/>
    <x v="0"/>
    <n v="112"/>
    <s v="S24_1578"/>
    <s v="Baane Mini Imports"/>
    <s v="07-98 9555"/>
    <s v="Erling Skakkes gate 78"/>
    <m/>
    <s v="Stavern"/>
    <m/>
    <n v="4110"/>
    <s v="Norway"/>
    <s v="EMEA"/>
    <s v="Bergulfsen"/>
    <s v="Jonas"/>
    <s v="Small"/>
    <n v="2100"/>
  </r>
  <r>
    <n v="10318"/>
    <n v="48"/>
    <n v="100"/>
    <n v="2"/>
    <n v="6437.28"/>
    <d v="2004-11-02T00:00:00"/>
    <s v="Shipped"/>
    <n v="4"/>
    <x v="5"/>
    <n v="2004"/>
    <x v="0"/>
    <n v="112"/>
    <s v="S24_1578"/>
    <s v="Diecast Classics Inc."/>
    <n v="2155551555"/>
    <s v="7586 Pompton St."/>
    <m/>
    <s v="Allentown"/>
    <s v="PA"/>
    <n v="70267"/>
    <s v="USA"/>
    <s v="NA"/>
    <s v="Yu"/>
    <s v="Kyung"/>
    <s v="Medium"/>
    <n v="4800"/>
  </r>
  <r>
    <n v="10329"/>
    <n v="30"/>
    <n v="87.78"/>
    <n v="7"/>
    <n v="2633.4"/>
    <d v="2004-11-15T00:00:00"/>
    <s v="Shipped"/>
    <n v="4"/>
    <x v="5"/>
    <n v="2004"/>
    <x v="0"/>
    <n v="112"/>
    <s v="S24_1578"/>
    <s v="Land of Toys Inc."/>
    <n v="2125557818"/>
    <s v="897 Long Airport Avenue"/>
    <m/>
    <s v="NYC"/>
    <s v="NY"/>
    <n v="10022"/>
    <s v="USA"/>
    <s v="NA"/>
    <s v="Yu"/>
    <s v="Kwai"/>
    <s v="Small"/>
    <n v="2633.4"/>
  </r>
  <r>
    <n v="10339"/>
    <n v="27"/>
    <n v="84.39"/>
    <n v="10"/>
    <n v="2278.5300000000002"/>
    <d v="2004-11-23T00:00:00"/>
    <s v="Shipped"/>
    <n v="4"/>
    <x v="5"/>
    <n v="2004"/>
    <x v="0"/>
    <n v="112"/>
    <s v="S24_1578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278.5300000000002"/>
  </r>
  <r>
    <n v="10362"/>
    <n v="50"/>
    <n v="96.92"/>
    <n v="2"/>
    <n v="4846"/>
    <d v="2005-01-05T00:00:00"/>
    <s v="Shipped"/>
    <n v="1"/>
    <x v="7"/>
    <n v="2005"/>
    <x v="0"/>
    <n v="112"/>
    <s v="S24_1578"/>
    <s v="Technics Stores Inc."/>
    <n v="6505556809"/>
    <s v="9408 Furth Circle"/>
    <m/>
    <s v="Burlingame"/>
    <s v="CA"/>
    <n v="94217"/>
    <s v="USA"/>
    <s v="NA"/>
    <s v="Hirano"/>
    <s v="Juri"/>
    <s v="Medium"/>
    <n v="4846"/>
  </r>
  <r>
    <n v="10374"/>
    <n v="38"/>
    <n v="100"/>
    <n v="6"/>
    <n v="4197.1000000000004"/>
    <d v="2005-02-02T00:00:00"/>
    <s v="Shipped"/>
    <n v="1"/>
    <x v="0"/>
    <n v="2005"/>
    <x v="0"/>
    <n v="112"/>
    <s v="S24_157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n v="3800"/>
  </r>
  <r>
    <n v="10389"/>
    <n v="45"/>
    <n v="100"/>
    <n v="1"/>
    <n v="4597.6499999999996"/>
    <d v="2005-03-03T00:00:00"/>
    <s v="Shipped"/>
    <n v="1"/>
    <x v="11"/>
    <n v="2005"/>
    <x v="0"/>
    <n v="112"/>
    <s v="S24_1578"/>
    <s v="Scandinavian Gift Ideas"/>
    <s v="0695-34 6555"/>
    <s v="?kergatan 24"/>
    <m/>
    <s v="Boras"/>
    <m/>
    <s v="S-844 67"/>
    <s v="Sweden"/>
    <s v="EMEA"/>
    <s v="Larsson"/>
    <s v="Maria"/>
    <s v="Medium"/>
    <n v="4500"/>
  </r>
  <r>
    <n v="10403"/>
    <n v="46"/>
    <n v="100"/>
    <n v="8"/>
    <n v="5287.7"/>
    <d v="2005-04-08T00:00:00"/>
    <s v="Shipped"/>
    <n v="2"/>
    <x v="8"/>
    <n v="2005"/>
    <x v="0"/>
    <n v="112"/>
    <s v="S24_1578"/>
    <s v="UK Collectables, Ltd."/>
    <s v="(171) 555-2282"/>
    <s v="Berkeley Gardens 12  Brewery"/>
    <m/>
    <s v="Liverpool"/>
    <m/>
    <s v="WX1 6LT"/>
    <s v="UK"/>
    <s v="EMEA"/>
    <s v="Devon"/>
    <s v="Elizabeth"/>
    <s v="Medium"/>
    <n v="4600"/>
  </r>
  <r>
    <n v="10417"/>
    <n v="35"/>
    <n v="100"/>
    <n v="3"/>
    <n v="3550.05"/>
    <d v="2005-05-13T00:00:00"/>
    <s v="Disputed"/>
    <n v="2"/>
    <x v="1"/>
    <n v="2005"/>
    <x v="0"/>
    <n v="112"/>
    <s v="S24_1578"/>
    <s v="Euro Shopping Channel"/>
    <s v="(91) 555 94 44"/>
    <s v="C/ Moralzarzal, 86"/>
    <m/>
    <s v="Madrid"/>
    <m/>
    <n v="28034"/>
    <s v="Spain"/>
    <s v="EMEA"/>
    <s v="Freyre"/>
    <s v="Diego"/>
    <s v="Medium"/>
    <n v="3500"/>
  </r>
  <r>
    <n v="10110"/>
    <n v="29"/>
    <n v="59.37"/>
    <n v="15"/>
    <n v="1721.73"/>
    <d v="2003-03-18T00:00:00"/>
    <s v="Shipped"/>
    <n v="1"/>
    <x v="11"/>
    <n v="2003"/>
    <x v="1"/>
    <n v="50"/>
    <s v="S24_1628"/>
    <s v="AV Stores, Co."/>
    <s v="(171) 555-1555"/>
    <s v="Fauntleroy Circus"/>
    <m/>
    <s v="Manchester"/>
    <m/>
    <s v="EC2 5NT"/>
    <s v="UK"/>
    <s v="EMEA"/>
    <s v="Ashworth"/>
    <s v="Victoria"/>
    <s v="Small"/>
    <n v="1721.73"/>
  </r>
  <r>
    <n v="10123"/>
    <n v="50"/>
    <n v="59.87"/>
    <n v="1"/>
    <n v="2993.5"/>
    <d v="2003-05-20T00:00:00"/>
    <s v="Shipped"/>
    <n v="2"/>
    <x v="1"/>
    <n v="2003"/>
    <x v="1"/>
    <n v="50"/>
    <s v="S24_1628"/>
    <s v="Atelier graphique"/>
    <s v="40.32.2555"/>
    <s v="54, rue Royale"/>
    <m/>
    <s v="Nantes"/>
    <m/>
    <n v="44000"/>
    <s v="France"/>
    <s v="EMEA"/>
    <s v="Schmitt"/>
    <s v="Carine"/>
    <s v="Small"/>
    <n v="2993.5"/>
  </r>
  <r>
    <n v="10137"/>
    <n v="26"/>
    <n v="49.81"/>
    <n v="1"/>
    <n v="1295.06"/>
    <d v="2003-07-10T00:00:00"/>
    <s v="Shipped"/>
    <n v="3"/>
    <x v="2"/>
    <n v="2003"/>
    <x v="1"/>
    <n v="50"/>
    <s v="S24_1628"/>
    <s v="Reims Collectables"/>
    <s v="26.47.1555"/>
    <s v="59 rue de l'Abbaye"/>
    <m/>
    <s v="Reims"/>
    <m/>
    <n v="51100"/>
    <s v="France"/>
    <s v="EMEA"/>
    <s v="Henriot"/>
    <s v="Paul"/>
    <s v="Small"/>
    <n v="1295.06"/>
  </r>
  <r>
    <n v="10148"/>
    <n v="47"/>
    <n v="56.85"/>
    <n v="8"/>
    <n v="2671.95"/>
    <d v="2003-09-11T00:00:00"/>
    <s v="Shipped"/>
    <n v="3"/>
    <x v="10"/>
    <n v="2003"/>
    <x v="1"/>
    <n v="50"/>
    <s v="S24_162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671.9500000000003"/>
  </r>
  <r>
    <n v="10161"/>
    <n v="23"/>
    <n v="53.33"/>
    <n v="7"/>
    <n v="1226.5899999999999"/>
    <d v="2003-10-17T00:00:00"/>
    <s v="Shipped"/>
    <n v="4"/>
    <x v="4"/>
    <n v="2003"/>
    <x v="1"/>
    <n v="50"/>
    <s v="S24_1628"/>
    <s v="Heintze Collectables"/>
    <s v="86 21 3555"/>
    <s v="Smagsloget 45"/>
    <m/>
    <s v="Aaarhus"/>
    <m/>
    <n v="8200"/>
    <s v="Denmark"/>
    <s v="EMEA"/>
    <s v="Ibsen"/>
    <s v="Palle"/>
    <s v="Small"/>
    <n v="1226.5899999999999"/>
  </r>
  <r>
    <n v="10172"/>
    <n v="34"/>
    <n v="42.76"/>
    <n v="5"/>
    <n v="1453.84"/>
    <d v="2003-11-05T00:00:00"/>
    <s v="Shipped"/>
    <n v="4"/>
    <x v="5"/>
    <n v="2003"/>
    <x v="1"/>
    <n v="50"/>
    <s v="S24_1628"/>
    <s v="Gift Depot Inc."/>
    <n v="2035552570"/>
    <s v="25593 South Bay Ln."/>
    <m/>
    <s v="Bridgewater"/>
    <s v="CT"/>
    <n v="97562"/>
    <s v="USA"/>
    <s v="NA"/>
    <s v="King"/>
    <s v="Julie"/>
    <s v="Small"/>
    <n v="1453.84"/>
  </r>
  <r>
    <n v="10181"/>
    <n v="34"/>
    <n v="53.83"/>
    <n v="1"/>
    <n v="1830.22"/>
    <d v="2003-11-12T00:00:00"/>
    <s v="Shipped"/>
    <n v="4"/>
    <x v="5"/>
    <n v="2003"/>
    <x v="1"/>
    <n v="50"/>
    <s v="S24_1628"/>
    <s v="Herkku Gifts"/>
    <s v="+47 2267 3215"/>
    <s v="Drammen 121, PR 744 Sentrum"/>
    <m/>
    <s v="Bergen"/>
    <m/>
    <s v="N 5804"/>
    <s v="Norway"/>
    <s v="EMEA"/>
    <s v="Oeztan"/>
    <s v="Veysel"/>
    <s v="Small"/>
    <n v="1830.22"/>
  </r>
  <r>
    <n v="10192"/>
    <n v="47"/>
    <n v="53.83"/>
    <n v="6"/>
    <n v="2530.0100000000002"/>
    <d v="2003-11-20T00:00:00"/>
    <s v="Shipped"/>
    <n v="4"/>
    <x v="5"/>
    <n v="2003"/>
    <x v="1"/>
    <n v="50"/>
    <s v="S24_1628"/>
    <s v="Online Diecast Creations Co."/>
    <n v="6035558647"/>
    <s v="2304 Long Airport Avenue"/>
    <m/>
    <s v="Nashua"/>
    <s v="NH"/>
    <n v="62005"/>
    <s v="USA"/>
    <s v="NA"/>
    <s v="Young"/>
    <s v="Valarie"/>
    <s v="Small"/>
    <n v="2530.0099999999998"/>
  </r>
  <r>
    <n v="10204"/>
    <n v="45"/>
    <n v="49.81"/>
    <n v="12"/>
    <n v="2241.4499999999998"/>
    <d v="2003-12-02T00:00:00"/>
    <s v="Shipped"/>
    <n v="4"/>
    <x v="6"/>
    <n v="2003"/>
    <x v="1"/>
    <n v="50"/>
    <s v="S24_1628"/>
    <s v="Muscle Machine Inc"/>
    <n v="2125557413"/>
    <s v="4092 Furth Circle"/>
    <s v="Suite 400"/>
    <s v="NYC"/>
    <s v="NY"/>
    <n v="10022"/>
    <s v="USA"/>
    <s v="NA"/>
    <s v="Young"/>
    <s v="Jeff"/>
    <s v="Small"/>
    <n v="2241.4500000000003"/>
  </r>
  <r>
    <n v="10212"/>
    <n v="45"/>
    <n v="53.33"/>
    <n v="5"/>
    <n v="2399.85"/>
    <d v="2004-01-16T00:00:00"/>
    <s v="Shipped"/>
    <n v="1"/>
    <x v="7"/>
    <n v="2004"/>
    <x v="1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Small"/>
    <n v="2399.85"/>
  </r>
  <r>
    <n v="10226"/>
    <n v="36"/>
    <n v="43.27"/>
    <n v="3"/>
    <n v="1557.72"/>
    <d v="2004-02-26T00:00:00"/>
    <s v="Shipped"/>
    <n v="1"/>
    <x v="0"/>
    <n v="2004"/>
    <x v="1"/>
    <n v="50"/>
    <s v="S24_1628"/>
    <s v="Collectable Mini Designs Co."/>
    <n v="7605558146"/>
    <s v="361 Furth Circle"/>
    <m/>
    <s v="San Diego"/>
    <s v="CA"/>
    <n v="91217"/>
    <s v="USA"/>
    <s v="NA"/>
    <s v="Thompson"/>
    <s v="Valarie"/>
    <s v="Small"/>
    <n v="1557.72"/>
  </r>
  <r>
    <n v="10241"/>
    <n v="21"/>
    <n v="40.25"/>
    <n v="10"/>
    <n v="845.25"/>
    <d v="2004-04-13T00:00:00"/>
    <s v="Shipped"/>
    <n v="2"/>
    <x v="8"/>
    <n v="2004"/>
    <x v="1"/>
    <n v="50"/>
    <s v="S24_1628"/>
    <s v="Mini Caravy"/>
    <s v="88.60.1555"/>
    <s v="24, place Kluber"/>
    <m/>
    <s v="Strasbourg"/>
    <m/>
    <n v="67000"/>
    <s v="France"/>
    <s v="EMEA"/>
    <s v="Citeaux"/>
    <s v="Frederique"/>
    <s v="Small"/>
    <n v="845.25"/>
  </r>
  <r>
    <n v="10266"/>
    <n v="28"/>
    <n v="48.3"/>
    <n v="1"/>
    <n v="1352.4"/>
    <d v="2004-07-06T00:00:00"/>
    <s v="Shipped"/>
    <n v="3"/>
    <x v="2"/>
    <n v="2004"/>
    <x v="1"/>
    <n v="50"/>
    <s v="S24_1628"/>
    <s v="L'ordine Souveniers"/>
    <s v="0522-556555"/>
    <s v="Strada Provinciale 124"/>
    <m/>
    <s v="Reggio Emilia"/>
    <m/>
    <n v="42100"/>
    <s v="Italy"/>
    <s v="EMEA"/>
    <s v="Moroni"/>
    <s v="Maurizio"/>
    <s v="Small"/>
    <n v="1352.3999999999999"/>
  </r>
  <r>
    <n v="10278"/>
    <n v="35"/>
    <n v="45.28"/>
    <n v="1"/>
    <n v="1584.8"/>
    <d v="2004-08-06T00:00:00"/>
    <s v="Shipped"/>
    <n v="3"/>
    <x v="3"/>
    <n v="2004"/>
    <x v="1"/>
    <n v="50"/>
    <s v="S24_1628"/>
    <s v="Signal Gift Stores"/>
    <n v="7025551838"/>
    <s v="8489 Strong St."/>
    <m/>
    <s v="Las Vegas"/>
    <s v="NV"/>
    <n v="83030"/>
    <s v="USA"/>
    <s v="NA"/>
    <s v="King"/>
    <s v="Sue"/>
    <s v="Small"/>
    <n v="1584.8"/>
  </r>
  <r>
    <n v="10288"/>
    <n v="50"/>
    <n v="52.32"/>
    <n v="13"/>
    <n v="2616"/>
    <d v="2004-09-01T00:00:00"/>
    <s v="Shipped"/>
    <n v="3"/>
    <x v="10"/>
    <n v="2004"/>
    <x v="1"/>
    <n v="50"/>
    <s v="S24_162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616"/>
  </r>
  <r>
    <n v="10301"/>
    <n v="22"/>
    <n v="51.32"/>
    <n v="3"/>
    <n v="1129.04"/>
    <d v="2003-10-05T00:00:00"/>
    <s v="Shipped"/>
    <n v="4"/>
    <x v="4"/>
    <n v="2003"/>
    <x v="1"/>
    <n v="50"/>
    <s v="S24_1628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1129.04"/>
  </r>
  <r>
    <n v="10311"/>
    <n v="45"/>
    <n v="49.3"/>
    <n v="8"/>
    <n v="2218.5"/>
    <d v="2004-10-16T00:00:00"/>
    <s v="Shipped"/>
    <n v="4"/>
    <x v="4"/>
    <n v="2004"/>
    <x v="1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Small"/>
    <n v="2218.5"/>
  </r>
  <r>
    <n v="10321"/>
    <n v="48"/>
    <n v="42.26"/>
    <n v="5"/>
    <n v="2028.48"/>
    <d v="2004-11-04T00:00:00"/>
    <s v="Shipped"/>
    <n v="4"/>
    <x v="5"/>
    <n v="2004"/>
    <x v="1"/>
    <n v="50"/>
    <s v="S24_1628"/>
    <s v="FunGiftIdeas.com"/>
    <n v="5085552555"/>
    <s v="1785 First Street"/>
    <m/>
    <s v="New Bedford"/>
    <s v="MA"/>
    <n v="50553"/>
    <s v="USA"/>
    <s v="NA"/>
    <s v="Benitez"/>
    <s v="Violeta"/>
    <s v="Small"/>
    <n v="2028.48"/>
  </r>
  <r>
    <n v="10332"/>
    <n v="20"/>
    <n v="87.96"/>
    <n v="5"/>
    <n v="1759.2"/>
    <d v="2004-11-17T00:00:00"/>
    <s v="Shipped"/>
    <n v="4"/>
    <x v="5"/>
    <n v="2004"/>
    <x v="1"/>
    <n v="50"/>
    <s v="S24_1628"/>
    <s v="AV Stores, Co."/>
    <s v="(171) 555-1555"/>
    <s v="Fauntleroy Circus"/>
    <m/>
    <s v="Manchester"/>
    <m/>
    <s v="EC2 5NT"/>
    <s v="UK"/>
    <s v="EMEA"/>
    <s v="Ashworth"/>
    <s v="Victoria"/>
    <s v="Small"/>
    <n v="1759.1999999999998"/>
  </r>
  <r>
    <n v="10343"/>
    <n v="27"/>
    <n v="36.21"/>
    <n v="6"/>
    <n v="977.67"/>
    <d v="2004-11-24T00:00:00"/>
    <s v="Shipped"/>
    <n v="4"/>
    <x v="5"/>
    <n v="2004"/>
    <x v="1"/>
    <n v="50"/>
    <s v="S24_1628"/>
    <s v="Reims Collectables"/>
    <s v="26.47.1555"/>
    <s v="59 rue de l'Abbaye"/>
    <m/>
    <s v="Reims"/>
    <m/>
    <n v="51100"/>
    <s v="France"/>
    <s v="EMEA"/>
    <s v="Henriot"/>
    <s v="Paul"/>
    <s v="Small"/>
    <n v="977.67000000000007"/>
  </r>
  <r>
    <n v="10367"/>
    <n v="38"/>
    <n v="38.5"/>
    <n v="11"/>
    <n v="1463"/>
    <d v="2005-01-12T00:00:00"/>
    <s v="Resolved"/>
    <n v="1"/>
    <x v="7"/>
    <n v="2005"/>
    <x v="1"/>
    <n v="50"/>
    <s v="S24_1628"/>
    <s v="Toys4GrownUps.com"/>
    <n v="6265557265"/>
    <s v="78934 Hillside Dr."/>
    <m/>
    <s v="Pasadena"/>
    <s v="CA"/>
    <n v="90003"/>
    <s v="USA"/>
    <s v="NA"/>
    <s v="Young"/>
    <s v="Julie"/>
    <s v="Small"/>
    <n v="1463"/>
  </r>
  <r>
    <n v="10379"/>
    <n v="32"/>
    <n v="100"/>
    <n v="3"/>
    <n v="3970.56"/>
    <d v="2005-02-10T00:00:00"/>
    <s v="Shipped"/>
    <n v="1"/>
    <x v="0"/>
    <n v="2005"/>
    <x v="1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Medium"/>
    <n v="3200"/>
  </r>
  <r>
    <n v="10407"/>
    <n v="64"/>
    <n v="40.25"/>
    <n v="10"/>
    <n v="2576"/>
    <d v="2005-04-22T00:00:00"/>
    <s v="On Hold"/>
    <n v="2"/>
    <x v="8"/>
    <n v="2005"/>
    <x v="1"/>
    <n v="50"/>
    <s v="S24_1628"/>
    <s v="The Sharp Gifts Warehouse"/>
    <n v="4085553659"/>
    <s v="3086 Ingle Ln."/>
    <m/>
    <s v="San Jose"/>
    <s v="CA"/>
    <n v="94217"/>
    <s v="USA"/>
    <s v="NA"/>
    <s v="Frick"/>
    <s v="Sue"/>
    <s v="Small"/>
    <n v="2576"/>
  </r>
  <r>
    <n v="10420"/>
    <n v="37"/>
    <n v="60.37"/>
    <n v="13"/>
    <n v="2233.69"/>
    <d v="2005-05-29T00:00:00"/>
    <s v="In Process"/>
    <n v="2"/>
    <x v="1"/>
    <n v="2005"/>
    <x v="1"/>
    <n v="50"/>
    <s v="S24_162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233.69"/>
  </r>
  <r>
    <n v="10106"/>
    <n v="28"/>
    <n v="88.63"/>
    <n v="4"/>
    <n v="2481.64"/>
    <d v="2003-02-17T00:00:00"/>
    <s v="Shipped"/>
    <n v="1"/>
    <x v="0"/>
    <n v="2003"/>
    <x v="4"/>
    <n v="109"/>
    <s v="S24_1785"/>
    <s v="Rovelli Gifts"/>
    <s v="035-640555"/>
    <s v="Via Ludovico il Moro 22"/>
    <m/>
    <s v="Bergamo"/>
    <m/>
    <n v="24100"/>
    <s v="Italy"/>
    <s v="EMEA"/>
    <s v="Rovelli"/>
    <s v="Giovanni"/>
    <s v="Small"/>
    <n v="2481.64"/>
  </r>
  <r>
    <n v="10120"/>
    <n v="39"/>
    <n v="100"/>
    <n v="10"/>
    <n v="4651.53"/>
    <d v="2003-04-29T00:00:00"/>
    <s v="Shipped"/>
    <n v="2"/>
    <x v="8"/>
    <n v="2003"/>
    <x v="4"/>
    <n v="109"/>
    <s v="S24_178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900"/>
  </r>
  <r>
    <n v="10133"/>
    <n v="41"/>
    <n v="94.1"/>
    <n v="5"/>
    <n v="3858.1"/>
    <d v="2003-06-27T00:00:00"/>
    <s v="Shipped"/>
    <n v="2"/>
    <x v="9"/>
    <n v="2003"/>
    <x v="4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Medium"/>
    <n v="3858.1"/>
  </r>
  <r>
    <n v="10145"/>
    <n v="40"/>
    <n v="87.54"/>
    <n v="16"/>
    <n v="3501.6"/>
    <d v="2003-08-25T00:00:00"/>
    <s v="Shipped"/>
    <n v="3"/>
    <x v="3"/>
    <n v="2003"/>
    <x v="4"/>
    <n v="109"/>
    <s v="S24_1785"/>
    <s v="Toys4GrownUps.com"/>
    <n v="6265557265"/>
    <s v="78934 Hillside Dr."/>
    <m/>
    <s v="Pasadena"/>
    <s v="CA"/>
    <n v="90003"/>
    <s v="USA"/>
    <s v="NA"/>
    <s v="Young"/>
    <s v="Julie"/>
    <s v="Medium"/>
    <n v="3501.6000000000004"/>
  </r>
  <r>
    <n v="10168"/>
    <n v="49"/>
    <n v="100"/>
    <n v="11"/>
    <n v="6433.7"/>
    <d v="2003-10-28T00:00:00"/>
    <s v="Shipped"/>
    <n v="4"/>
    <x v="4"/>
    <n v="2003"/>
    <x v="4"/>
    <n v="109"/>
    <s v="S24_1785"/>
    <s v="Technics Stores Inc."/>
    <n v="6505556809"/>
    <s v="9408 Furth Circle"/>
    <m/>
    <s v="Burlingame"/>
    <s v="CA"/>
    <n v="94217"/>
    <s v="USA"/>
    <s v="NA"/>
    <s v="Hirano"/>
    <s v="Juri"/>
    <s v="Medium"/>
    <n v="4900"/>
  </r>
  <r>
    <n v="10210"/>
    <n v="27"/>
    <n v="98.48"/>
    <n v="9"/>
    <n v="2658.96"/>
    <d v="2004-01-12T00:00:00"/>
    <s v="Shipped"/>
    <n v="1"/>
    <x v="7"/>
    <n v="2004"/>
    <x v="4"/>
    <n v="109"/>
    <s v="S24_1785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2658.96"/>
  </r>
  <r>
    <n v="10223"/>
    <n v="34"/>
    <n v="100"/>
    <n v="11"/>
    <n v="3608.76"/>
    <d v="2004-02-20T00:00:00"/>
    <s v="Shipped"/>
    <n v="1"/>
    <x v="0"/>
    <n v="2004"/>
    <x v="4"/>
    <n v="109"/>
    <s v="S24_178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400"/>
  </r>
  <r>
    <n v="10235"/>
    <n v="23"/>
    <n v="96.29"/>
    <n v="5"/>
    <n v="2214.67"/>
    <d v="2004-04-02T00:00:00"/>
    <s v="Shipped"/>
    <n v="2"/>
    <x v="8"/>
    <n v="2004"/>
    <x v="4"/>
    <n v="109"/>
    <s v="S24_1785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214.67"/>
  </r>
  <r>
    <n v="10250"/>
    <n v="31"/>
    <n v="88.63"/>
    <n v="6"/>
    <n v="2747.53"/>
    <d v="2004-05-11T00:00:00"/>
    <s v="Shipped"/>
    <n v="2"/>
    <x v="1"/>
    <n v="2004"/>
    <x v="4"/>
    <n v="109"/>
    <s v="S24_1785"/>
    <s v="The Sharp Gifts Warehouse"/>
    <n v="4085553659"/>
    <s v="3086 Ingle Ln."/>
    <m/>
    <s v="San Jose"/>
    <s v="CA"/>
    <n v="94217"/>
    <s v="USA"/>
    <s v="NA"/>
    <s v="Frick"/>
    <s v="Sue"/>
    <s v="Small"/>
    <n v="2747.5299999999997"/>
  </r>
  <r>
    <n v="10262"/>
    <n v="34"/>
    <n v="97.38"/>
    <n v="1"/>
    <n v="3310.92"/>
    <d v="2004-06-24T00:00:00"/>
    <s v="Cancelled"/>
    <n v="2"/>
    <x v="9"/>
    <n v="2004"/>
    <x v="4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Medium"/>
    <n v="3310.92"/>
  </r>
  <r>
    <n v="10275"/>
    <n v="25"/>
    <n v="95.2"/>
    <n v="11"/>
    <n v="2380"/>
    <d v="2004-07-23T00:00:00"/>
    <s v="Shipped"/>
    <n v="3"/>
    <x v="2"/>
    <n v="2004"/>
    <x v="4"/>
    <n v="109"/>
    <s v="S24_1785"/>
    <s v="La Rochelle Gifts"/>
    <s v="40.67.8555"/>
    <s v="67, rue des Cinquante Otages"/>
    <m/>
    <s v="Nantes"/>
    <m/>
    <n v="44000"/>
    <s v="France"/>
    <s v="EMEA"/>
    <s v="Labrune"/>
    <s v="Janine"/>
    <s v="Small"/>
    <n v="2380"/>
  </r>
  <r>
    <n v="10284"/>
    <n v="22"/>
    <n v="100"/>
    <n v="3"/>
    <n v="2310.88"/>
    <d v="2004-08-21T00:00:00"/>
    <s v="Shipped"/>
    <n v="3"/>
    <x v="3"/>
    <n v="2004"/>
    <x v="4"/>
    <n v="109"/>
    <s v="S24_1785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2200"/>
  </r>
  <r>
    <n v="10297"/>
    <n v="32"/>
    <n v="100"/>
    <n v="6"/>
    <n v="4061.76"/>
    <d v="2004-09-16T00:00:00"/>
    <s v="Shipped"/>
    <n v="3"/>
    <x v="10"/>
    <n v="2004"/>
    <x v="4"/>
    <n v="109"/>
    <s v="S24_1785"/>
    <s v="Clover Collections, Co."/>
    <s v="+353 1862 1555"/>
    <s v="25 Maiden Lane"/>
    <s v="Floor No. 4"/>
    <s v="Dublin"/>
    <m/>
    <n v="2"/>
    <s v="Ireland"/>
    <s v="EMEA"/>
    <s v="Cassidy"/>
    <s v="Dean"/>
    <s v="Medium"/>
    <n v="3200"/>
  </r>
  <r>
    <n v="10308"/>
    <n v="31"/>
    <n v="100"/>
    <n v="9"/>
    <n v="3493.7"/>
    <d v="2004-10-15T00:00:00"/>
    <s v="Shipped"/>
    <n v="4"/>
    <x v="4"/>
    <n v="2004"/>
    <x v="4"/>
    <n v="109"/>
    <s v="S24_1785"/>
    <s v="Mini Classics"/>
    <n v="9145554562"/>
    <s v="3758 North Pendale Street"/>
    <m/>
    <s v="White Plains"/>
    <s v="NY"/>
    <n v="24067"/>
    <s v="USA"/>
    <s v="NA"/>
    <s v="Frick"/>
    <s v="Steve"/>
    <s v="Medium"/>
    <n v="3100"/>
  </r>
  <r>
    <n v="10316"/>
    <n v="25"/>
    <n v="100"/>
    <n v="1"/>
    <n v="2872.25"/>
    <d v="2004-11-01T00:00:00"/>
    <s v="Shipped"/>
    <n v="4"/>
    <x v="5"/>
    <n v="2004"/>
    <x v="4"/>
    <n v="109"/>
    <s v="S24_1785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500"/>
  </r>
  <r>
    <n v="10328"/>
    <n v="47"/>
    <n v="87.54"/>
    <n v="14"/>
    <n v="4114.38"/>
    <d v="2004-11-12T00:00:00"/>
    <s v="Shipped"/>
    <n v="4"/>
    <x v="5"/>
    <n v="2004"/>
    <x v="4"/>
    <n v="109"/>
    <s v="S24_1785"/>
    <s v="Rovelli Gifts"/>
    <s v="035-640555"/>
    <s v="Via Ludovico il Moro 22"/>
    <m/>
    <s v="Bergamo"/>
    <m/>
    <n v="24100"/>
    <s v="Italy"/>
    <s v="EMEA"/>
    <s v="Rovelli"/>
    <s v="Giovanni"/>
    <s v="Medium"/>
    <n v="4114.38"/>
  </r>
  <r>
    <n v="10339"/>
    <n v="21"/>
    <n v="50.65"/>
    <n v="7"/>
    <n v="1063.6500000000001"/>
    <d v="2004-11-23T00:00:00"/>
    <s v="Shipped"/>
    <n v="4"/>
    <x v="5"/>
    <n v="2004"/>
    <x v="4"/>
    <n v="109"/>
    <s v="S24_1785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1063.6499999999999"/>
  </r>
  <r>
    <n v="10353"/>
    <n v="28"/>
    <n v="71.73"/>
    <n v="2"/>
    <n v="2008.44"/>
    <d v="2004-12-04T00:00:00"/>
    <s v="Shipped"/>
    <n v="4"/>
    <x v="6"/>
    <n v="2004"/>
    <x v="4"/>
    <n v="109"/>
    <s v="S24_1785"/>
    <s v="Gift Ideas Corp."/>
    <n v="2035554407"/>
    <s v="2440 Pompton St."/>
    <m/>
    <s v="Glendale"/>
    <s v="CT"/>
    <n v="97561"/>
    <s v="USA"/>
    <s v="NA"/>
    <s v="Lewis"/>
    <s v="Dan"/>
    <s v="Small"/>
    <n v="2008.44"/>
  </r>
  <r>
    <n v="10374"/>
    <n v="46"/>
    <n v="94.1"/>
    <n v="3"/>
    <n v="4328.6000000000004"/>
    <d v="2005-02-02T00:00:00"/>
    <s v="Shipped"/>
    <n v="1"/>
    <x v="0"/>
    <n v="2005"/>
    <x v="4"/>
    <n v="109"/>
    <s v="S24_1785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  <n v="4328.5999999999995"/>
  </r>
  <r>
    <n v="10386"/>
    <n v="33"/>
    <n v="41.71"/>
    <n v="11"/>
    <n v="1376.43"/>
    <d v="2005-03-01T00:00:00"/>
    <s v="Resolved"/>
    <n v="1"/>
    <x v="11"/>
    <n v="2005"/>
    <x v="4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Small"/>
    <n v="1376.43"/>
  </r>
  <r>
    <n v="10398"/>
    <n v="43"/>
    <n v="100"/>
    <n v="16"/>
    <n v="5552.16"/>
    <d v="2005-03-30T00:00:00"/>
    <s v="Shipped"/>
    <n v="1"/>
    <x v="11"/>
    <n v="2005"/>
    <x v="4"/>
    <n v="109"/>
    <s v="S24_1785"/>
    <s v="Reims Collectables"/>
    <s v="26.47.1555"/>
    <s v="59 rue de l'Abbaye"/>
    <m/>
    <s v="Reims"/>
    <m/>
    <n v="51100"/>
    <s v="France"/>
    <s v="EMEA"/>
    <s v="Henriot"/>
    <s v="Paul"/>
    <s v="Medium"/>
    <n v="4300"/>
  </r>
  <r>
    <n v="10401"/>
    <n v="38"/>
    <n v="96.29"/>
    <n v="5"/>
    <n v="3659.02"/>
    <d v="2005-04-03T00:00:00"/>
    <s v="On Hold"/>
    <n v="2"/>
    <x v="8"/>
    <n v="2005"/>
    <x v="4"/>
    <n v="109"/>
    <s v="S24_1785"/>
    <s v="Tekni Collectables Inc."/>
    <n v="2015559350"/>
    <s v="7476 Moss Rd."/>
    <m/>
    <s v="Newark"/>
    <s v="NJ"/>
    <n v="94019"/>
    <s v="USA"/>
    <s v="NA"/>
    <s v="Brown"/>
    <s v="William"/>
    <s v="Medium"/>
    <n v="3659.0200000000004"/>
  </r>
  <r>
    <n v="10416"/>
    <n v="47"/>
    <n v="88.63"/>
    <n v="6"/>
    <n v="4165.6099999999997"/>
    <d v="2005-05-10T00:00:00"/>
    <s v="Shipped"/>
    <n v="2"/>
    <x v="1"/>
    <n v="2005"/>
    <x v="4"/>
    <n v="109"/>
    <s v="S24_1785"/>
    <s v="L'ordine Souveniers"/>
    <s v="0522-556555"/>
    <s v="Strada Provinciale 124"/>
    <m/>
    <s v="Reggio Emilia"/>
    <m/>
    <n v="42100"/>
    <s v="Italy"/>
    <s v="EMEA"/>
    <s v="Moroni"/>
    <s v="Maurizio"/>
    <s v="Medium"/>
    <n v="4165.6099999999997"/>
  </r>
  <r>
    <n v="10101"/>
    <n v="45"/>
    <n v="31.2"/>
    <n v="3"/>
    <n v="1404"/>
    <d v="2003-01-09T00:00:00"/>
    <s v="Shipped"/>
    <n v="1"/>
    <x v="7"/>
    <n v="2003"/>
    <x v="3"/>
    <n v="33"/>
    <s v="S24_1937"/>
    <s v="Blauer See Auto, Co."/>
    <s v="+49 69 66 90 2555"/>
    <s v="Lyonerstr. 34"/>
    <m/>
    <s v="Frankfurt"/>
    <m/>
    <n v="60528"/>
    <s v="Germany"/>
    <s v="EMEA"/>
    <s v="Keitel"/>
    <s v="Roland"/>
    <s v="Small"/>
    <n v="1404"/>
  </r>
  <r>
    <n v="10110"/>
    <n v="20"/>
    <n v="35.51"/>
    <n v="3"/>
    <n v="710.2"/>
    <d v="2003-03-18T00:00:00"/>
    <s v="Shipped"/>
    <n v="1"/>
    <x v="11"/>
    <n v="2003"/>
    <x v="3"/>
    <n v="33"/>
    <s v="S24_1937"/>
    <s v="AV Stores, Co."/>
    <s v="(171) 555-1555"/>
    <s v="Fauntleroy Circus"/>
    <m/>
    <s v="Manchester"/>
    <m/>
    <s v="EC2 5NT"/>
    <s v="UK"/>
    <s v="EMEA"/>
    <s v="Ashworth"/>
    <s v="Victoria"/>
    <s v="Small"/>
    <n v="710.19999999999993"/>
  </r>
  <r>
    <n v="10124"/>
    <n v="45"/>
    <n v="37.840000000000003"/>
    <n v="2"/>
    <n v="1702.8"/>
    <d v="2003-05-21T00:00:00"/>
    <s v="Shipped"/>
    <n v="2"/>
    <x v="1"/>
    <n v="2003"/>
    <x v="3"/>
    <n v="33"/>
    <s v="S24_1937"/>
    <s v="Signal Gift Stores"/>
    <n v="7025551838"/>
    <s v="8489 Strong St."/>
    <m/>
    <s v="Las Vegas"/>
    <s v="NV"/>
    <n v="83030"/>
    <s v="USA"/>
    <s v="NA"/>
    <s v="King"/>
    <s v="Sue"/>
    <s v="Small"/>
    <n v="1702.8000000000002"/>
  </r>
  <r>
    <n v="10149"/>
    <n v="36"/>
    <n v="33.19"/>
    <n v="7"/>
    <n v="1194.8399999999999"/>
    <d v="2003-09-12T00:00:00"/>
    <s v="Shipped"/>
    <n v="3"/>
    <x v="10"/>
    <n v="2003"/>
    <x v="3"/>
    <n v="33"/>
    <s v="S24_1937"/>
    <s v="Signal Collectibles Ltd."/>
    <n v="4155554312"/>
    <s v="2793 Furth Circle"/>
    <m/>
    <s v="Brisbane"/>
    <s v="CA"/>
    <n v="94217"/>
    <s v="USA"/>
    <s v="NA"/>
    <s v="Taylor"/>
    <s v="Sue"/>
    <s v="Small"/>
    <n v="1194.8399999999999"/>
  </r>
  <r>
    <n v="10162"/>
    <n v="37"/>
    <n v="27.22"/>
    <n v="5"/>
    <n v="1007.14"/>
    <d v="2003-10-18T00:00:00"/>
    <s v="Shipped"/>
    <n v="4"/>
    <x v="4"/>
    <n v="2003"/>
    <x v="3"/>
    <n v="33"/>
    <s v="S24_1937"/>
    <s v="Corporate Gift Ideas Co."/>
    <n v="6505551386"/>
    <s v="7734 Strong St."/>
    <m/>
    <s v="San Francisco"/>
    <s v="CA"/>
    <m/>
    <s v="USA"/>
    <s v="NA"/>
    <s v="Brown"/>
    <s v="Julie"/>
    <s v="Small"/>
    <n v="1007.14"/>
  </r>
  <r>
    <n v="10173"/>
    <n v="31"/>
    <n v="31.53"/>
    <n v="9"/>
    <n v="977.43"/>
    <d v="2003-11-05T00:00:00"/>
    <s v="Shipped"/>
    <n v="4"/>
    <x v="5"/>
    <n v="2003"/>
    <x v="3"/>
    <n v="33"/>
    <s v="S24_1937"/>
    <s v="Rovelli Gifts"/>
    <s v="035-640555"/>
    <s v="Via Ludovico il Moro 22"/>
    <m/>
    <s v="Bergamo"/>
    <m/>
    <n v="24100"/>
    <s v="Italy"/>
    <s v="EMEA"/>
    <s v="Rovelli"/>
    <s v="Giovanni"/>
    <s v="Small"/>
    <n v="977.43000000000006"/>
  </r>
  <r>
    <n v="10182"/>
    <n v="39"/>
    <n v="36.840000000000003"/>
    <n v="6"/>
    <n v="1436.76"/>
    <d v="2003-11-12T00:00:00"/>
    <s v="Shipped"/>
    <n v="4"/>
    <x v="5"/>
    <n v="2003"/>
    <x v="3"/>
    <n v="33"/>
    <s v="S24_1937"/>
    <s v="Mini Gifts Distributors Ltd."/>
    <n v="4155551450"/>
    <s v="5677 Strong St."/>
    <m/>
    <s v="San Rafael"/>
    <s v="CA"/>
    <n v="97562"/>
    <s v="USA"/>
    <s v="NA"/>
    <s v="Nelson"/>
    <s v="Valarie"/>
    <s v="Small"/>
    <n v="1436.7600000000002"/>
  </r>
  <r>
    <n v="10193"/>
    <n v="26"/>
    <n v="29.21"/>
    <n v="10"/>
    <n v="759.46"/>
    <d v="2003-11-21T00:00:00"/>
    <s v="Shipped"/>
    <n v="4"/>
    <x v="5"/>
    <n v="2003"/>
    <x v="3"/>
    <n v="33"/>
    <s v="S24_1937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759.46"/>
  </r>
  <r>
    <n v="10205"/>
    <n v="32"/>
    <n v="37.17"/>
    <n v="5"/>
    <n v="1189.44"/>
    <d v="2003-12-03T00:00:00"/>
    <s v="Shipped"/>
    <n v="4"/>
    <x v="6"/>
    <n v="2003"/>
    <x v="3"/>
    <n v="33"/>
    <s v="S24_1937"/>
    <s v="Euro Shopping Channel"/>
    <s v="(91) 555 94 44"/>
    <s v="C/ Moralzarzal, 86"/>
    <m/>
    <s v="Madrid"/>
    <m/>
    <n v="28034"/>
    <s v="Spain"/>
    <s v="EMEA"/>
    <s v="Freyre"/>
    <s v="Diego"/>
    <s v="Small"/>
    <n v="1189.44"/>
  </r>
  <r>
    <n v="10214"/>
    <n v="20"/>
    <n v="34.19"/>
    <n v="3"/>
    <n v="683.8"/>
    <d v="2004-01-26T00:00:00"/>
    <s v="Shipped"/>
    <n v="1"/>
    <x v="7"/>
    <n v="2004"/>
    <x v="3"/>
    <n v="33"/>
    <s v="S24_1937"/>
    <s v="Corrida Auto Replicas, Ltd"/>
    <s v="(91) 555 22 82"/>
    <s v="C/ Araquil, 67"/>
    <m/>
    <s v="Madrid"/>
    <m/>
    <n v="28023"/>
    <s v="Spain"/>
    <s v="EMEA"/>
    <s v="Sommer"/>
    <s v="Mart¡n"/>
    <s v="Small"/>
    <n v="683.8"/>
  </r>
  <r>
    <n v="10227"/>
    <n v="42"/>
    <n v="29.21"/>
    <n v="6"/>
    <n v="1226.82"/>
    <d v="2004-03-02T00:00:00"/>
    <s v="Shipped"/>
    <n v="1"/>
    <x v="11"/>
    <n v="2004"/>
    <x v="3"/>
    <n v="33"/>
    <s v="S24_1937"/>
    <s v="Saveley &amp; Henriot, Co."/>
    <s v="78.32.5555"/>
    <s v="2, rue du Commerce"/>
    <m/>
    <s v="Lyon"/>
    <m/>
    <n v="69004"/>
    <s v="France"/>
    <s v="EMEA"/>
    <s v="Saveley"/>
    <s v="Mary"/>
    <s v="Small"/>
    <n v="1226.82"/>
  </r>
  <r>
    <n v="10243"/>
    <n v="33"/>
    <n v="29.54"/>
    <n v="1"/>
    <n v="974.82"/>
    <d v="2004-04-26T00:00:00"/>
    <s v="Shipped"/>
    <n v="2"/>
    <x v="8"/>
    <n v="2004"/>
    <x v="3"/>
    <n v="33"/>
    <s v="S24_1937"/>
    <s v="Diecast Collectables"/>
    <n v="6175552555"/>
    <s v="6251 Ingle Ln."/>
    <m/>
    <s v="Boston"/>
    <s v="MA"/>
    <n v="51003"/>
    <s v="USA"/>
    <s v="NA"/>
    <s v="Franco"/>
    <s v="Valarie"/>
    <s v="Small"/>
    <n v="974.81999999999994"/>
  </r>
  <r>
    <n v="10280"/>
    <n v="20"/>
    <n v="28.88"/>
    <n v="12"/>
    <n v="577.6"/>
    <d v="2004-08-17T00:00:00"/>
    <s v="Shipped"/>
    <n v="3"/>
    <x v="3"/>
    <n v="2004"/>
    <x v="3"/>
    <n v="33"/>
    <s v="S24_1937"/>
    <s v="Amica Models &amp; Co."/>
    <s v="011-4988555"/>
    <s v="Via Monte Bianco 34"/>
    <m/>
    <s v="Torino"/>
    <m/>
    <n v="10100"/>
    <s v="Italy"/>
    <s v="EMEA"/>
    <s v="Accorti"/>
    <s v="Paolo"/>
    <s v="Small"/>
    <n v="577.6"/>
  </r>
  <r>
    <n v="10288"/>
    <n v="29"/>
    <n v="38.17"/>
    <n v="1"/>
    <n v="1106.93"/>
    <d v="2004-09-01T00:00:00"/>
    <s v="Shipped"/>
    <n v="3"/>
    <x v="10"/>
    <n v="2004"/>
    <x v="3"/>
    <n v="33"/>
    <s v="S24_193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106.93"/>
  </r>
  <r>
    <n v="10304"/>
    <n v="23"/>
    <n v="30.2"/>
    <n v="16"/>
    <n v="694.6"/>
    <d v="2004-10-11T00:00:00"/>
    <s v="Shipped"/>
    <n v="4"/>
    <x v="4"/>
    <n v="2004"/>
    <x v="3"/>
    <n v="33"/>
    <s v="S24_1937"/>
    <s v="Auto Assoc. &amp; Cie."/>
    <s v="30.59.8555"/>
    <s v="67, avenue de l'Europe"/>
    <m/>
    <s v="Versailles"/>
    <m/>
    <n v="78000"/>
    <s v="France"/>
    <s v="EMEA"/>
    <s v="Tonini"/>
    <s v="Daniel"/>
    <s v="Small"/>
    <n v="694.6"/>
  </r>
  <r>
    <n v="10312"/>
    <n v="39"/>
    <n v="29.54"/>
    <n v="13"/>
    <n v="1152.06"/>
    <d v="2004-10-21T00:00:00"/>
    <s v="Shipped"/>
    <n v="4"/>
    <x v="4"/>
    <n v="2004"/>
    <x v="3"/>
    <n v="33"/>
    <s v="S24_1937"/>
    <s v="Mini Gifts Distributors Ltd."/>
    <n v="4155551450"/>
    <s v="5677 Strong St."/>
    <m/>
    <s v="San Rafael"/>
    <s v="CA"/>
    <n v="97562"/>
    <s v="USA"/>
    <s v="NA"/>
    <s v="Nelson"/>
    <s v="Valarie"/>
    <s v="Small"/>
    <n v="1152.06"/>
  </r>
  <r>
    <n v="10322"/>
    <n v="20"/>
    <n v="100"/>
    <n v="3"/>
    <n v="2624"/>
    <d v="2004-11-04T00:00:00"/>
    <s v="Shipped"/>
    <n v="4"/>
    <x v="5"/>
    <n v="2004"/>
    <x v="3"/>
    <n v="33"/>
    <s v="S24_1937"/>
    <s v="Online Diecast Creations Co."/>
    <n v="6035558647"/>
    <s v="2304 Long Airport Avenue"/>
    <m/>
    <s v="Nashua"/>
    <s v="NH"/>
    <n v="62005"/>
    <s v="USA"/>
    <s v="NA"/>
    <s v="Young"/>
    <s v="Valarie"/>
    <s v="Small"/>
    <n v="2000"/>
  </r>
  <r>
    <n v="10332"/>
    <n v="45"/>
    <n v="81.91"/>
    <n v="6"/>
    <n v="3685.95"/>
    <d v="2004-11-17T00:00:00"/>
    <s v="Shipped"/>
    <n v="4"/>
    <x v="5"/>
    <n v="2004"/>
    <x v="3"/>
    <n v="33"/>
    <s v="S24_1937"/>
    <s v="AV Stores, Co."/>
    <s v="(171) 555-1555"/>
    <s v="Fauntleroy Circus"/>
    <m/>
    <s v="Manchester"/>
    <m/>
    <s v="EC2 5NT"/>
    <s v="UK"/>
    <s v="EMEA"/>
    <s v="Ashworth"/>
    <s v="Victoria"/>
    <s v="Medium"/>
    <n v="3685.95"/>
  </r>
  <r>
    <n v="10344"/>
    <n v="20"/>
    <n v="35.18"/>
    <n v="6"/>
    <n v="703.6"/>
    <d v="2004-11-25T00:00:00"/>
    <s v="Shipped"/>
    <n v="4"/>
    <x v="5"/>
    <n v="2004"/>
    <x v="3"/>
    <n v="33"/>
    <s v="S24_1937"/>
    <s v="Marseille Mini Autos"/>
    <s v="91.24.4555"/>
    <s v="12, rue des Bouchers"/>
    <m/>
    <s v="Marseille"/>
    <m/>
    <n v="13008"/>
    <s v="France"/>
    <s v="EMEA"/>
    <s v="Lebihan"/>
    <s v="Laurence"/>
    <s v="Small"/>
    <n v="703.6"/>
  </r>
  <r>
    <n v="10356"/>
    <n v="48"/>
    <n v="100"/>
    <n v="5"/>
    <n v="9720"/>
    <d v="2004-12-09T00:00:00"/>
    <s v="Shipped"/>
    <n v="4"/>
    <x v="6"/>
    <n v="2004"/>
    <x v="3"/>
    <n v="33"/>
    <s v="S24_1937"/>
    <s v="Lyon Souveniers"/>
    <s v="+33 1 46 62 7555"/>
    <s v="27 rue du Colonel Pierre Avia"/>
    <m/>
    <s v="Paris"/>
    <m/>
    <n v="75508"/>
    <s v="France"/>
    <s v="EMEA"/>
    <s v="Da Cunha"/>
    <s v="Daniel"/>
    <s v="Large"/>
    <n v="4800"/>
  </r>
  <r>
    <n v="10367"/>
    <n v="23"/>
    <n v="36.29"/>
    <n v="13"/>
    <n v="834.67"/>
    <d v="2005-01-12T00:00:00"/>
    <s v="Resolved"/>
    <n v="1"/>
    <x v="7"/>
    <n v="2005"/>
    <x v="3"/>
    <n v="33"/>
    <s v="S24_1937"/>
    <s v="Toys4GrownUps.com"/>
    <n v="6265557265"/>
    <s v="78934 Hillside Dr."/>
    <m/>
    <s v="Pasadena"/>
    <s v="CA"/>
    <n v="90003"/>
    <s v="USA"/>
    <s v="NA"/>
    <s v="Young"/>
    <s v="Julie"/>
    <s v="Small"/>
    <n v="834.67"/>
  </r>
  <r>
    <n v="10380"/>
    <n v="32"/>
    <n v="70.56"/>
    <n v="4"/>
    <n v="2257.92"/>
    <d v="2005-02-16T00:00:00"/>
    <s v="Shipped"/>
    <n v="1"/>
    <x v="0"/>
    <n v="2005"/>
    <x v="3"/>
    <n v="33"/>
    <s v="S24_1937"/>
    <s v="Euro Shopping Channel"/>
    <s v="(91) 555 94 44"/>
    <s v="C/ Moralzarzal, 86"/>
    <m/>
    <s v="Madrid"/>
    <m/>
    <n v="28034"/>
    <s v="Spain"/>
    <s v="EMEA"/>
    <s v="Freyre"/>
    <s v="Diego"/>
    <s v="Small"/>
    <n v="2257.92"/>
  </r>
  <r>
    <n v="10391"/>
    <n v="33"/>
    <n v="100"/>
    <n v="8"/>
    <n v="8344.7099999999991"/>
    <d v="2005-03-09T00:00:00"/>
    <s v="Shipped"/>
    <n v="1"/>
    <x v="11"/>
    <n v="2005"/>
    <x v="3"/>
    <n v="33"/>
    <s v="S24_1937"/>
    <s v="Anna's Decorations, Ltd"/>
    <s v="02 9936 8555"/>
    <s v="201 Miller Street"/>
    <s v="Level 15"/>
    <s v="North Sydney"/>
    <s v="NSW"/>
    <n v="2060"/>
    <s v="Australia"/>
    <s v="APAC"/>
    <s v="O'Hara"/>
    <s v="Anna"/>
    <s v="Large"/>
    <n v="3300"/>
  </r>
  <r>
    <n v="10409"/>
    <n v="61"/>
    <n v="29.54"/>
    <n v="1"/>
    <n v="1801.94"/>
    <d v="2005-04-23T00:00:00"/>
    <s v="Shipped"/>
    <n v="2"/>
    <x v="8"/>
    <n v="2005"/>
    <x v="3"/>
    <n v="33"/>
    <s v="S24_193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801.94"/>
  </r>
  <r>
    <n v="10420"/>
    <n v="45"/>
    <n v="26.88"/>
    <n v="1"/>
    <n v="1209.5999999999999"/>
    <d v="2005-05-29T00:00:00"/>
    <s v="In Process"/>
    <n v="2"/>
    <x v="1"/>
    <n v="2005"/>
    <x v="3"/>
    <n v="33"/>
    <s v="S24_193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209.5999999999999"/>
  </r>
  <r>
    <n v="10107"/>
    <n v="38"/>
    <n v="83.03"/>
    <n v="7"/>
    <n v="3155.14"/>
    <d v="2003-02-24T00:00:00"/>
    <s v="Shipped"/>
    <n v="1"/>
    <x v="0"/>
    <n v="2003"/>
    <x v="0"/>
    <n v="76"/>
    <s v="S24_2000"/>
    <s v="Land of Toys Inc."/>
    <n v="2125557818"/>
    <s v="897 Long Airport Avenue"/>
    <m/>
    <s v="NYC"/>
    <s v="NY"/>
    <n v="10022"/>
    <s v="USA"/>
    <s v="NA"/>
    <s v="Yu"/>
    <s v="Kwai"/>
    <s v="Medium"/>
    <n v="3155.14"/>
  </r>
  <r>
    <n v="10120"/>
    <n v="34"/>
    <n v="83.79"/>
    <n v="5"/>
    <n v="2848.86"/>
    <d v="2003-04-29T00:00:00"/>
    <s v="Shipped"/>
    <n v="2"/>
    <x v="8"/>
    <n v="2003"/>
    <x v="0"/>
    <n v="76"/>
    <s v="S24_200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848.86"/>
  </r>
  <r>
    <n v="10134"/>
    <n v="43"/>
    <n v="83.03"/>
    <n v="7"/>
    <n v="3570.29"/>
    <d v="2003-07-01T00:00:00"/>
    <s v="Shipped"/>
    <n v="3"/>
    <x v="2"/>
    <n v="2003"/>
    <x v="0"/>
    <n v="76"/>
    <s v="S24_2000"/>
    <s v="Lyon Souveniers"/>
    <s v="+33 1 46 62 7555"/>
    <s v="27 rue du Colonel Pierre Avia"/>
    <m/>
    <s v="Paris"/>
    <m/>
    <n v="75508"/>
    <s v="France"/>
    <s v="EMEA"/>
    <s v="Da Cunha"/>
    <s v="Daniel"/>
    <s v="Medium"/>
    <n v="3570.29"/>
  </r>
  <r>
    <n v="10145"/>
    <n v="47"/>
    <n v="83.03"/>
    <n v="11"/>
    <n v="3902.41"/>
    <d v="2003-08-25T00:00:00"/>
    <s v="Shipped"/>
    <n v="3"/>
    <x v="3"/>
    <n v="2003"/>
    <x v="0"/>
    <n v="76"/>
    <s v="S24_2000"/>
    <s v="Toys4GrownUps.com"/>
    <n v="6265557265"/>
    <s v="78934 Hillside Dr."/>
    <m/>
    <s v="Pasadena"/>
    <s v="CA"/>
    <n v="90003"/>
    <s v="USA"/>
    <s v="NA"/>
    <s v="Young"/>
    <s v="Julie"/>
    <s v="Medium"/>
    <n v="3902.41"/>
  </r>
  <r>
    <n v="10158"/>
    <n v="22"/>
    <n v="67.03"/>
    <n v="1"/>
    <n v="1474.66"/>
    <d v="2003-10-10T00:00:00"/>
    <s v="Shipped"/>
    <n v="4"/>
    <x v="4"/>
    <n v="2003"/>
    <x v="0"/>
    <n v="76"/>
    <s v="S24_2000"/>
    <s v="Baane Mini Imports"/>
    <s v="07-98 9555"/>
    <s v="Erling Skakkes gate 78"/>
    <m/>
    <s v="Stavern"/>
    <m/>
    <n v="4110"/>
    <s v="Norway"/>
    <s v="EMEA"/>
    <s v="Bergulfsen"/>
    <s v="Jonas"/>
    <s v="Small"/>
    <n v="1474.66"/>
  </r>
  <r>
    <n v="10168"/>
    <n v="29"/>
    <n v="75.41"/>
    <n v="6"/>
    <n v="2186.89"/>
    <d v="2003-10-28T00:00:00"/>
    <s v="Shipped"/>
    <n v="4"/>
    <x v="4"/>
    <n v="2003"/>
    <x v="0"/>
    <n v="76"/>
    <s v="S24_2000"/>
    <s v="Technics Stores Inc."/>
    <n v="6505556809"/>
    <s v="9408 Furth Circle"/>
    <m/>
    <s v="Burlingame"/>
    <s v="CA"/>
    <n v="94217"/>
    <s v="USA"/>
    <s v="NA"/>
    <s v="Hirano"/>
    <s v="Juri"/>
    <s v="Small"/>
    <n v="2186.89"/>
  </r>
  <r>
    <n v="10180"/>
    <n v="28"/>
    <n v="68.55"/>
    <n v="14"/>
    <n v="1919.4"/>
    <d v="2003-11-11T00:00:00"/>
    <s v="Shipped"/>
    <n v="4"/>
    <x v="5"/>
    <n v="2003"/>
    <x v="0"/>
    <n v="76"/>
    <s v="S24_2000"/>
    <s v="Daedalus Designs Imports"/>
    <s v="20.16.1555"/>
    <s v="184, chausse de Tournai"/>
    <m/>
    <s v="Lille"/>
    <m/>
    <n v="59000"/>
    <s v="France"/>
    <s v="EMEA"/>
    <s v="Rance"/>
    <s v="Martine"/>
    <s v="Small"/>
    <n v="1919.3999999999999"/>
  </r>
  <r>
    <n v="10188"/>
    <n v="40"/>
    <n v="91.4"/>
    <n v="6"/>
    <n v="3656"/>
    <d v="2003-11-18T00:00:00"/>
    <s v="Shipped"/>
    <n v="4"/>
    <x v="5"/>
    <n v="2003"/>
    <x v="0"/>
    <n v="76"/>
    <s v="S24_2000"/>
    <s v="Herkku Gifts"/>
    <s v="+47 2267 3215"/>
    <s v="Drammen 121, PR 744 Sentrum"/>
    <m/>
    <s v="Bergen"/>
    <m/>
    <s v="N 5804"/>
    <s v="Norway"/>
    <s v="EMEA"/>
    <s v="Oeztan"/>
    <s v="Veysel"/>
    <s v="Medium"/>
    <n v="3656"/>
  </r>
  <r>
    <n v="10201"/>
    <n v="25"/>
    <n v="73.88"/>
    <n v="7"/>
    <n v="1847"/>
    <d v="2003-12-01T00:00:00"/>
    <s v="Shipped"/>
    <n v="4"/>
    <x v="6"/>
    <n v="2003"/>
    <x v="0"/>
    <n v="76"/>
    <s v="S24_2000"/>
    <s v="Mini Wheels Co."/>
    <n v="6505555787"/>
    <s v="5557 North Pendale Street"/>
    <m/>
    <s v="San Francisco"/>
    <s v="CA"/>
    <m/>
    <s v="USA"/>
    <s v="NA"/>
    <s v="Murphy"/>
    <s v="Julie"/>
    <s v="Small"/>
    <n v="1847"/>
  </r>
  <r>
    <n v="10210"/>
    <n v="30"/>
    <n v="61.7"/>
    <n v="4"/>
    <n v="1851"/>
    <d v="2004-01-12T00:00:00"/>
    <s v="Shipped"/>
    <n v="1"/>
    <x v="7"/>
    <n v="2004"/>
    <x v="0"/>
    <n v="76"/>
    <s v="S24_2000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1851"/>
  </r>
  <r>
    <n v="10223"/>
    <n v="38"/>
    <n v="69.31"/>
    <n v="6"/>
    <n v="2633.78"/>
    <d v="2004-02-20T00:00:00"/>
    <s v="Shipped"/>
    <n v="1"/>
    <x v="0"/>
    <n v="2004"/>
    <x v="0"/>
    <n v="76"/>
    <s v="S24_200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633.78"/>
  </r>
  <r>
    <n v="10236"/>
    <n v="36"/>
    <n v="87.6"/>
    <n v="3"/>
    <n v="3153.6"/>
    <d v="2004-04-03T00:00:00"/>
    <s v="Shipped"/>
    <n v="2"/>
    <x v="8"/>
    <n v="2004"/>
    <x v="0"/>
    <n v="76"/>
    <s v="S24_2000"/>
    <s v="Motor Mint Distributors Inc."/>
    <n v="2155559857"/>
    <s v="11328 Douglas Av."/>
    <m/>
    <s v="Philadelphia"/>
    <s v="PA"/>
    <n v="71270"/>
    <s v="USA"/>
    <s v="NA"/>
    <s v="Hernandez"/>
    <s v="Rosa"/>
    <s v="Medium"/>
    <n v="3153.6"/>
  </r>
  <r>
    <n v="10250"/>
    <n v="32"/>
    <n v="87.6"/>
    <n v="1"/>
    <n v="2803.2"/>
    <d v="2004-05-11T00:00:00"/>
    <s v="Shipped"/>
    <n v="2"/>
    <x v="1"/>
    <n v="2004"/>
    <x v="0"/>
    <n v="76"/>
    <s v="S24_2000"/>
    <s v="The Sharp Gifts Warehouse"/>
    <n v="4085553659"/>
    <s v="3086 Ingle Ln."/>
    <m/>
    <s v="San Jose"/>
    <s v="CA"/>
    <n v="94217"/>
    <s v="USA"/>
    <s v="NA"/>
    <s v="Frick"/>
    <s v="Sue"/>
    <s v="Small"/>
    <n v="2803.2"/>
  </r>
  <r>
    <n v="10263"/>
    <n v="37"/>
    <n v="62.46"/>
    <n v="7"/>
    <n v="2311.02"/>
    <d v="2004-06-28T00:00:00"/>
    <s v="Shipped"/>
    <n v="2"/>
    <x v="9"/>
    <n v="2004"/>
    <x v="0"/>
    <n v="76"/>
    <s v="S24_2000"/>
    <s v="Gift Depot Inc."/>
    <n v="2035552570"/>
    <s v="25593 South Bay Ln."/>
    <m/>
    <s v="Bridgewater"/>
    <s v="CT"/>
    <n v="97562"/>
    <s v="USA"/>
    <s v="NA"/>
    <s v="King"/>
    <s v="Julie"/>
    <s v="Small"/>
    <n v="2311.02"/>
  </r>
  <r>
    <n v="10275"/>
    <n v="30"/>
    <n v="79.98"/>
    <n v="6"/>
    <n v="2399.4"/>
    <d v="2004-07-23T00:00:00"/>
    <s v="Shipped"/>
    <n v="3"/>
    <x v="2"/>
    <n v="2004"/>
    <x v="0"/>
    <n v="76"/>
    <s v="S24_2000"/>
    <s v="La Rochelle Gifts"/>
    <s v="40.67.8555"/>
    <s v="67, rue des Cinquante Otages"/>
    <m/>
    <s v="Nantes"/>
    <m/>
    <n v="44000"/>
    <s v="France"/>
    <s v="EMEA"/>
    <s v="Labrune"/>
    <s v="Janine"/>
    <s v="Small"/>
    <n v="2399.4"/>
  </r>
  <r>
    <n v="10285"/>
    <n v="39"/>
    <n v="70.08"/>
    <n v="11"/>
    <n v="2733.12"/>
    <d v="2004-08-27T00:00:00"/>
    <s v="Shipped"/>
    <n v="3"/>
    <x v="3"/>
    <n v="2004"/>
    <x v="0"/>
    <n v="76"/>
    <s v="S24_2000"/>
    <s v="Marta's Replicas Co."/>
    <n v="6175558555"/>
    <s v="39323 Spinnaker Dr."/>
    <m/>
    <s v="Cambridge"/>
    <s v="MA"/>
    <n v="51247"/>
    <s v="USA"/>
    <s v="NA"/>
    <s v="Hernandez"/>
    <s v="Marta"/>
    <s v="Small"/>
    <n v="2733.12"/>
  </r>
  <r>
    <n v="10297"/>
    <n v="32"/>
    <n v="65.510000000000005"/>
    <n v="1"/>
    <n v="2096.3200000000002"/>
    <d v="2004-09-16T00:00:00"/>
    <s v="Shipped"/>
    <n v="3"/>
    <x v="10"/>
    <n v="2004"/>
    <x v="0"/>
    <n v="76"/>
    <s v="S24_2000"/>
    <s v="Clover Collections, Co."/>
    <s v="+353 1862 1555"/>
    <s v="25 Maiden Lane"/>
    <s v="Floor No. 4"/>
    <s v="Dublin"/>
    <m/>
    <n v="2"/>
    <s v="Ireland"/>
    <s v="EMEA"/>
    <s v="Cassidy"/>
    <s v="Dean"/>
    <s v="Small"/>
    <n v="2096.3200000000002"/>
  </r>
  <r>
    <n v="10308"/>
    <n v="47"/>
    <n v="63.22"/>
    <n v="4"/>
    <n v="2971.34"/>
    <d v="2004-10-15T00:00:00"/>
    <s v="Shipped"/>
    <n v="4"/>
    <x v="4"/>
    <n v="2004"/>
    <x v="0"/>
    <n v="76"/>
    <s v="S24_2000"/>
    <s v="Mini Classics"/>
    <n v="9145554562"/>
    <s v="3758 North Pendale Street"/>
    <m/>
    <s v="White Plains"/>
    <s v="NY"/>
    <n v="24067"/>
    <s v="USA"/>
    <s v="NA"/>
    <s v="Frick"/>
    <s v="Steve"/>
    <s v="Small"/>
    <n v="2971.34"/>
  </r>
  <r>
    <n v="10318"/>
    <n v="26"/>
    <n v="86.83"/>
    <n v="6"/>
    <n v="2257.58"/>
    <d v="2004-11-02T00:00:00"/>
    <s v="Shipped"/>
    <n v="4"/>
    <x v="5"/>
    <n v="2004"/>
    <x v="0"/>
    <n v="76"/>
    <s v="S24_2000"/>
    <s v="Diecast Classics Inc."/>
    <n v="2155551555"/>
    <s v="7586 Pompton St."/>
    <m/>
    <s v="Allentown"/>
    <s v="PA"/>
    <n v="70267"/>
    <s v="USA"/>
    <s v="NA"/>
    <s v="Yu"/>
    <s v="Kyung"/>
    <s v="Small"/>
    <n v="2257.58"/>
  </r>
  <r>
    <n v="10329"/>
    <n v="37"/>
    <n v="94.43"/>
    <n v="4"/>
    <n v="3493.91"/>
    <d v="2004-11-15T00:00:00"/>
    <s v="Shipped"/>
    <n v="4"/>
    <x v="5"/>
    <n v="2004"/>
    <x v="0"/>
    <n v="76"/>
    <s v="S24_2000"/>
    <s v="Land of Toys Inc."/>
    <n v="2125557818"/>
    <s v="897 Long Airport Avenue"/>
    <m/>
    <s v="NYC"/>
    <s v="NY"/>
    <n v="10022"/>
    <s v="USA"/>
    <s v="NA"/>
    <s v="Yu"/>
    <s v="Kwai"/>
    <s v="Medium"/>
    <n v="3493.9100000000003"/>
  </r>
  <r>
    <n v="10340"/>
    <n v="55"/>
    <n v="79.98"/>
    <n v="8"/>
    <n v="4398.8999999999996"/>
    <d v="2004-11-24T00:00:00"/>
    <s v="Shipped"/>
    <n v="4"/>
    <x v="5"/>
    <n v="2004"/>
    <x v="0"/>
    <n v="76"/>
    <s v="S24_2000"/>
    <s v="Enaco Distributors"/>
    <s v="(93) 203 4555"/>
    <s v="Rambla de Catalu¤a, 23"/>
    <m/>
    <s v="Barcelona"/>
    <m/>
    <n v="8022"/>
    <s v="Spain"/>
    <s v="EMEA"/>
    <s v="Saavedra"/>
    <s v="Eduardo"/>
    <s v="Medium"/>
    <n v="4398.9000000000005"/>
  </r>
  <r>
    <n v="10363"/>
    <n v="21"/>
    <n v="100"/>
    <n v="8"/>
    <n v="3595.62"/>
    <d v="2005-01-06T00:00:00"/>
    <s v="Shipped"/>
    <n v="1"/>
    <x v="7"/>
    <n v="2005"/>
    <x v="0"/>
    <n v="76"/>
    <s v="S24_2000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2100"/>
  </r>
  <r>
    <n v="10375"/>
    <n v="23"/>
    <n v="100"/>
    <n v="9"/>
    <n v="2443.29"/>
    <d v="2005-02-03T00:00:00"/>
    <s v="Shipped"/>
    <n v="1"/>
    <x v="0"/>
    <n v="2005"/>
    <x v="0"/>
    <n v="76"/>
    <s v="S24_2000"/>
    <s v="La Rochelle Gifts"/>
    <s v="40.67.8555"/>
    <s v="67, rue des Cinquante Otages"/>
    <m/>
    <s v="Nantes"/>
    <m/>
    <n v="44000"/>
    <s v="France"/>
    <s v="EMEA"/>
    <s v="Labrune"/>
    <s v="Janine"/>
    <s v="Small"/>
    <n v="2300"/>
  </r>
  <r>
    <n v="10389"/>
    <n v="49"/>
    <n v="81.400000000000006"/>
    <n v="2"/>
    <n v="3988.6"/>
    <d v="2005-03-03T00:00:00"/>
    <s v="Shipped"/>
    <n v="1"/>
    <x v="11"/>
    <n v="2005"/>
    <x v="0"/>
    <n v="76"/>
    <s v="S24_2000"/>
    <s v="Scandinavian Gift Ideas"/>
    <s v="0695-34 6555"/>
    <s v="?kergatan 24"/>
    <m/>
    <s v="Boras"/>
    <m/>
    <s v="S-844 67"/>
    <s v="Sweden"/>
    <s v="EMEA"/>
    <s v="Larsson"/>
    <s v="Maria"/>
    <s v="Medium"/>
    <n v="3988.6000000000004"/>
  </r>
  <r>
    <n v="10402"/>
    <n v="59"/>
    <n v="87.6"/>
    <n v="3"/>
    <n v="5168.3999999999996"/>
    <d v="2005-04-07T00:00:00"/>
    <s v="Shipped"/>
    <n v="2"/>
    <x v="8"/>
    <n v="2005"/>
    <x v="0"/>
    <n v="76"/>
    <s v="S24_2000"/>
    <s v="Auto Canal Petit"/>
    <s v="(1) 47.55.6555"/>
    <s v="25, rue Lauriston"/>
    <m/>
    <s v="Paris"/>
    <m/>
    <n v="75016"/>
    <s v="France"/>
    <s v="EMEA"/>
    <s v="Perrier"/>
    <s v="Dominique"/>
    <s v="Medium"/>
    <n v="5168.3999999999996"/>
  </r>
  <r>
    <n v="10416"/>
    <n v="32"/>
    <n v="87.6"/>
    <n v="1"/>
    <n v="2803.2"/>
    <d v="2005-05-10T00:00:00"/>
    <s v="Shipped"/>
    <n v="2"/>
    <x v="1"/>
    <n v="2005"/>
    <x v="0"/>
    <n v="76"/>
    <s v="S24_2000"/>
    <s v="L'ordine Souveniers"/>
    <s v="0522-556555"/>
    <s v="Strada Provinciale 124"/>
    <m/>
    <s v="Reggio Emilia"/>
    <m/>
    <n v="42100"/>
    <s v="Italy"/>
    <s v="EMEA"/>
    <s v="Moroni"/>
    <s v="Maurizio"/>
    <s v="Small"/>
    <n v="2803.2"/>
  </r>
  <r>
    <n v="10105"/>
    <n v="43"/>
    <n v="100"/>
    <n v="9"/>
    <n v="6341.21"/>
    <d v="2003-02-11T00:00:00"/>
    <s v="Shipped"/>
    <n v="1"/>
    <x v="0"/>
    <n v="2003"/>
    <x v="5"/>
    <n v="122"/>
    <s v="S24_2011"/>
    <s v="Danish Wholesale Imports"/>
    <s v="31 12 3555"/>
    <s v="Vinb'ltet 34"/>
    <m/>
    <s v="Kobenhavn"/>
    <m/>
    <n v="1734"/>
    <s v="Denmark"/>
    <s v="EMEA"/>
    <s v="Petersen"/>
    <s v="Jytte"/>
    <s v="Medium"/>
    <n v="4300"/>
  </r>
  <r>
    <n v="10117"/>
    <n v="41"/>
    <n v="100"/>
    <n v="3"/>
    <n v="5189.78"/>
    <d v="2003-04-16T00:00:00"/>
    <s v="Shipped"/>
    <n v="2"/>
    <x v="8"/>
    <n v="2003"/>
    <x v="5"/>
    <n v="122"/>
    <s v="S24_201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4100"/>
  </r>
  <r>
    <n v="10129"/>
    <n v="45"/>
    <n v="100"/>
    <n v="9"/>
    <n v="6027.75"/>
    <d v="2003-06-12T00:00:00"/>
    <s v="Shipped"/>
    <n v="2"/>
    <x v="9"/>
    <n v="2003"/>
    <x v="5"/>
    <n v="122"/>
    <s v="S24_2011"/>
    <s v="Stylish Desk Decors, Co."/>
    <s v="(171) 555-0297"/>
    <s v="35 King George"/>
    <m/>
    <s v="London"/>
    <m/>
    <s v="WX3 6FW"/>
    <s v="UK"/>
    <s v="EMEA"/>
    <s v="Brown"/>
    <s v="Ann"/>
    <s v="Medium"/>
    <n v="4500"/>
  </r>
  <r>
    <n v="10142"/>
    <n v="33"/>
    <n v="100"/>
    <n v="6"/>
    <n v="3366"/>
    <d v="2003-08-08T00:00:00"/>
    <s v="Shipped"/>
    <n v="3"/>
    <x v="3"/>
    <n v="2003"/>
    <x v="5"/>
    <n v="122"/>
    <s v="S24_2011"/>
    <s v="Mini Gifts Distributors Ltd."/>
    <n v="4155551450"/>
    <s v="5677 Strong St."/>
    <m/>
    <s v="San Rafael"/>
    <s v="CA"/>
    <n v="97562"/>
    <s v="USA"/>
    <s v="NA"/>
    <s v="Nelson"/>
    <s v="Valarie"/>
    <s v="Medium"/>
    <n v="3300"/>
  </r>
  <r>
    <n v="10153"/>
    <n v="40"/>
    <n v="100"/>
    <n v="5"/>
    <n v="5456.4"/>
    <d v="2003-09-28T00:00:00"/>
    <s v="Shipped"/>
    <n v="3"/>
    <x v="10"/>
    <n v="2003"/>
    <x v="5"/>
    <n v="122"/>
    <s v="S24_2011"/>
    <s v="Euro Shopping Channel"/>
    <s v="(91) 555 94 44"/>
    <s v="C/ Moralzarzal, 86"/>
    <m/>
    <s v="Madrid"/>
    <m/>
    <n v="28034"/>
    <s v="Spain"/>
    <s v="EMEA"/>
    <s v="Freyre"/>
    <s v="Diego"/>
    <s v="Medium"/>
    <n v="4000"/>
  </r>
  <r>
    <n v="10167"/>
    <n v="33"/>
    <n v="100"/>
    <n v="16"/>
    <n v="3812.16"/>
    <d v="2003-10-23T00:00:00"/>
    <s v="Cancelled"/>
    <n v="4"/>
    <x v="4"/>
    <n v="2003"/>
    <x v="5"/>
    <n v="122"/>
    <s v="S24_2011"/>
    <s v="Scandinavian Gift Ideas"/>
    <s v="0695-34 6555"/>
    <s v="?kergatan 24"/>
    <m/>
    <s v="Boras"/>
    <m/>
    <s v="S-844 67"/>
    <s v="Sweden"/>
    <s v="EMEA"/>
    <s v="Larsson"/>
    <s v="Maria"/>
    <s v="Medium"/>
    <n v="3300"/>
  </r>
  <r>
    <n v="10177"/>
    <n v="50"/>
    <n v="100"/>
    <n v="7"/>
    <n v="6083"/>
    <d v="2003-11-07T00:00:00"/>
    <s v="Shipped"/>
    <n v="4"/>
    <x v="5"/>
    <n v="2003"/>
    <x v="5"/>
    <n v="122"/>
    <s v="S24_2011"/>
    <s v="CAF Imports"/>
    <s v="+34 913 728 555"/>
    <s v="Merchants House, 27-30 Merchant's Quay"/>
    <m/>
    <s v="Madrid"/>
    <m/>
    <n v="28023"/>
    <s v="Spain"/>
    <s v="EMEA"/>
    <s v="Fernandez"/>
    <s v="Jesus"/>
    <s v="Medium"/>
    <n v="5000"/>
  </r>
  <r>
    <n v="10185"/>
    <n v="30"/>
    <n v="100"/>
    <n v="7"/>
    <n v="3170.7"/>
    <d v="2003-11-14T00:00:00"/>
    <s v="Shipped"/>
    <n v="4"/>
    <x v="5"/>
    <n v="2003"/>
    <x v="5"/>
    <n v="122"/>
    <s v="S24_2011"/>
    <s v="Mini Creations Ltd."/>
    <n v="5085559555"/>
    <s v="4575 Hillside Dr."/>
    <m/>
    <s v="New Bedford"/>
    <s v="MA"/>
    <n v="50553"/>
    <s v="USA"/>
    <s v="NA"/>
    <s v="Tam"/>
    <s v="Wing C"/>
    <s v="Medium"/>
    <n v="3000"/>
  </r>
  <r>
    <n v="10197"/>
    <n v="41"/>
    <n v="100"/>
    <n v="13"/>
    <n v="4534.6000000000004"/>
    <d v="2003-11-26T00:00:00"/>
    <s v="Shipped"/>
    <n v="4"/>
    <x v="5"/>
    <n v="2003"/>
    <x v="5"/>
    <n v="122"/>
    <s v="S24_2011"/>
    <s v="Enaco Distributors"/>
    <s v="(93) 203 4555"/>
    <s v="Rambla de Catalu¤a, 23"/>
    <m/>
    <s v="Barcelona"/>
    <m/>
    <n v="8022"/>
    <s v="Spain"/>
    <s v="EMEA"/>
    <s v="Saavedra"/>
    <s v="Eduardo"/>
    <s v="Medium"/>
    <n v="4100"/>
  </r>
  <r>
    <n v="10208"/>
    <n v="35"/>
    <n v="100"/>
    <n v="7"/>
    <n v="4301.1499999999996"/>
    <d v="2004-01-02T00:00:00"/>
    <s v="Shipped"/>
    <n v="1"/>
    <x v="7"/>
    <n v="2004"/>
    <x v="5"/>
    <n v="122"/>
    <s v="S24_2011"/>
    <s v="Saveley &amp; Henriot, Co."/>
    <s v="78.32.5555"/>
    <s v="2, rue du Commerce"/>
    <m/>
    <s v="Lyon"/>
    <m/>
    <n v="69004"/>
    <s v="France"/>
    <s v="EMEA"/>
    <s v="Saveley"/>
    <s v="Mary"/>
    <s v="Medium"/>
    <n v="3500"/>
  </r>
  <r>
    <n v="10221"/>
    <n v="49"/>
    <n v="100"/>
    <n v="1"/>
    <n v="6804.63"/>
    <d v="2004-02-18T00:00:00"/>
    <s v="Shipped"/>
    <n v="1"/>
    <x v="0"/>
    <n v="2004"/>
    <x v="5"/>
    <n v="122"/>
    <s v="S24_2011"/>
    <s v="Petit Auto"/>
    <s v="(02) 5554 67"/>
    <s v="Rue Joseph-Bens 532"/>
    <m/>
    <s v="Bruxelles"/>
    <m/>
    <s v="B-1180"/>
    <s v="Belgium"/>
    <s v="EMEA"/>
    <s v="Dewey"/>
    <s v="Catherine"/>
    <s v="Medium"/>
    <n v="4900"/>
  </r>
  <r>
    <n v="10232"/>
    <n v="46"/>
    <n v="100"/>
    <n v="4"/>
    <n v="5652.94"/>
    <d v="2004-03-20T00:00:00"/>
    <s v="Shipped"/>
    <n v="1"/>
    <x v="11"/>
    <n v="2004"/>
    <x v="5"/>
    <n v="122"/>
    <s v="S24_2011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4600"/>
  </r>
  <r>
    <n v="10248"/>
    <n v="48"/>
    <n v="100"/>
    <n v="10"/>
    <n v="6960.48"/>
    <d v="2004-05-07T00:00:00"/>
    <s v="Cancelled"/>
    <n v="2"/>
    <x v="1"/>
    <n v="2004"/>
    <x v="5"/>
    <n v="122"/>
    <s v="S24_2011"/>
    <s v="Land of Toys Inc."/>
    <n v="2125557818"/>
    <s v="897 Long Airport Avenue"/>
    <m/>
    <s v="NYC"/>
    <s v="NY"/>
    <n v="10022"/>
    <s v="USA"/>
    <s v="NA"/>
    <s v="Yu"/>
    <s v="Kwai"/>
    <s v="Medium"/>
    <n v="4800"/>
  </r>
  <r>
    <n v="10261"/>
    <n v="36"/>
    <n v="100"/>
    <n v="8"/>
    <n v="4512.6000000000004"/>
    <d v="2004-06-17T00:00:00"/>
    <s v="Shipped"/>
    <n v="2"/>
    <x v="9"/>
    <n v="2004"/>
    <x v="5"/>
    <n v="122"/>
    <s v="S24_2011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3600"/>
  </r>
  <r>
    <n v="10273"/>
    <n v="22"/>
    <n v="100"/>
    <n v="11"/>
    <n v="2784.76"/>
    <d v="2004-07-21T00:00:00"/>
    <s v="Shipped"/>
    <n v="3"/>
    <x v="2"/>
    <n v="2004"/>
    <x v="5"/>
    <n v="122"/>
    <s v="S24_2011"/>
    <s v="Petit Auto"/>
    <s v="(02) 5554 67"/>
    <s v="Rue Joseph-Bens 532"/>
    <m/>
    <s v="Bruxelles"/>
    <m/>
    <s v="B-1180"/>
    <s v="Belgium"/>
    <s v="EMEA"/>
    <s v="Dewey"/>
    <s v="Catherine"/>
    <s v="Small"/>
    <n v="2200"/>
  </r>
  <r>
    <n v="10283"/>
    <n v="42"/>
    <n v="100"/>
    <n v="13"/>
    <n v="5316.36"/>
    <d v="2004-08-20T00:00:00"/>
    <s v="Shipped"/>
    <n v="3"/>
    <x v="3"/>
    <n v="2004"/>
    <x v="5"/>
    <n v="122"/>
    <s v="S24_2011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4200"/>
  </r>
  <r>
    <n v="10293"/>
    <n v="21"/>
    <n v="100"/>
    <n v="2"/>
    <n v="2941.89"/>
    <d v="2004-09-09T00:00:00"/>
    <s v="Shipped"/>
    <n v="3"/>
    <x v="10"/>
    <n v="2004"/>
    <x v="5"/>
    <n v="122"/>
    <s v="S24_2011"/>
    <s v="Amica Models &amp; Co."/>
    <s v="011-4988555"/>
    <s v="Via Monte Bianco 34"/>
    <m/>
    <s v="Torino"/>
    <m/>
    <n v="10100"/>
    <s v="Italy"/>
    <s v="EMEA"/>
    <s v="Accorti"/>
    <s v="Paolo"/>
    <s v="Small"/>
    <n v="2100"/>
  </r>
  <r>
    <n v="10306"/>
    <n v="29"/>
    <n v="100"/>
    <n v="7"/>
    <n v="3207.4"/>
    <d v="2004-10-14T00:00:00"/>
    <s v="Shipped"/>
    <n v="4"/>
    <x v="4"/>
    <n v="2004"/>
    <x v="5"/>
    <n v="122"/>
    <s v="S24_2011"/>
    <s v="AV Stores, Co."/>
    <s v="(171) 555-1555"/>
    <s v="Fauntleroy Circus"/>
    <m/>
    <s v="Manchester"/>
    <m/>
    <s v="EC2 5NT"/>
    <s v="UK"/>
    <s v="EMEA"/>
    <s v="Ashworth"/>
    <s v="Victoria"/>
    <s v="Medium"/>
    <n v="2900"/>
  </r>
  <r>
    <n v="10315"/>
    <n v="35"/>
    <n v="100"/>
    <n v="6"/>
    <n v="4215.05"/>
    <d v="2004-10-29T00:00:00"/>
    <s v="Shipped"/>
    <n v="4"/>
    <x v="4"/>
    <n v="2004"/>
    <x v="5"/>
    <n v="122"/>
    <s v="S24_2011"/>
    <s v="La Rochelle Gifts"/>
    <s v="40.67.8555"/>
    <s v="67, rue des Cinquante Otages"/>
    <m/>
    <s v="Nantes"/>
    <m/>
    <n v="44000"/>
    <s v="France"/>
    <s v="EMEA"/>
    <s v="Labrune"/>
    <s v="Janine"/>
    <s v="Medium"/>
    <n v="3500"/>
  </r>
  <r>
    <n v="10326"/>
    <n v="41"/>
    <n v="100"/>
    <n v="4"/>
    <n v="4333.29"/>
    <d v="2004-11-09T00:00:00"/>
    <s v="Shipped"/>
    <n v="4"/>
    <x v="5"/>
    <n v="2004"/>
    <x v="5"/>
    <n v="122"/>
    <s v="S24_2011"/>
    <s v="Volvo Model Replicas, Co"/>
    <s v="0921-12 3555"/>
    <s v="Berguvsv„gen  8"/>
    <m/>
    <s v="Lule"/>
    <m/>
    <s v="S-958 22"/>
    <s v="Sweden"/>
    <s v="EMEA"/>
    <s v="Berglund"/>
    <s v="Christina"/>
    <s v="Medium"/>
    <n v="4100"/>
  </r>
  <r>
    <n v="10337"/>
    <n v="29"/>
    <n v="71.97"/>
    <n v="4"/>
    <n v="2087.13"/>
    <d v="2004-11-21T00:00:00"/>
    <s v="Shipped"/>
    <n v="4"/>
    <x v="5"/>
    <n v="2004"/>
    <x v="5"/>
    <n v="122"/>
    <s v="S24_2011"/>
    <s v="Classic Legends Inc."/>
    <n v="2125558493"/>
    <s v="5905 Pompton St."/>
    <s v="Suite 750"/>
    <s v="NYC"/>
    <s v="NY"/>
    <n v="10022"/>
    <s v="USA"/>
    <s v="NA"/>
    <s v="Hernandez"/>
    <s v="Maria"/>
    <s v="Small"/>
    <n v="2087.13"/>
  </r>
  <r>
    <n v="10350"/>
    <n v="34"/>
    <n v="50.33"/>
    <n v="7"/>
    <n v="1711.22"/>
    <d v="2004-12-02T00:00:00"/>
    <s v="Shipped"/>
    <n v="4"/>
    <x v="6"/>
    <n v="2004"/>
    <x v="5"/>
    <n v="122"/>
    <s v="S24_2011"/>
    <s v="Euro Shopping Channel"/>
    <s v="(91) 555 94 44"/>
    <s v="C/ Moralzarzal, 86"/>
    <m/>
    <s v="Madrid"/>
    <m/>
    <n v="28034"/>
    <s v="Spain"/>
    <s v="EMEA"/>
    <s v="Freyre"/>
    <s v="Diego"/>
    <s v="Small"/>
    <n v="1711.22"/>
  </r>
  <r>
    <n v="10372"/>
    <n v="37"/>
    <n v="100"/>
    <n v="8"/>
    <n v="3910.53"/>
    <d v="2005-01-26T00:00:00"/>
    <s v="Shipped"/>
    <n v="1"/>
    <x v="7"/>
    <n v="2005"/>
    <x v="5"/>
    <n v="122"/>
    <s v="S24_2011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3700"/>
  </r>
  <r>
    <n v="10384"/>
    <n v="28"/>
    <n v="80.540000000000006"/>
    <n v="3"/>
    <n v="2255.12"/>
    <d v="2005-02-23T00:00:00"/>
    <s v="Shipped"/>
    <n v="1"/>
    <x v="0"/>
    <n v="2005"/>
    <x v="5"/>
    <n v="122"/>
    <s v="S24_2011"/>
    <s v="Corporate Gift Ideas Co."/>
    <n v="6505551386"/>
    <s v="7734 Strong St."/>
    <m/>
    <s v="San Francisco"/>
    <s v="CA"/>
    <m/>
    <s v="USA"/>
    <s v="NA"/>
    <s v="Brown"/>
    <s v="Julie"/>
    <s v="Small"/>
    <n v="2255.1200000000003"/>
  </r>
  <r>
    <n v="10396"/>
    <n v="49"/>
    <n v="100"/>
    <n v="6"/>
    <n v="5720.75"/>
    <d v="2005-03-23T00:00:00"/>
    <s v="Shipped"/>
    <n v="1"/>
    <x v="11"/>
    <n v="2005"/>
    <x v="5"/>
    <n v="122"/>
    <s v="S24_2011"/>
    <s v="Mini Gifts Distributors Ltd."/>
    <n v="4155551450"/>
    <s v="5677 Strong St."/>
    <m/>
    <s v="San Rafael"/>
    <s v="CA"/>
    <n v="97562"/>
    <s v="USA"/>
    <s v="NA"/>
    <s v="Nelson"/>
    <s v="Valarie"/>
    <s v="Medium"/>
    <n v="4900"/>
  </r>
  <r>
    <n v="10414"/>
    <n v="23"/>
    <n v="100"/>
    <n v="10"/>
    <n v="3335.23"/>
    <d v="2005-05-06T00:00:00"/>
    <s v="On Hold"/>
    <n v="2"/>
    <x v="1"/>
    <n v="2005"/>
    <x v="5"/>
    <n v="122"/>
    <s v="S24_2011"/>
    <s v="Gifts4AllAges.com"/>
    <n v="6175559555"/>
    <s v="8616 Spinnaker Dr."/>
    <m/>
    <s v="Boston"/>
    <s v="MA"/>
    <n v="51003"/>
    <s v="USA"/>
    <s v="NA"/>
    <s v="Yoshido"/>
    <s v="Juri"/>
    <s v="Medium"/>
    <n v="2300"/>
  </r>
  <r>
    <n v="10101"/>
    <n v="46"/>
    <n v="53.76"/>
    <n v="2"/>
    <n v="2472.96"/>
    <d v="2003-01-09T00:00:00"/>
    <s v="Shipped"/>
    <n v="1"/>
    <x v="7"/>
    <n v="2003"/>
    <x v="3"/>
    <n v="44"/>
    <s v="S24_2022"/>
    <s v="Blauer See Auto, Co."/>
    <s v="+49 69 66 90 2555"/>
    <s v="Lyonerstr. 34"/>
    <m/>
    <s v="Frankfurt"/>
    <m/>
    <n v="60528"/>
    <s v="Germany"/>
    <s v="EMEA"/>
    <s v="Keitel"/>
    <s v="Roland"/>
    <s v="Small"/>
    <n v="2472.96"/>
  </r>
  <r>
    <n v="10110"/>
    <n v="39"/>
    <n v="44.35"/>
    <n v="2"/>
    <n v="1729.65"/>
    <d v="2003-03-18T00:00:00"/>
    <s v="Shipped"/>
    <n v="1"/>
    <x v="11"/>
    <n v="2003"/>
    <x v="3"/>
    <n v="44"/>
    <s v="S24_2022"/>
    <s v="AV Stores, Co."/>
    <s v="(171) 555-1555"/>
    <s v="Fauntleroy Circus"/>
    <m/>
    <s v="Manchester"/>
    <m/>
    <s v="EC2 5NT"/>
    <s v="UK"/>
    <s v="EMEA"/>
    <s v="Ashworth"/>
    <s v="Victoria"/>
    <s v="Small"/>
    <n v="1729.65"/>
  </r>
  <r>
    <n v="10124"/>
    <n v="22"/>
    <n v="45.25"/>
    <n v="1"/>
    <n v="995.5"/>
    <d v="2003-05-21T00:00:00"/>
    <s v="Shipped"/>
    <n v="2"/>
    <x v="1"/>
    <n v="2003"/>
    <x v="3"/>
    <n v="44"/>
    <s v="S24_2022"/>
    <s v="Signal Gift Stores"/>
    <n v="7025551838"/>
    <s v="8489 Strong St."/>
    <m/>
    <s v="Las Vegas"/>
    <s v="NV"/>
    <n v="83030"/>
    <s v="USA"/>
    <s v="NA"/>
    <s v="King"/>
    <s v="Sue"/>
    <s v="Small"/>
    <n v="995.5"/>
  </r>
  <r>
    <n v="10149"/>
    <n v="49"/>
    <n v="49.28"/>
    <n v="6"/>
    <n v="2414.7199999999998"/>
    <d v="2003-09-12T00:00:00"/>
    <s v="Shipped"/>
    <n v="3"/>
    <x v="10"/>
    <n v="2003"/>
    <x v="3"/>
    <n v="44"/>
    <s v="S24_2022"/>
    <s v="Signal Collectibles Ltd."/>
    <n v="4155554312"/>
    <s v="2793 Furth Circle"/>
    <m/>
    <s v="Brisbane"/>
    <s v="CA"/>
    <n v="94217"/>
    <s v="USA"/>
    <s v="NA"/>
    <s v="Taylor"/>
    <s v="Sue"/>
    <s v="Small"/>
    <n v="2414.7200000000003"/>
  </r>
  <r>
    <n v="10162"/>
    <n v="43"/>
    <n v="36.29"/>
    <n v="4"/>
    <n v="1560.47"/>
    <d v="2003-10-18T00:00:00"/>
    <s v="Shipped"/>
    <n v="4"/>
    <x v="4"/>
    <n v="2003"/>
    <x v="3"/>
    <n v="44"/>
    <s v="S24_2022"/>
    <s v="Corporate Gift Ideas Co."/>
    <n v="6505551386"/>
    <s v="7734 Strong St."/>
    <m/>
    <s v="San Francisco"/>
    <s v="CA"/>
    <m/>
    <s v="USA"/>
    <s v="NA"/>
    <s v="Brown"/>
    <s v="Julie"/>
    <s v="Small"/>
    <n v="1560.47"/>
  </r>
  <r>
    <n v="10173"/>
    <n v="27"/>
    <n v="41.22"/>
    <n v="8"/>
    <n v="1112.94"/>
    <d v="2003-11-05T00:00:00"/>
    <s v="Shipped"/>
    <n v="4"/>
    <x v="5"/>
    <n v="2003"/>
    <x v="3"/>
    <n v="44"/>
    <s v="S24_2022"/>
    <s v="Rovelli Gifts"/>
    <s v="035-640555"/>
    <s v="Via Ludovico il Moro 22"/>
    <m/>
    <s v="Bergamo"/>
    <m/>
    <n v="24100"/>
    <s v="Italy"/>
    <s v="EMEA"/>
    <s v="Rovelli"/>
    <s v="Giovanni"/>
    <s v="Small"/>
    <n v="1112.94"/>
  </r>
  <r>
    <n v="10182"/>
    <n v="31"/>
    <n v="36.74"/>
    <n v="5"/>
    <n v="1138.94"/>
    <d v="2003-11-12T00:00:00"/>
    <s v="Shipped"/>
    <n v="4"/>
    <x v="5"/>
    <n v="2003"/>
    <x v="3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  <n v="1138.94"/>
  </r>
  <r>
    <n v="10193"/>
    <n v="20"/>
    <n v="50.62"/>
    <n v="9"/>
    <n v="1012.4"/>
    <d v="2003-11-21T00:00:00"/>
    <s v="Shipped"/>
    <n v="4"/>
    <x v="5"/>
    <n v="2003"/>
    <x v="3"/>
    <n v="44"/>
    <s v="S24_2022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1012.4"/>
  </r>
  <r>
    <n v="10205"/>
    <n v="24"/>
    <n v="38.08"/>
    <n v="4"/>
    <n v="913.92"/>
    <d v="2003-12-03T00:00:00"/>
    <s v="Shipped"/>
    <n v="4"/>
    <x v="6"/>
    <n v="2003"/>
    <x v="3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  <n v="913.92"/>
  </r>
  <r>
    <n v="10214"/>
    <n v="49"/>
    <n v="47.94"/>
    <n v="2"/>
    <n v="2349.06"/>
    <d v="2004-01-26T00:00:00"/>
    <s v="Shipped"/>
    <n v="1"/>
    <x v="7"/>
    <n v="2004"/>
    <x v="3"/>
    <n v="44"/>
    <s v="S24_2022"/>
    <s v="Corrida Auto Replicas, Ltd"/>
    <s v="(91) 555 22 82"/>
    <s v="C/ Araquil, 67"/>
    <m/>
    <s v="Madrid"/>
    <m/>
    <n v="28023"/>
    <s v="Spain"/>
    <s v="EMEA"/>
    <s v="Sommer"/>
    <s v="Mart¡n"/>
    <s v="Small"/>
    <n v="2349.06"/>
  </r>
  <r>
    <n v="10227"/>
    <n v="24"/>
    <n v="48.38"/>
    <n v="5"/>
    <n v="1161.1199999999999"/>
    <d v="2004-03-02T00:00:00"/>
    <s v="Shipped"/>
    <n v="1"/>
    <x v="11"/>
    <n v="2004"/>
    <x v="3"/>
    <n v="44"/>
    <s v="S24_2022"/>
    <s v="Saveley &amp; Henriot, Co."/>
    <s v="78.32.5555"/>
    <s v="2, rue du Commerce"/>
    <m/>
    <s v="Lyon"/>
    <m/>
    <n v="69004"/>
    <s v="France"/>
    <s v="EMEA"/>
    <s v="Saveley"/>
    <s v="Mary"/>
    <s v="Small"/>
    <n v="1161.1200000000001"/>
  </r>
  <r>
    <n v="10244"/>
    <n v="39"/>
    <n v="45.25"/>
    <n v="9"/>
    <n v="1764.75"/>
    <d v="2004-04-29T00:00:00"/>
    <s v="Shipped"/>
    <n v="2"/>
    <x v="8"/>
    <n v="2004"/>
    <x v="3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  <n v="1764.75"/>
  </r>
  <r>
    <n v="10255"/>
    <n v="37"/>
    <n v="45.7"/>
    <n v="2"/>
    <n v="1690.9"/>
    <d v="2004-06-04T00:00:00"/>
    <s v="Shipped"/>
    <n v="2"/>
    <x v="9"/>
    <n v="2004"/>
    <x v="3"/>
    <n v="44"/>
    <s v="S24_2022"/>
    <s v="Mini Caravy"/>
    <s v="88.60.1555"/>
    <s v="24, place Kluber"/>
    <m/>
    <s v="Strasbourg"/>
    <m/>
    <n v="67000"/>
    <s v="France"/>
    <s v="EMEA"/>
    <s v="Citeaux"/>
    <s v="Frederique"/>
    <s v="Small"/>
    <n v="1690.9"/>
  </r>
  <r>
    <n v="10280"/>
    <n v="45"/>
    <n v="47.49"/>
    <n v="11"/>
    <n v="2137.0500000000002"/>
    <d v="2004-08-17T00:00:00"/>
    <s v="Shipped"/>
    <n v="3"/>
    <x v="3"/>
    <n v="2004"/>
    <x v="3"/>
    <n v="44"/>
    <s v="S24_2022"/>
    <s v="Amica Models &amp; Co."/>
    <s v="011-4988555"/>
    <s v="Via Monte Bianco 34"/>
    <m/>
    <s v="Torino"/>
    <m/>
    <n v="10100"/>
    <s v="Italy"/>
    <s v="EMEA"/>
    <s v="Accorti"/>
    <s v="Paolo"/>
    <s v="Small"/>
    <n v="2137.0500000000002"/>
  </r>
  <r>
    <n v="10289"/>
    <n v="45"/>
    <n v="48.38"/>
    <n v="4"/>
    <n v="2177.1"/>
    <d v="2004-09-03T00:00:00"/>
    <s v="Shipped"/>
    <n v="3"/>
    <x v="10"/>
    <n v="2004"/>
    <x v="3"/>
    <n v="44"/>
    <s v="S24_2022"/>
    <s v="Herkku Gifts"/>
    <s v="+47 2267 3215"/>
    <s v="Drammen 121, PR 744 Sentrum"/>
    <m/>
    <s v="Bergen"/>
    <m/>
    <s v="N 5804"/>
    <s v="Norway"/>
    <s v="EMEA"/>
    <s v="Oeztan"/>
    <s v="Veysel"/>
    <s v="Small"/>
    <n v="2177.1"/>
  </r>
  <r>
    <n v="10304"/>
    <n v="44"/>
    <n v="39.42"/>
    <n v="15"/>
    <n v="1734.48"/>
    <d v="2004-10-11T00:00:00"/>
    <s v="Shipped"/>
    <n v="4"/>
    <x v="4"/>
    <n v="2004"/>
    <x v="3"/>
    <n v="44"/>
    <s v="S24_2022"/>
    <s v="Auto Assoc. &amp; Cie."/>
    <s v="30.59.8555"/>
    <s v="67, avenue de l'Europe"/>
    <m/>
    <s v="Versailles"/>
    <m/>
    <n v="78000"/>
    <s v="France"/>
    <s v="EMEA"/>
    <s v="Tonini"/>
    <s v="Daniel"/>
    <s v="Small"/>
    <n v="1734.48"/>
  </r>
  <r>
    <n v="10312"/>
    <n v="23"/>
    <n v="37.630000000000003"/>
    <n v="12"/>
    <n v="865.49"/>
    <d v="2004-10-21T00:00:00"/>
    <s v="Shipped"/>
    <n v="4"/>
    <x v="4"/>
    <n v="2004"/>
    <x v="3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  <n v="865.49"/>
  </r>
  <r>
    <n v="10322"/>
    <n v="30"/>
    <n v="100"/>
    <n v="4"/>
    <n v="3500.1"/>
    <d v="2004-11-04T00:00:00"/>
    <s v="Shipped"/>
    <n v="4"/>
    <x v="5"/>
    <n v="2004"/>
    <x v="3"/>
    <n v="44"/>
    <s v="S24_2022"/>
    <s v="Online Diecast Creations Co."/>
    <n v="6035558647"/>
    <s v="2304 Long Airport Avenue"/>
    <m/>
    <s v="Nashua"/>
    <s v="NH"/>
    <n v="62005"/>
    <s v="USA"/>
    <s v="NA"/>
    <s v="Young"/>
    <s v="Valarie"/>
    <s v="Medium"/>
    <n v="3000"/>
  </r>
  <r>
    <n v="10332"/>
    <n v="26"/>
    <n v="85.52"/>
    <n v="10"/>
    <n v="2223.52"/>
    <d v="2004-11-17T00:00:00"/>
    <s v="Shipped"/>
    <n v="4"/>
    <x v="5"/>
    <n v="2004"/>
    <x v="3"/>
    <n v="44"/>
    <s v="S24_2022"/>
    <s v="AV Stores, Co."/>
    <s v="(171) 555-1555"/>
    <s v="Fauntleroy Circus"/>
    <m/>
    <s v="Manchester"/>
    <m/>
    <s v="EC2 5NT"/>
    <s v="UK"/>
    <s v="EMEA"/>
    <s v="Ashworth"/>
    <s v="Victoria"/>
    <s v="Small"/>
    <n v="2223.52"/>
  </r>
  <r>
    <n v="10345"/>
    <n v="43"/>
    <n v="53.76"/>
    <n v="1"/>
    <n v="2311.6799999999998"/>
    <d v="2004-11-25T00:00:00"/>
    <s v="Shipped"/>
    <n v="4"/>
    <x v="5"/>
    <n v="2004"/>
    <x v="3"/>
    <n v="44"/>
    <s v="S24_2022"/>
    <s v="Atelier graphique"/>
    <s v="40.32.2555"/>
    <s v="54, rue Royale"/>
    <m/>
    <s v="Nantes"/>
    <m/>
    <n v="44000"/>
    <s v="France"/>
    <s v="EMEA"/>
    <s v="Schmitt"/>
    <s v="Carine"/>
    <s v="Small"/>
    <n v="2311.6799999999998"/>
  </r>
  <r>
    <n v="10356"/>
    <n v="26"/>
    <n v="31.86"/>
    <n v="7"/>
    <n v="828.36"/>
    <d v="2004-12-09T00:00:00"/>
    <s v="Shipped"/>
    <n v="4"/>
    <x v="6"/>
    <n v="2004"/>
    <x v="3"/>
    <n v="44"/>
    <s v="S24_2022"/>
    <s v="Lyon Souveniers"/>
    <s v="+33 1 46 62 7555"/>
    <s v="27 rue du Colonel Pierre Avia"/>
    <m/>
    <s v="Paris"/>
    <m/>
    <n v="75508"/>
    <s v="France"/>
    <s v="EMEA"/>
    <s v="Da Cunha"/>
    <s v="Daniel"/>
    <s v="Small"/>
    <n v="828.36"/>
  </r>
  <r>
    <n v="10367"/>
    <n v="28"/>
    <n v="30.59"/>
    <n v="12"/>
    <n v="856.52"/>
    <d v="2005-01-12T00:00:00"/>
    <s v="Resolved"/>
    <n v="1"/>
    <x v="7"/>
    <n v="2005"/>
    <x v="3"/>
    <n v="44"/>
    <s v="S24_2022"/>
    <s v="Toys4GrownUps.com"/>
    <n v="6265557265"/>
    <s v="78934 Hillside Dr."/>
    <m/>
    <s v="Pasadena"/>
    <s v="CA"/>
    <n v="90003"/>
    <s v="USA"/>
    <s v="NA"/>
    <s v="Young"/>
    <s v="Julie"/>
    <s v="Small"/>
    <n v="856.52"/>
  </r>
  <r>
    <n v="10380"/>
    <n v="27"/>
    <n v="68.349999999999994"/>
    <n v="5"/>
    <n v="1845.45"/>
    <d v="2005-02-16T00:00:00"/>
    <s v="Shipped"/>
    <n v="1"/>
    <x v="0"/>
    <n v="2005"/>
    <x v="3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  <n v="1845.4499999999998"/>
  </r>
  <r>
    <n v="10391"/>
    <n v="24"/>
    <n v="100"/>
    <n v="1"/>
    <n v="4042.08"/>
    <d v="2005-03-09T00:00:00"/>
    <s v="Shipped"/>
    <n v="1"/>
    <x v="11"/>
    <n v="2005"/>
    <x v="3"/>
    <n v="44"/>
    <s v="S24_202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2400"/>
  </r>
  <r>
    <n v="10421"/>
    <n v="40"/>
    <n v="45.7"/>
    <n v="2"/>
    <n v="1828"/>
    <d v="2005-05-29T00:00:00"/>
    <s v="In Process"/>
    <n v="2"/>
    <x v="1"/>
    <n v="2005"/>
    <x v="3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  <n v="1828"/>
  </r>
  <r>
    <n v="10103"/>
    <n v="36"/>
    <n v="100"/>
    <n v="1"/>
    <n v="3680.28"/>
    <d v="2003-01-29T00:00:00"/>
    <s v="Shipped"/>
    <n v="1"/>
    <x v="7"/>
    <n v="2003"/>
    <x v="2"/>
    <n v="127"/>
    <s v="S24_2300"/>
    <s v="Baane Mini Imports"/>
    <s v="07-98 9555"/>
    <s v="Erling Skakkes gate 78"/>
    <m/>
    <s v="Stavern"/>
    <m/>
    <n v="4110"/>
    <s v="Norway"/>
    <s v="EMEA"/>
    <s v="Bergulfsen"/>
    <s v="Jonas"/>
    <s v="Medium"/>
    <n v="3600"/>
  </r>
  <r>
    <n v="10114"/>
    <n v="21"/>
    <n v="100"/>
    <n v="5"/>
    <n v="2925.09"/>
    <d v="2003-04-01T00:00:00"/>
    <s v="Shipped"/>
    <n v="2"/>
    <x v="8"/>
    <n v="2003"/>
    <x v="2"/>
    <n v="127"/>
    <s v="S24_2300"/>
    <s v="La Corne D'abondance, Co."/>
    <s v="(1) 42.34.2555"/>
    <s v="265, boulevard Charonne"/>
    <m/>
    <s v="Paris"/>
    <m/>
    <n v="75012"/>
    <s v="France"/>
    <s v="EMEA"/>
    <s v="Bertrand"/>
    <s v="Marie"/>
    <s v="Small"/>
    <n v="2100"/>
  </r>
  <r>
    <n v="10126"/>
    <n v="27"/>
    <n v="100"/>
    <n v="1"/>
    <n v="3415.77"/>
    <d v="2003-05-28T00:00:00"/>
    <s v="Shipped"/>
    <n v="2"/>
    <x v="1"/>
    <n v="2003"/>
    <x v="2"/>
    <n v="127"/>
    <s v="S24_2300"/>
    <s v="Corrida Auto Replicas, Ltd"/>
    <s v="(91) 555 22 82"/>
    <s v="C/ Araquil, 67"/>
    <m/>
    <s v="Madrid"/>
    <m/>
    <n v="28023"/>
    <s v="Spain"/>
    <s v="EMEA"/>
    <s v="Sommer"/>
    <s v="Mart¡n"/>
    <s v="Medium"/>
    <n v="2700"/>
  </r>
  <r>
    <n v="10140"/>
    <n v="47"/>
    <n v="100"/>
    <n v="1"/>
    <n v="5105.1400000000003"/>
    <d v="2003-07-24T00:00:00"/>
    <s v="Shipped"/>
    <n v="3"/>
    <x v="2"/>
    <n v="2003"/>
    <x v="2"/>
    <n v="127"/>
    <s v="S24_2300"/>
    <s v="Technics Stores Inc."/>
    <n v="6505556809"/>
    <s v="9408 Furth Circle"/>
    <m/>
    <s v="Burlingame"/>
    <s v="CA"/>
    <n v="94217"/>
    <s v="USA"/>
    <s v="NA"/>
    <s v="Hirano"/>
    <s v="Juri"/>
    <s v="Medium"/>
    <n v="4700"/>
  </r>
  <r>
    <n v="10151"/>
    <n v="42"/>
    <n v="100"/>
    <n v="8"/>
    <n v="5098.8"/>
    <d v="2003-09-21T00:00:00"/>
    <s v="Shipped"/>
    <n v="3"/>
    <x v="10"/>
    <n v="2003"/>
    <x v="2"/>
    <n v="127"/>
    <s v="S24_2300"/>
    <s v="Oulu Toy Supplies, Inc."/>
    <s v="981-443655"/>
    <s v="Torikatu 38"/>
    <m/>
    <s v="Oulu"/>
    <m/>
    <n v="90110"/>
    <s v="Finland"/>
    <s v="EMEA"/>
    <s v="Koskitalo"/>
    <s v="Pirkko"/>
    <s v="Medium"/>
    <n v="4200"/>
  </r>
  <r>
    <n v="10165"/>
    <n v="32"/>
    <n v="100"/>
    <n v="17"/>
    <n v="4661.76"/>
    <d v="2003-10-22T00:00:00"/>
    <s v="Shipped"/>
    <n v="4"/>
    <x v="4"/>
    <n v="2003"/>
    <x v="2"/>
    <n v="127"/>
    <s v="S24_230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3200"/>
  </r>
  <r>
    <n v="10175"/>
    <n v="28"/>
    <n v="100"/>
    <n v="6"/>
    <n v="2969.96"/>
    <d v="2003-11-06T00:00:00"/>
    <s v="Shipped"/>
    <n v="4"/>
    <x v="5"/>
    <n v="2003"/>
    <x v="2"/>
    <n v="127"/>
    <s v="S24_2300"/>
    <s v="Stylish Desk Decors, Co."/>
    <s v="(171) 555-0297"/>
    <s v="35 King George"/>
    <m/>
    <s v="London"/>
    <m/>
    <s v="WX3 6FW"/>
    <s v="UK"/>
    <s v="EMEA"/>
    <s v="Brown"/>
    <s v="Ann"/>
    <s v="Small"/>
    <n v="2800"/>
  </r>
  <r>
    <n v="10184"/>
    <n v="24"/>
    <n v="100"/>
    <n v="11"/>
    <n v="3496.32"/>
    <d v="2003-11-14T00:00:00"/>
    <s v="Shipped"/>
    <n v="4"/>
    <x v="5"/>
    <n v="2003"/>
    <x v="2"/>
    <n v="127"/>
    <s v="S24_2300"/>
    <s v="Iberia Gift Imports, Corp."/>
    <s v="(95) 555 82 82"/>
    <s v="C/ Romero, 33"/>
    <m/>
    <s v="Sevilla"/>
    <m/>
    <n v="41101"/>
    <s v="Spain"/>
    <s v="EMEA"/>
    <s v="Roel"/>
    <s v="Jose Pedro"/>
    <s v="Medium"/>
    <n v="2400"/>
  </r>
  <r>
    <n v="10194"/>
    <n v="49"/>
    <n v="100"/>
    <n v="1"/>
    <n v="5760.93"/>
    <d v="2003-11-25T00:00:00"/>
    <s v="Shipped"/>
    <n v="4"/>
    <x v="5"/>
    <n v="2003"/>
    <x v="2"/>
    <n v="127"/>
    <s v="S24_2300"/>
    <s v="Saveley &amp; Henriot, Co."/>
    <s v="78.32.5555"/>
    <s v="2, rue du Commerce"/>
    <m/>
    <s v="Lyon"/>
    <m/>
    <n v="69004"/>
    <s v="France"/>
    <s v="EMEA"/>
    <s v="Saveley"/>
    <s v="Mary"/>
    <s v="Medium"/>
    <n v="4900"/>
  </r>
  <r>
    <n v="10207"/>
    <n v="46"/>
    <n v="100"/>
    <n v="12"/>
    <n v="6819.04"/>
    <d v="2003-12-09T00:00:00"/>
    <s v="Shipped"/>
    <n v="4"/>
    <x v="6"/>
    <n v="2003"/>
    <x v="2"/>
    <n v="127"/>
    <s v="S24_2300"/>
    <s v="Diecast Collectables"/>
    <n v="6175552555"/>
    <s v="6251 Ingle Ln."/>
    <m/>
    <s v="Boston"/>
    <s v="MA"/>
    <n v="51003"/>
    <s v="USA"/>
    <s v="NA"/>
    <s v="Franco"/>
    <s v="Valarie"/>
    <s v="Medium"/>
    <n v="4600"/>
  </r>
  <r>
    <n v="10217"/>
    <n v="28"/>
    <n v="100"/>
    <n v="1"/>
    <n v="3148.88"/>
    <d v="2004-02-04T00:00:00"/>
    <s v="Shipped"/>
    <n v="1"/>
    <x v="0"/>
    <n v="2004"/>
    <x v="2"/>
    <n v="127"/>
    <s v="S24_23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2800"/>
  </r>
  <r>
    <n v="10229"/>
    <n v="48"/>
    <n v="100"/>
    <n v="6"/>
    <n v="5704.32"/>
    <d v="2004-03-11T00:00:00"/>
    <s v="Shipped"/>
    <n v="1"/>
    <x v="11"/>
    <n v="2004"/>
    <x v="2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  <n v="4800"/>
  </r>
  <r>
    <n v="10246"/>
    <n v="29"/>
    <n v="100"/>
    <n v="10"/>
    <n v="3520.6"/>
    <d v="2004-05-05T00:00:00"/>
    <s v="Shipped"/>
    <n v="2"/>
    <x v="1"/>
    <n v="2004"/>
    <x v="2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Medium"/>
    <n v="2900"/>
  </r>
  <r>
    <n v="10259"/>
    <n v="47"/>
    <n v="100"/>
    <n v="9"/>
    <n v="5285.62"/>
    <d v="2004-06-15T00:00:00"/>
    <s v="Shipped"/>
    <n v="2"/>
    <x v="9"/>
    <n v="2004"/>
    <x v="2"/>
    <n v="127"/>
    <s v="S24_23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4700"/>
  </r>
  <r>
    <n v="10271"/>
    <n v="43"/>
    <n v="100"/>
    <n v="10"/>
    <n v="5605.05"/>
    <d v="2004-07-20T00:00:00"/>
    <s v="Shipped"/>
    <n v="3"/>
    <x v="2"/>
    <n v="2004"/>
    <x v="2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  <n v="4300"/>
  </r>
  <r>
    <n v="10281"/>
    <n v="25"/>
    <n v="100"/>
    <n v="6"/>
    <n v="2779.5"/>
    <d v="2004-08-19T00:00:00"/>
    <s v="Shipped"/>
    <n v="3"/>
    <x v="3"/>
    <n v="2004"/>
    <x v="2"/>
    <n v="127"/>
    <s v="S24_2300"/>
    <s v="Diecast Classics Inc."/>
    <n v="2155551555"/>
    <s v="7586 Pompton St."/>
    <m/>
    <s v="Allentown"/>
    <s v="PA"/>
    <n v="70267"/>
    <s v="USA"/>
    <s v="NA"/>
    <s v="Yu"/>
    <s v="Kyung"/>
    <s v="Small"/>
    <n v="2500"/>
  </r>
  <r>
    <n v="10291"/>
    <n v="48"/>
    <n v="100"/>
    <n v="1"/>
    <n v="5398.08"/>
    <d v="2004-09-08T00:00:00"/>
    <s v="Shipped"/>
    <n v="3"/>
    <x v="10"/>
    <n v="2004"/>
    <x v="2"/>
    <n v="127"/>
    <s v="S24_2300"/>
    <s v="Scandinavian Gift Ideas"/>
    <s v="0695-34 6555"/>
    <s v="?kergatan 24"/>
    <m/>
    <s v="Boras"/>
    <m/>
    <s v="S-844 67"/>
    <s v="Sweden"/>
    <s v="EMEA"/>
    <s v="Larsson"/>
    <s v="Maria"/>
    <s v="Medium"/>
    <n v="4800"/>
  </r>
  <r>
    <n v="10305"/>
    <n v="24"/>
    <n v="100"/>
    <n v="10"/>
    <n v="3189.6"/>
    <d v="2004-10-13T00:00:00"/>
    <s v="Shipped"/>
    <n v="4"/>
    <x v="4"/>
    <n v="2004"/>
    <x v="2"/>
    <n v="127"/>
    <s v="S24_2300"/>
    <s v="Marta's Replicas Co."/>
    <n v="6175558555"/>
    <s v="39323 Spinnaker Dr."/>
    <m/>
    <s v="Cambridge"/>
    <s v="MA"/>
    <n v="51247"/>
    <s v="USA"/>
    <s v="NA"/>
    <s v="Hernandez"/>
    <s v="Marta"/>
    <s v="Medium"/>
    <n v="2400"/>
  </r>
  <r>
    <n v="10313"/>
    <n v="42"/>
    <n v="100"/>
    <n v="4"/>
    <n v="5581.8"/>
    <d v="2004-10-22T00:00:00"/>
    <s v="Shipped"/>
    <n v="4"/>
    <x v="4"/>
    <n v="2004"/>
    <x v="2"/>
    <n v="127"/>
    <s v="S24_2300"/>
    <s v="Canadian Gift Exchange Network"/>
    <s v="(604) 555-3392"/>
    <s v="1900 Oak St."/>
    <m/>
    <s v="Vancouver"/>
    <s v="BC"/>
    <s v="V3F 2K1"/>
    <s v="Canada"/>
    <s v="NA"/>
    <s v="Tannamuri"/>
    <s v="Yoshi"/>
    <s v="Medium"/>
    <n v="4200"/>
  </r>
  <r>
    <n v="10324"/>
    <n v="31"/>
    <n v="100"/>
    <n v="2"/>
    <n v="3820.44"/>
    <d v="2004-11-05T00:00:00"/>
    <s v="Shipped"/>
    <n v="4"/>
    <x v="5"/>
    <n v="2004"/>
    <x v="2"/>
    <n v="127"/>
    <s v="S24_2300"/>
    <s v="Vitachrome Inc."/>
    <n v="2125551500"/>
    <s v="2678 Kingston Rd."/>
    <s v="Suite 101"/>
    <s v="NYC"/>
    <s v="NY"/>
    <n v="10022"/>
    <s v="USA"/>
    <s v="NA"/>
    <s v="Frick"/>
    <s v="Michael"/>
    <s v="Medium"/>
    <n v="3100"/>
  </r>
  <r>
    <n v="10334"/>
    <n v="42"/>
    <n v="100"/>
    <n v="5"/>
    <n v="5528.04"/>
    <d v="2004-11-19T00:00:00"/>
    <s v="On Hold"/>
    <n v="4"/>
    <x v="5"/>
    <n v="2004"/>
    <x v="2"/>
    <n v="127"/>
    <s v="S24_2300"/>
    <s v="Volvo Model Replicas, Co"/>
    <s v="0921-12 3555"/>
    <s v="Berguvsv„gen  8"/>
    <m/>
    <s v="Lule"/>
    <m/>
    <s v="S-958 22"/>
    <s v="Sweden"/>
    <s v="EMEA"/>
    <s v="Berglund"/>
    <s v="Christina"/>
    <s v="Medium"/>
    <n v="4200"/>
  </r>
  <r>
    <n v="10348"/>
    <n v="37"/>
    <n v="100"/>
    <n v="1"/>
    <n v="5981.42"/>
    <d v="2004-11-01T00:00:00"/>
    <s v="Shipped"/>
    <n v="4"/>
    <x v="5"/>
    <n v="2004"/>
    <x v="2"/>
    <n v="127"/>
    <s v="S24_2300"/>
    <s v="Corrida Auto Replicas, Ltd"/>
    <s v="(91) 555 22 82"/>
    <s v="C/ Araquil, 67"/>
    <m/>
    <s v="Madrid"/>
    <m/>
    <n v="28023"/>
    <s v="Spain"/>
    <s v="EMEA"/>
    <s v="Sommer"/>
    <s v="Mart¡n"/>
    <s v="Medium"/>
    <n v="3700"/>
  </r>
  <r>
    <n v="10358"/>
    <n v="41"/>
    <n v="100"/>
    <n v="7"/>
    <n v="5684.65"/>
    <d v="2004-12-10T00:00:00"/>
    <s v="Shipped"/>
    <n v="4"/>
    <x v="6"/>
    <n v="2004"/>
    <x v="2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371"/>
    <n v="20"/>
    <n v="100"/>
    <n v="5"/>
    <n v="3449.4"/>
    <d v="2005-01-23T00:00:00"/>
    <s v="Shipped"/>
    <n v="1"/>
    <x v="7"/>
    <n v="2005"/>
    <x v="2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  <n v="2000"/>
  </r>
  <r>
    <n v="10382"/>
    <n v="20"/>
    <n v="100"/>
    <n v="3"/>
    <n v="2654.4"/>
    <d v="2005-02-17T00:00:00"/>
    <s v="Shipped"/>
    <n v="1"/>
    <x v="0"/>
    <n v="2005"/>
    <x v="2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Small"/>
    <n v="2000"/>
  </r>
  <r>
    <n v="10412"/>
    <n v="70"/>
    <n v="100"/>
    <n v="10"/>
    <n v="8498"/>
    <d v="2005-05-03T00:00:00"/>
    <s v="Shipped"/>
    <n v="2"/>
    <x v="1"/>
    <n v="2005"/>
    <x v="2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Large"/>
    <n v="7000"/>
  </r>
  <r>
    <n v="10425"/>
    <n v="49"/>
    <n v="100"/>
    <n v="9"/>
    <n v="5510.54"/>
    <d v="2005-05-31T00:00:00"/>
    <s v="In Process"/>
    <n v="2"/>
    <x v="1"/>
    <n v="2005"/>
    <x v="2"/>
    <n v="127"/>
    <s v="S24_2300"/>
    <s v="La Rochelle Gifts"/>
    <s v="40.67.8555"/>
    <s v="67, rue des Cinquante Otages"/>
    <m/>
    <s v="Nantes"/>
    <m/>
    <n v="44000"/>
    <s v="France"/>
    <s v="EMEA"/>
    <s v="Labrune"/>
    <s v="Janine"/>
    <s v="Medium"/>
    <n v="4900"/>
  </r>
  <r>
    <n v="10108"/>
    <n v="35"/>
    <n v="58.87"/>
    <n v="15"/>
    <n v="2060.4499999999998"/>
    <d v="2003-03-03T00:00:00"/>
    <s v="Shipped"/>
    <n v="1"/>
    <x v="11"/>
    <n v="2003"/>
    <x v="0"/>
    <n v="69"/>
    <s v="S24_236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2060.4499999999998"/>
  </r>
  <r>
    <n v="10121"/>
    <n v="32"/>
    <n v="76.88"/>
    <n v="2"/>
    <n v="2460.16"/>
    <d v="2003-05-07T00:00:00"/>
    <s v="Shipped"/>
    <n v="2"/>
    <x v="1"/>
    <n v="2003"/>
    <x v="0"/>
    <n v="69"/>
    <s v="S24_2360"/>
    <s v="Reims Collectables"/>
    <s v="26.47.1555"/>
    <s v="59 rue de l'Abbaye"/>
    <m/>
    <s v="Reims"/>
    <m/>
    <n v="51100"/>
    <s v="France"/>
    <s v="EMEA"/>
    <s v="Henriot"/>
    <s v="Paul"/>
    <s v="Small"/>
    <n v="2460.16"/>
  </r>
  <r>
    <n v="10135"/>
    <n v="29"/>
    <n v="61.64"/>
    <n v="16"/>
    <n v="1787.56"/>
    <d v="2003-07-02T00:00:00"/>
    <s v="Shipped"/>
    <n v="3"/>
    <x v="2"/>
    <n v="2003"/>
    <x v="0"/>
    <n v="69"/>
    <s v="S24_2360"/>
    <s v="Mini Gifts Distributors Ltd."/>
    <n v="4155551450"/>
    <s v="5677 Strong St."/>
    <m/>
    <s v="San Rafael"/>
    <s v="CA"/>
    <n v="97562"/>
    <s v="USA"/>
    <s v="NA"/>
    <s v="Nelson"/>
    <s v="Valarie"/>
    <s v="Small"/>
    <n v="1787.56"/>
  </r>
  <r>
    <n v="10145"/>
    <n v="27"/>
    <n v="60.95"/>
    <n v="3"/>
    <n v="1645.65"/>
    <d v="2003-08-25T00:00:00"/>
    <s v="Shipped"/>
    <n v="3"/>
    <x v="3"/>
    <n v="2003"/>
    <x v="0"/>
    <n v="69"/>
    <s v="S24_2360"/>
    <s v="Toys4GrownUps.com"/>
    <n v="6265557265"/>
    <s v="78934 Hillside Dr."/>
    <m/>
    <s v="Pasadena"/>
    <s v="CA"/>
    <n v="90003"/>
    <s v="USA"/>
    <s v="NA"/>
    <s v="Young"/>
    <s v="Julie"/>
    <s v="Small"/>
    <n v="1645.65"/>
  </r>
  <r>
    <n v="10159"/>
    <n v="27"/>
    <n v="80.34"/>
    <n v="11"/>
    <n v="2169.1799999999998"/>
    <d v="2003-10-10T00:00:00"/>
    <s v="Shipped"/>
    <n v="4"/>
    <x v="4"/>
    <n v="2003"/>
    <x v="0"/>
    <n v="69"/>
    <s v="S24_2360"/>
    <s v="Corporate Gift Ideas Co."/>
    <n v="6505551386"/>
    <s v="7734 Strong St."/>
    <m/>
    <s v="San Francisco"/>
    <s v="CA"/>
    <m/>
    <s v="USA"/>
    <s v="NA"/>
    <s v="Brown"/>
    <s v="Julie"/>
    <s v="Small"/>
    <n v="2169.1800000000003"/>
  </r>
  <r>
    <n v="10169"/>
    <n v="38"/>
    <n v="74.11"/>
    <n v="11"/>
    <n v="2816.18"/>
    <d v="2003-11-04T00:00:00"/>
    <s v="Shipped"/>
    <n v="4"/>
    <x v="5"/>
    <n v="2003"/>
    <x v="0"/>
    <n v="69"/>
    <s v="S24_236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816.18"/>
  </r>
  <r>
    <n v="10180"/>
    <n v="35"/>
    <n v="72.03"/>
    <n v="6"/>
    <n v="2521.0500000000002"/>
    <d v="2003-11-11T00:00:00"/>
    <s v="Shipped"/>
    <n v="4"/>
    <x v="5"/>
    <n v="2003"/>
    <x v="0"/>
    <n v="69"/>
    <s v="S24_2360"/>
    <s v="Daedalus Designs Imports"/>
    <s v="20.16.1555"/>
    <s v="184, chausse de Tournai"/>
    <m/>
    <s v="Lille"/>
    <m/>
    <n v="59000"/>
    <s v="France"/>
    <s v="EMEA"/>
    <s v="Rance"/>
    <s v="Martine"/>
    <s v="Small"/>
    <n v="2521.0500000000002"/>
  </r>
  <r>
    <n v="10190"/>
    <n v="42"/>
    <n v="76.19"/>
    <n v="3"/>
    <n v="3199.98"/>
    <d v="2003-11-19T00:00:00"/>
    <s v="Shipped"/>
    <n v="4"/>
    <x v="5"/>
    <n v="2003"/>
    <x v="0"/>
    <n v="69"/>
    <s v="S24_2360"/>
    <s v="Euro Shopping Channel"/>
    <s v="(91) 555 94 44"/>
    <s v="C/ Moralzarzal, 86"/>
    <m/>
    <s v="Madrid"/>
    <m/>
    <n v="28034"/>
    <s v="Spain"/>
    <s v="EMEA"/>
    <s v="Freyre"/>
    <s v="Diego"/>
    <s v="Medium"/>
    <n v="3199.98"/>
  </r>
  <r>
    <n v="10211"/>
    <n v="21"/>
    <n v="63.72"/>
    <n v="11"/>
    <n v="1338.12"/>
    <d v="2004-01-15T00:00:00"/>
    <s v="Shipped"/>
    <n v="1"/>
    <x v="7"/>
    <n v="2004"/>
    <x v="0"/>
    <n v="69"/>
    <s v="S24_2360"/>
    <s v="Auto Canal Petit"/>
    <s v="(1) 47.55.6555"/>
    <s v="25, rue Lauriston"/>
    <m/>
    <s v="Paris"/>
    <m/>
    <n v="75016"/>
    <s v="France"/>
    <s v="EMEA"/>
    <s v="Perrier"/>
    <s v="Dominique"/>
    <s v="Small"/>
    <n v="1338.12"/>
  </r>
  <r>
    <n v="10224"/>
    <n v="37"/>
    <n v="80.34"/>
    <n v="4"/>
    <n v="2972.58"/>
    <d v="2004-02-21T00:00:00"/>
    <s v="Shipped"/>
    <n v="1"/>
    <x v="0"/>
    <n v="2004"/>
    <x v="0"/>
    <n v="69"/>
    <s v="S24_2360"/>
    <s v="Daedalus Designs Imports"/>
    <s v="20.16.1555"/>
    <s v="184, chausse de Tournai"/>
    <m/>
    <s v="Lille"/>
    <m/>
    <n v="59000"/>
    <s v="France"/>
    <s v="EMEA"/>
    <s v="Rance"/>
    <s v="Martine"/>
    <s v="Small"/>
    <n v="2972.58"/>
  </r>
  <r>
    <n v="10237"/>
    <n v="26"/>
    <n v="79.650000000000006"/>
    <n v="4"/>
    <n v="2070.9"/>
    <d v="2004-04-05T00:00:00"/>
    <s v="Shipped"/>
    <n v="2"/>
    <x v="8"/>
    <n v="2004"/>
    <x v="0"/>
    <n v="69"/>
    <s v="S24_2360"/>
    <s v="Vitachrome Inc."/>
    <n v="2125551500"/>
    <s v="2678 Kingston Rd."/>
    <s v="Suite 101"/>
    <s v="NYC"/>
    <s v="NY"/>
    <n v="10022"/>
    <s v="USA"/>
    <s v="NA"/>
    <s v="Frick"/>
    <s v="Michael"/>
    <s v="Small"/>
    <n v="2070.9"/>
  </r>
  <r>
    <n v="10252"/>
    <n v="47"/>
    <n v="65.8"/>
    <n v="8"/>
    <n v="3092.6"/>
    <d v="2004-05-26T00:00:00"/>
    <s v="Shipped"/>
    <n v="2"/>
    <x v="1"/>
    <n v="2004"/>
    <x v="0"/>
    <n v="69"/>
    <s v="S24_2360"/>
    <s v="Auto Canal Petit"/>
    <s v="(1) 47.55.6555"/>
    <s v="25, rue Lauriston"/>
    <m/>
    <s v="Paris"/>
    <m/>
    <n v="75016"/>
    <s v="France"/>
    <s v="EMEA"/>
    <s v="Perrier"/>
    <s v="Dominique"/>
    <s v="Medium"/>
    <n v="3092.6"/>
  </r>
  <r>
    <n v="10264"/>
    <n v="37"/>
    <n v="65.099999999999994"/>
    <n v="6"/>
    <n v="2408.6999999999998"/>
    <d v="2004-06-30T00:00:00"/>
    <s v="Shipped"/>
    <n v="2"/>
    <x v="9"/>
    <n v="2004"/>
    <x v="0"/>
    <n v="69"/>
    <s v="S24_2360"/>
    <s v="Gifts4AllAges.com"/>
    <n v="6175559555"/>
    <s v="8616 Spinnaker Dr."/>
    <m/>
    <s v="Boston"/>
    <s v="MA"/>
    <n v="51003"/>
    <s v="USA"/>
    <s v="NA"/>
    <s v="Yoshido"/>
    <s v="Juri"/>
    <s v="Small"/>
    <n v="2408.6999999999998"/>
  </r>
  <r>
    <n v="10276"/>
    <n v="46"/>
    <n v="75.489999999999995"/>
    <n v="12"/>
    <n v="3472.54"/>
    <d v="2004-08-02T00:00:00"/>
    <s v="Shipped"/>
    <n v="3"/>
    <x v="3"/>
    <n v="2004"/>
    <x v="0"/>
    <n v="69"/>
    <s v="S24_2360"/>
    <s v="Online Mini Collectables"/>
    <n v="6175557555"/>
    <s v="7635 Spinnaker Dr."/>
    <m/>
    <s v="Brickhaven"/>
    <s v="MA"/>
    <n v="58339"/>
    <s v="USA"/>
    <s v="NA"/>
    <s v="Barajas"/>
    <s v="Miguel"/>
    <s v="Medium"/>
    <n v="3472.54"/>
  </r>
  <r>
    <n v="10285"/>
    <n v="38"/>
    <n v="59.56"/>
    <n v="3"/>
    <n v="2263.2800000000002"/>
    <d v="2004-08-27T00:00:00"/>
    <s v="Shipped"/>
    <n v="3"/>
    <x v="3"/>
    <n v="2004"/>
    <x v="0"/>
    <n v="69"/>
    <s v="S24_2360"/>
    <s v="Marta's Replicas Co."/>
    <n v="6175558555"/>
    <s v="39323 Spinnaker Dr."/>
    <m/>
    <s v="Cambridge"/>
    <s v="MA"/>
    <n v="51247"/>
    <s v="USA"/>
    <s v="NA"/>
    <s v="Hernandez"/>
    <s v="Marta"/>
    <s v="Small"/>
    <n v="2263.2800000000002"/>
  </r>
  <r>
    <n v="10299"/>
    <n v="33"/>
    <n v="66.489999999999995"/>
    <n v="6"/>
    <n v="2194.17"/>
    <d v="2004-09-30T00:00:00"/>
    <s v="Shipped"/>
    <n v="3"/>
    <x v="10"/>
    <n v="2004"/>
    <x v="0"/>
    <n v="69"/>
    <s v="S24_2360"/>
    <s v="Toys of Finland, Co."/>
    <s v="90-224 8555"/>
    <s v="Keskuskatu 45"/>
    <m/>
    <s v="Helsinki"/>
    <m/>
    <n v="21240"/>
    <s v="Finland"/>
    <s v="EMEA"/>
    <s v="Karttunen"/>
    <s v="Matti"/>
    <s v="Small"/>
    <n v="2194.1699999999996"/>
  </r>
  <r>
    <n v="10309"/>
    <n v="24"/>
    <n v="56.1"/>
    <n v="2"/>
    <n v="1346.4"/>
    <d v="2004-10-15T00:00:00"/>
    <s v="Shipped"/>
    <n v="4"/>
    <x v="4"/>
    <n v="2004"/>
    <x v="0"/>
    <n v="69"/>
    <s v="S24_2360"/>
    <s v="Baane Mini Imports"/>
    <s v="07-98 9555"/>
    <s v="Erling Skakkes gate 78"/>
    <m/>
    <s v="Stavern"/>
    <m/>
    <n v="4110"/>
    <s v="Norway"/>
    <s v="EMEA"/>
    <s v="Bergulfsen"/>
    <s v="Jonas"/>
    <s v="Small"/>
    <n v="1346.4"/>
  </r>
  <r>
    <n v="10319"/>
    <n v="31"/>
    <n v="81.73"/>
    <n v="7"/>
    <n v="2533.63"/>
    <d v="2004-11-03T00:00:00"/>
    <s v="Shipped"/>
    <n v="4"/>
    <x v="5"/>
    <n v="2004"/>
    <x v="0"/>
    <n v="69"/>
    <s v="S24_2360"/>
    <s v="Microscale Inc."/>
    <n v="2125551957"/>
    <s v="5290 North Pendale Street"/>
    <s v="Suite 200"/>
    <s v="NYC"/>
    <s v="NY"/>
    <n v="10022"/>
    <s v="USA"/>
    <s v="NA"/>
    <s v="Kuo"/>
    <s v="Kee"/>
    <s v="Small"/>
    <n v="2533.63"/>
  </r>
  <r>
    <n v="10330"/>
    <n v="42"/>
    <n v="81.03"/>
    <n v="1"/>
    <n v="3403.26"/>
    <d v="2004-11-16T00:00:00"/>
    <s v="Shipped"/>
    <n v="4"/>
    <x v="5"/>
    <n v="2004"/>
    <x v="0"/>
    <n v="69"/>
    <s v="S24_236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3403.26"/>
  </r>
  <r>
    <n v="10341"/>
    <n v="32"/>
    <n v="100"/>
    <n v="6"/>
    <n v="3307.2"/>
    <d v="2004-11-24T00:00:00"/>
    <s v="Shipped"/>
    <n v="4"/>
    <x v="5"/>
    <n v="2004"/>
    <x v="0"/>
    <n v="69"/>
    <s v="S24_2360"/>
    <s v="Salzburg Collectables"/>
    <s v="6562-9555"/>
    <s v="Geislweg 14"/>
    <m/>
    <s v="Salzburg"/>
    <m/>
    <n v="5020"/>
    <s v="Austria"/>
    <s v="EMEA"/>
    <s v="Pipps"/>
    <s v="Georg"/>
    <s v="Medium"/>
    <n v="3200"/>
  </r>
  <r>
    <n v="10355"/>
    <n v="41"/>
    <n v="70.650000000000006"/>
    <n v="3"/>
    <n v="2896.65"/>
    <d v="2004-12-07T00:00:00"/>
    <s v="Shipped"/>
    <n v="4"/>
    <x v="6"/>
    <n v="2004"/>
    <x v="0"/>
    <n v="69"/>
    <s v="S24_2360"/>
    <s v="Euro Shopping Channel"/>
    <s v="(91) 555 94 44"/>
    <s v="C/ Moralzarzal, 86"/>
    <m/>
    <s v="Madrid"/>
    <m/>
    <n v="28034"/>
    <s v="Spain"/>
    <s v="EMEA"/>
    <s v="Freyre"/>
    <s v="Diego"/>
    <s v="Small"/>
    <n v="2896.65"/>
  </r>
  <r>
    <n v="10363"/>
    <n v="43"/>
    <n v="61.23"/>
    <n v="14"/>
    <n v="2632.89"/>
    <d v="2005-01-06T00:00:00"/>
    <s v="Shipped"/>
    <n v="1"/>
    <x v="7"/>
    <n v="2005"/>
    <x v="0"/>
    <n v="69"/>
    <s v="S24_2360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2632.89"/>
  </r>
  <r>
    <n v="10375"/>
    <n v="20"/>
    <n v="100"/>
    <n v="14"/>
    <n v="2046"/>
    <d v="2005-02-03T00:00:00"/>
    <s v="Shipped"/>
    <n v="1"/>
    <x v="0"/>
    <n v="2005"/>
    <x v="0"/>
    <n v="69"/>
    <s v="S24_2360"/>
    <s v="La Rochelle Gifts"/>
    <s v="40.67.8555"/>
    <s v="67, rue des Cinquante Otages"/>
    <m/>
    <s v="Nantes"/>
    <m/>
    <n v="44000"/>
    <s v="France"/>
    <s v="EMEA"/>
    <s v="Labrune"/>
    <s v="Janine"/>
    <s v="Small"/>
    <n v="2000"/>
  </r>
  <r>
    <n v="10390"/>
    <n v="35"/>
    <n v="65.13"/>
    <n v="4"/>
    <n v="2279.5500000000002"/>
    <d v="2005-03-04T00:00:00"/>
    <s v="Shipped"/>
    <n v="1"/>
    <x v="11"/>
    <n v="2005"/>
    <x v="0"/>
    <n v="69"/>
    <s v="S24_2360"/>
    <s v="Mini Gifts Distributors Ltd."/>
    <n v="4155551450"/>
    <s v="5677 Strong St."/>
    <m/>
    <s v="San Rafael"/>
    <s v="CA"/>
    <n v="97562"/>
    <s v="USA"/>
    <s v="NA"/>
    <s v="Nelson"/>
    <s v="Valarie"/>
    <s v="Small"/>
    <n v="2279.5499999999997"/>
  </r>
  <r>
    <n v="10403"/>
    <n v="27"/>
    <n v="79.650000000000006"/>
    <n v="4"/>
    <n v="2150.5500000000002"/>
    <d v="2005-04-08T00:00:00"/>
    <s v="Shipped"/>
    <n v="2"/>
    <x v="8"/>
    <n v="2005"/>
    <x v="0"/>
    <n v="69"/>
    <s v="S24_2360"/>
    <s v="UK Collectables, Ltd."/>
    <s v="(171) 555-2282"/>
    <s v="Berkeley Gardens 12  Brewery"/>
    <m/>
    <s v="Liverpool"/>
    <m/>
    <s v="WX1 6LT"/>
    <s v="UK"/>
    <s v="EMEA"/>
    <s v="Devon"/>
    <s v="Elizabeth"/>
    <s v="Small"/>
    <n v="2150.5500000000002"/>
  </r>
  <r>
    <n v="10110"/>
    <n v="43"/>
    <n v="78.150000000000006"/>
    <n v="11"/>
    <n v="3360.45"/>
    <d v="2003-03-18T00:00:00"/>
    <s v="Shipped"/>
    <n v="1"/>
    <x v="11"/>
    <n v="2003"/>
    <x v="1"/>
    <n v="90"/>
    <s v="S24_2766"/>
    <s v="AV Stores, Co."/>
    <s v="(171) 555-1555"/>
    <s v="Fauntleroy Circus"/>
    <m/>
    <s v="Manchester"/>
    <m/>
    <s v="EC2 5NT"/>
    <s v="UK"/>
    <s v="EMEA"/>
    <s v="Ashworth"/>
    <s v="Victoria"/>
    <s v="Medium"/>
    <n v="3360.4500000000003"/>
  </r>
  <r>
    <n v="10124"/>
    <n v="32"/>
    <n v="72.7"/>
    <n v="10"/>
    <n v="2326.4"/>
    <d v="2003-05-21T00:00:00"/>
    <s v="Shipped"/>
    <n v="2"/>
    <x v="1"/>
    <n v="2003"/>
    <x v="1"/>
    <n v="90"/>
    <s v="S24_2766"/>
    <s v="Signal Gift Stores"/>
    <n v="7025551838"/>
    <s v="8489 Strong St."/>
    <m/>
    <s v="Las Vegas"/>
    <s v="NV"/>
    <n v="83030"/>
    <s v="USA"/>
    <s v="NA"/>
    <s v="King"/>
    <s v="Sue"/>
    <s v="Small"/>
    <n v="2326.4"/>
  </r>
  <r>
    <n v="10148"/>
    <n v="21"/>
    <n v="73.599999999999994"/>
    <n v="4"/>
    <n v="1545.6"/>
    <d v="2003-09-11T00:00:00"/>
    <s v="Shipped"/>
    <n v="3"/>
    <x v="10"/>
    <n v="2003"/>
    <x v="1"/>
    <n v="90"/>
    <s v="S24_276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545.6"/>
  </r>
  <r>
    <n v="10161"/>
    <n v="20"/>
    <n v="100"/>
    <n v="3"/>
    <n v="2144.6"/>
    <d v="2003-10-17T00:00:00"/>
    <s v="Shipped"/>
    <n v="4"/>
    <x v="4"/>
    <n v="2003"/>
    <x v="1"/>
    <n v="90"/>
    <s v="S24_2766"/>
    <s v="Heintze Collectables"/>
    <s v="86 21 3555"/>
    <s v="Smagsloget 45"/>
    <m/>
    <s v="Aaarhus"/>
    <m/>
    <n v="8200"/>
    <s v="Denmark"/>
    <s v="EMEA"/>
    <s v="Ibsen"/>
    <s v="Palle"/>
    <s v="Small"/>
    <n v="2000"/>
  </r>
  <r>
    <n v="10172"/>
    <n v="22"/>
    <n v="74.510000000000005"/>
    <n v="1"/>
    <n v="1639.22"/>
    <d v="2003-11-05T00:00:00"/>
    <s v="Shipped"/>
    <n v="4"/>
    <x v="5"/>
    <n v="2003"/>
    <x v="1"/>
    <n v="90"/>
    <s v="S24_2766"/>
    <s v="Gift Depot Inc."/>
    <n v="2035552570"/>
    <s v="25593 South Bay Ln."/>
    <m/>
    <s v="Bridgewater"/>
    <s v="CT"/>
    <n v="97562"/>
    <s v="USA"/>
    <s v="NA"/>
    <s v="King"/>
    <s v="Julie"/>
    <s v="Small"/>
    <n v="1639.22"/>
  </r>
  <r>
    <n v="10182"/>
    <n v="36"/>
    <n v="73.599999999999994"/>
    <n v="14"/>
    <n v="2649.6"/>
    <d v="2003-11-12T00:00:00"/>
    <s v="Shipped"/>
    <n v="4"/>
    <x v="5"/>
    <n v="2003"/>
    <x v="1"/>
    <n v="90"/>
    <s v="S24_2766"/>
    <s v="Mini Gifts Distributors Ltd."/>
    <n v="4155551450"/>
    <s v="5677 Strong St."/>
    <m/>
    <s v="San Rafael"/>
    <s v="CA"/>
    <n v="97562"/>
    <s v="USA"/>
    <s v="NA"/>
    <s v="Nelson"/>
    <s v="Valarie"/>
    <s v="Small"/>
    <n v="2649.6"/>
  </r>
  <r>
    <n v="10192"/>
    <n v="46"/>
    <n v="83.6"/>
    <n v="2"/>
    <n v="3845.6"/>
    <d v="2003-11-20T00:00:00"/>
    <s v="Shipped"/>
    <n v="4"/>
    <x v="5"/>
    <n v="2003"/>
    <x v="1"/>
    <n v="90"/>
    <s v="S24_2766"/>
    <s v="Online Diecast Creations Co."/>
    <n v="6035558647"/>
    <s v="2304 Long Airport Avenue"/>
    <m/>
    <s v="Nashua"/>
    <s v="NH"/>
    <n v="62005"/>
    <s v="USA"/>
    <s v="NA"/>
    <s v="Young"/>
    <s v="Valarie"/>
    <s v="Medium"/>
    <n v="3845.6"/>
  </r>
  <r>
    <n v="10204"/>
    <n v="47"/>
    <n v="96.32"/>
    <n v="8"/>
    <n v="4527.04"/>
    <d v="2003-12-02T00:00:00"/>
    <s v="Shipped"/>
    <n v="4"/>
    <x v="6"/>
    <n v="2003"/>
    <x v="1"/>
    <n v="90"/>
    <s v="S24_2766"/>
    <s v="Muscle Machine Inc"/>
    <n v="2125557413"/>
    <s v="4092 Furth Circle"/>
    <s v="Suite 400"/>
    <s v="NYC"/>
    <s v="NY"/>
    <n v="10022"/>
    <s v="USA"/>
    <s v="NA"/>
    <s v="Young"/>
    <s v="Jeff"/>
    <s v="Medium"/>
    <n v="4527.04"/>
  </r>
  <r>
    <n v="10212"/>
    <n v="45"/>
    <n v="88.14"/>
    <n v="1"/>
    <n v="3966.3"/>
    <d v="2004-01-16T00:00:00"/>
    <s v="Shipped"/>
    <n v="1"/>
    <x v="7"/>
    <n v="2004"/>
    <x v="1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Medium"/>
    <n v="3966.3"/>
  </r>
  <r>
    <n v="10227"/>
    <n v="47"/>
    <n v="88.14"/>
    <n v="14"/>
    <n v="4142.58"/>
    <d v="2004-03-02T00:00:00"/>
    <s v="Shipped"/>
    <n v="1"/>
    <x v="11"/>
    <n v="2004"/>
    <x v="1"/>
    <n v="90"/>
    <s v="S24_2766"/>
    <s v="Saveley &amp; Henriot, Co."/>
    <s v="78.32.5555"/>
    <s v="2, rue du Commerce"/>
    <m/>
    <s v="Lyon"/>
    <m/>
    <n v="69004"/>
    <s v="France"/>
    <s v="EMEA"/>
    <s v="Saveley"/>
    <s v="Mary"/>
    <s v="Medium"/>
    <n v="4142.58"/>
  </r>
  <r>
    <n v="10241"/>
    <n v="47"/>
    <n v="94.5"/>
    <n v="6"/>
    <n v="4441.5"/>
    <d v="2004-04-13T00:00:00"/>
    <s v="Shipped"/>
    <n v="2"/>
    <x v="8"/>
    <n v="2004"/>
    <x v="1"/>
    <n v="90"/>
    <s v="S24_2766"/>
    <s v="Mini Caravy"/>
    <s v="88.60.1555"/>
    <s v="24, place Kluber"/>
    <m/>
    <s v="Strasbourg"/>
    <m/>
    <n v="67000"/>
    <s v="France"/>
    <s v="EMEA"/>
    <s v="Citeaux"/>
    <s v="Frederique"/>
    <s v="Medium"/>
    <n v="4441.5"/>
  </r>
  <r>
    <n v="10267"/>
    <n v="38"/>
    <n v="87.24"/>
    <n v="3"/>
    <n v="3315.12"/>
    <d v="2004-07-07T00:00:00"/>
    <s v="Shipped"/>
    <n v="3"/>
    <x v="2"/>
    <n v="2004"/>
    <x v="1"/>
    <n v="90"/>
    <s v="S24_2766"/>
    <s v="Muscle Machine Inc"/>
    <n v="2125557413"/>
    <s v="4092 Furth Circle"/>
    <s v="Suite 400"/>
    <s v="NYC"/>
    <s v="NY"/>
    <n v="10022"/>
    <s v="USA"/>
    <s v="NA"/>
    <s v="Young"/>
    <s v="Jeff"/>
    <s v="Medium"/>
    <n v="3315.12"/>
  </r>
  <r>
    <n v="10279"/>
    <n v="49"/>
    <n v="79.97"/>
    <n v="3"/>
    <n v="3918.53"/>
    <d v="2004-08-09T00:00:00"/>
    <s v="Shipped"/>
    <n v="3"/>
    <x v="3"/>
    <n v="2004"/>
    <x v="1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Medium"/>
    <n v="3918.5299999999997"/>
  </r>
  <r>
    <n v="10288"/>
    <n v="35"/>
    <n v="80.87"/>
    <n v="9"/>
    <n v="2830.45"/>
    <d v="2004-09-01T00:00:00"/>
    <s v="Shipped"/>
    <n v="3"/>
    <x v="10"/>
    <n v="2004"/>
    <x v="1"/>
    <n v="90"/>
    <s v="S24_2766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830.4500000000003"/>
  </r>
  <r>
    <n v="10302"/>
    <n v="49"/>
    <n v="100"/>
    <n v="5"/>
    <n v="5298.86"/>
    <d v="2003-10-06T00:00:00"/>
    <s v="Shipped"/>
    <n v="4"/>
    <x v="4"/>
    <n v="2003"/>
    <x v="1"/>
    <n v="90"/>
    <s v="S24_2766"/>
    <s v="UK Collectables, Ltd."/>
    <s v="(171) 555-2282"/>
    <s v="Berkeley Gardens 12  Brewery"/>
    <m/>
    <s v="Liverpool"/>
    <m/>
    <s v="WX1 6LT"/>
    <s v="UK"/>
    <s v="EMEA"/>
    <s v="Devon"/>
    <s v="Elizabeth"/>
    <s v="Medium"/>
    <n v="4900"/>
  </r>
  <r>
    <n v="10311"/>
    <n v="28"/>
    <n v="93.6"/>
    <n v="4"/>
    <n v="2620.8000000000002"/>
    <d v="2004-10-16T00:00:00"/>
    <s v="Shipped"/>
    <n v="4"/>
    <x v="4"/>
    <n v="2004"/>
    <x v="1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Small"/>
    <n v="2620.7999999999997"/>
  </r>
  <r>
    <n v="10321"/>
    <n v="30"/>
    <n v="72.7"/>
    <n v="1"/>
    <n v="2181"/>
    <d v="2004-11-04T00:00:00"/>
    <s v="Shipped"/>
    <n v="4"/>
    <x v="5"/>
    <n v="2004"/>
    <x v="1"/>
    <n v="90"/>
    <s v="S24_2766"/>
    <s v="FunGiftIdeas.com"/>
    <n v="5085552555"/>
    <s v="1785 First Street"/>
    <m/>
    <s v="New Bedford"/>
    <s v="MA"/>
    <n v="50553"/>
    <s v="USA"/>
    <s v="NA"/>
    <s v="Benitez"/>
    <s v="Violeta"/>
    <s v="Small"/>
    <n v="2181"/>
  </r>
  <r>
    <n v="10332"/>
    <n v="39"/>
    <n v="86.72"/>
    <n v="7"/>
    <n v="3382.08"/>
    <d v="2004-11-17T00:00:00"/>
    <s v="Shipped"/>
    <n v="4"/>
    <x v="5"/>
    <n v="2004"/>
    <x v="1"/>
    <n v="90"/>
    <s v="S24_2766"/>
    <s v="AV Stores, Co."/>
    <s v="(171) 555-1555"/>
    <s v="Fauntleroy Circus"/>
    <m/>
    <s v="Manchester"/>
    <m/>
    <s v="EC2 5NT"/>
    <s v="UK"/>
    <s v="EMEA"/>
    <s v="Ashworth"/>
    <s v="Victoria"/>
    <s v="Medium"/>
    <n v="3382.08"/>
  </r>
  <r>
    <n v="10346"/>
    <n v="25"/>
    <n v="100"/>
    <n v="1"/>
    <n v="2876.75"/>
    <d v="2004-11-29T00:00:00"/>
    <s v="Shipped"/>
    <n v="4"/>
    <x v="5"/>
    <n v="2004"/>
    <x v="1"/>
    <n v="90"/>
    <s v="S24_2766"/>
    <s v="Signal Gift Stores"/>
    <n v="7025551838"/>
    <s v="8489 Strong St."/>
    <m/>
    <s v="Las Vegas"/>
    <s v="NV"/>
    <n v="83030"/>
    <s v="USA"/>
    <s v="NA"/>
    <s v="King"/>
    <s v="Sue"/>
    <s v="Small"/>
    <n v="2500"/>
  </r>
  <r>
    <n v="10368"/>
    <n v="40"/>
    <n v="100"/>
    <n v="2"/>
    <n v="4107.2"/>
    <d v="2005-01-19T00:00:00"/>
    <s v="Shipped"/>
    <n v="1"/>
    <x v="7"/>
    <n v="2005"/>
    <x v="1"/>
    <n v="90"/>
    <s v="S24_2766"/>
    <s v="Mini Gifts Distributors Ltd."/>
    <n v="4155551450"/>
    <s v="5677 Strong St."/>
    <m/>
    <s v="San Rafael"/>
    <s v="CA"/>
    <n v="97562"/>
    <s v="USA"/>
    <s v="NA"/>
    <s v="Nelson"/>
    <s v="Valarie"/>
    <s v="Medium"/>
    <n v="4000"/>
  </r>
  <r>
    <n v="10380"/>
    <n v="36"/>
    <n v="37.5"/>
    <n v="6"/>
    <n v="1350"/>
    <d v="2005-02-16T00:00:00"/>
    <s v="Shipped"/>
    <n v="1"/>
    <x v="0"/>
    <n v="2005"/>
    <x v="1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Small"/>
    <n v="1350"/>
  </r>
  <r>
    <n v="10407"/>
    <n v="76"/>
    <n v="94.5"/>
    <n v="6"/>
    <n v="7182"/>
    <d v="2005-04-22T00:00:00"/>
    <s v="On Hold"/>
    <n v="2"/>
    <x v="8"/>
    <n v="2005"/>
    <x v="1"/>
    <n v="90"/>
    <s v="S24_2766"/>
    <s v="The Sharp Gifts Warehouse"/>
    <n v="4085553659"/>
    <s v="3086 Ingle Ln."/>
    <m/>
    <s v="San Jose"/>
    <s v="CA"/>
    <n v="94217"/>
    <s v="USA"/>
    <s v="NA"/>
    <s v="Frick"/>
    <s v="Sue"/>
    <s v="Large"/>
    <n v="7182"/>
  </r>
  <r>
    <n v="10420"/>
    <n v="39"/>
    <n v="100"/>
    <n v="9"/>
    <n v="3933.93"/>
    <d v="2005-05-29T00:00:00"/>
    <s v="In Process"/>
    <n v="2"/>
    <x v="1"/>
    <n v="2005"/>
    <x v="1"/>
    <n v="90"/>
    <s v="S24_27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900"/>
  </r>
  <r>
    <n v="10104"/>
    <n v="44"/>
    <n v="39.6"/>
    <n v="10"/>
    <n v="1742.4"/>
    <d v="2003-01-31T00:00:00"/>
    <s v="Shipped"/>
    <n v="1"/>
    <x v="7"/>
    <n v="2003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  <n v="1742.4"/>
  </r>
  <r>
    <n v="10114"/>
    <n v="24"/>
    <n v="30.06"/>
    <n v="1"/>
    <n v="721.44"/>
    <d v="2003-04-01T00:00:00"/>
    <s v="Shipped"/>
    <n v="2"/>
    <x v="8"/>
    <n v="2003"/>
    <x v="1"/>
    <n v="35"/>
    <s v="S24_2840"/>
    <s v="La Corne D'abondance, Co."/>
    <s v="(1) 42.34.2555"/>
    <s v="265, boulevard Charonne"/>
    <m/>
    <s v="Paris"/>
    <m/>
    <n v="75012"/>
    <s v="France"/>
    <s v="EMEA"/>
    <s v="Bertrand"/>
    <s v="Marie"/>
    <s v="Small"/>
    <n v="721.43999999999994"/>
  </r>
  <r>
    <n v="10127"/>
    <n v="39"/>
    <n v="38.19"/>
    <n v="12"/>
    <n v="1489.41"/>
    <d v="2003-06-03T00:00:00"/>
    <s v="Shipped"/>
    <n v="2"/>
    <x v="9"/>
    <n v="2003"/>
    <x v="1"/>
    <n v="35"/>
    <s v="S24_2840"/>
    <s v="Muscle Machine Inc"/>
    <n v="2125557413"/>
    <s v="4092 Furth Circle"/>
    <s v="Suite 400"/>
    <s v="NYC"/>
    <s v="NY"/>
    <n v="10022"/>
    <s v="USA"/>
    <s v="NA"/>
    <s v="Young"/>
    <s v="Jeff"/>
    <s v="Small"/>
    <n v="1489.4099999999999"/>
  </r>
  <r>
    <n v="10141"/>
    <n v="21"/>
    <n v="42.43"/>
    <n v="6"/>
    <n v="891.03"/>
    <d v="2003-08-01T00:00:00"/>
    <s v="Shipped"/>
    <n v="3"/>
    <x v="3"/>
    <n v="2003"/>
    <x v="1"/>
    <n v="35"/>
    <s v="S24_2840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891.03"/>
  </r>
  <r>
    <n v="10151"/>
    <n v="30"/>
    <n v="40.31"/>
    <n v="4"/>
    <n v="1209.3"/>
    <d v="2003-09-21T00:00:00"/>
    <s v="Shipped"/>
    <n v="3"/>
    <x v="10"/>
    <n v="2003"/>
    <x v="1"/>
    <n v="35"/>
    <s v="S24_2840"/>
    <s v="Oulu Toy Supplies, Inc."/>
    <s v="981-443655"/>
    <s v="Torikatu 38"/>
    <m/>
    <s v="Oulu"/>
    <m/>
    <n v="90110"/>
    <s v="Finland"/>
    <s v="EMEA"/>
    <s v="Koskitalo"/>
    <s v="Pirkko"/>
    <s v="Small"/>
    <n v="1209.3000000000002"/>
  </r>
  <r>
    <n v="10165"/>
    <n v="27"/>
    <n v="31.82"/>
    <n v="13"/>
    <n v="859.14"/>
    <d v="2003-10-22T00:00:00"/>
    <s v="Shipped"/>
    <n v="4"/>
    <x v="4"/>
    <n v="2003"/>
    <x v="1"/>
    <n v="35"/>
    <s v="S24_2840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859.14"/>
  </r>
  <r>
    <n v="10175"/>
    <n v="37"/>
    <n v="31.12"/>
    <n v="2"/>
    <n v="1151.44"/>
    <d v="2003-11-06T00:00:00"/>
    <s v="Shipped"/>
    <n v="4"/>
    <x v="5"/>
    <n v="2003"/>
    <x v="1"/>
    <n v="35"/>
    <s v="S24_2840"/>
    <s v="Stylish Desk Decors, Co."/>
    <s v="(171) 555-0297"/>
    <s v="35 King George"/>
    <m/>
    <s v="London"/>
    <m/>
    <s v="WX3 6FW"/>
    <s v="UK"/>
    <s v="EMEA"/>
    <s v="Brown"/>
    <s v="Ann"/>
    <s v="Small"/>
    <n v="1151.44"/>
  </r>
  <r>
    <n v="10184"/>
    <n v="42"/>
    <n v="31.82"/>
    <n v="7"/>
    <n v="1336.44"/>
    <d v="2003-11-14T00:00:00"/>
    <s v="Shipped"/>
    <n v="4"/>
    <x v="5"/>
    <n v="2003"/>
    <x v="1"/>
    <n v="35"/>
    <s v="S24_2840"/>
    <s v="Iberia Gift Imports, Corp."/>
    <s v="(95) 555 82 82"/>
    <s v="C/ Romero, 33"/>
    <m/>
    <s v="Sevilla"/>
    <m/>
    <n v="41101"/>
    <s v="Spain"/>
    <s v="EMEA"/>
    <s v="Roel"/>
    <s v="Jose Pedro"/>
    <s v="Small"/>
    <n v="1336.44"/>
  </r>
  <r>
    <n v="10195"/>
    <n v="32"/>
    <n v="28.29"/>
    <n v="7"/>
    <n v="905.28"/>
    <d v="2003-11-25T00:00:00"/>
    <s v="Shipped"/>
    <n v="4"/>
    <x v="5"/>
    <n v="2003"/>
    <x v="1"/>
    <n v="35"/>
    <s v="S24_2840"/>
    <s v="Mini Classics"/>
    <n v="9145554562"/>
    <s v="3758 North Pendale Street"/>
    <m/>
    <s v="White Plains"/>
    <s v="NY"/>
    <n v="24067"/>
    <s v="USA"/>
    <s v="NA"/>
    <s v="Frick"/>
    <s v="Steve"/>
    <s v="Small"/>
    <n v="905.28"/>
  </r>
  <r>
    <n v="10207"/>
    <n v="42"/>
    <n v="29.7"/>
    <n v="8"/>
    <n v="1247.4000000000001"/>
    <d v="2003-12-09T00:00:00"/>
    <s v="Shipped"/>
    <n v="4"/>
    <x v="6"/>
    <n v="2003"/>
    <x v="1"/>
    <n v="35"/>
    <s v="S24_2840"/>
    <s v="Diecast Collectables"/>
    <n v="6175552555"/>
    <s v="6251 Ingle Ln."/>
    <m/>
    <s v="Boston"/>
    <s v="MA"/>
    <n v="51003"/>
    <s v="USA"/>
    <s v="NA"/>
    <s v="Franco"/>
    <s v="Valarie"/>
    <s v="Small"/>
    <n v="1247.3999999999999"/>
  </r>
  <r>
    <n v="10219"/>
    <n v="21"/>
    <n v="40.31"/>
    <n v="3"/>
    <n v="846.51"/>
    <d v="2004-02-10T00:00:00"/>
    <s v="Shipped"/>
    <n v="1"/>
    <x v="0"/>
    <n v="2004"/>
    <x v="1"/>
    <n v="35"/>
    <s v="S24_2840"/>
    <s v="Signal Collectibles Ltd."/>
    <n v="4155554312"/>
    <s v="2793 Furth Circle"/>
    <m/>
    <s v="Brisbane"/>
    <s v="CA"/>
    <n v="94217"/>
    <s v="USA"/>
    <s v="NA"/>
    <s v="Taylor"/>
    <s v="Sue"/>
    <s v="Small"/>
    <n v="846.51"/>
  </r>
  <r>
    <n v="10229"/>
    <n v="33"/>
    <n v="32.880000000000003"/>
    <n v="2"/>
    <n v="1085.04"/>
    <d v="2004-03-11T00:00:00"/>
    <s v="Shipped"/>
    <n v="1"/>
    <x v="11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  <n v="1085.0400000000002"/>
  </r>
  <r>
    <n v="10246"/>
    <n v="49"/>
    <n v="36.07"/>
    <n v="6"/>
    <n v="1767.43"/>
    <d v="2004-05-05T00:00:00"/>
    <s v="Shipped"/>
    <n v="2"/>
    <x v="1"/>
    <n v="2004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  <n v="1767.43"/>
  </r>
  <r>
    <n v="10259"/>
    <n v="31"/>
    <n v="33.24"/>
    <n v="5"/>
    <n v="1030.44"/>
    <d v="2004-06-15T00:00:00"/>
    <s v="Shipped"/>
    <n v="2"/>
    <x v="9"/>
    <n v="2004"/>
    <x v="1"/>
    <n v="35"/>
    <s v="S24_284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030.44"/>
  </r>
  <r>
    <n v="10271"/>
    <n v="38"/>
    <n v="41.72"/>
    <n v="6"/>
    <n v="1585.36"/>
    <d v="2004-07-20T00:00:00"/>
    <s v="Shipped"/>
    <n v="3"/>
    <x v="2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  <n v="1585.36"/>
  </r>
  <r>
    <n v="10281"/>
    <n v="20"/>
    <n v="40.659999999999997"/>
    <n v="2"/>
    <n v="813.2"/>
    <d v="2004-08-19T00:00:00"/>
    <s v="Shipped"/>
    <n v="3"/>
    <x v="3"/>
    <n v="2004"/>
    <x v="1"/>
    <n v="35"/>
    <s v="S24_2840"/>
    <s v="Diecast Classics Inc."/>
    <n v="2155551555"/>
    <s v="7586 Pompton St."/>
    <m/>
    <s v="Allentown"/>
    <s v="PA"/>
    <n v="70267"/>
    <s v="USA"/>
    <s v="NA"/>
    <s v="Yu"/>
    <s v="Kyung"/>
    <s v="Small"/>
    <n v="813.19999999999993"/>
  </r>
  <r>
    <n v="10292"/>
    <n v="39"/>
    <n v="30.06"/>
    <n v="9"/>
    <n v="1172.3399999999999"/>
    <d v="2004-09-08T00:00:00"/>
    <s v="Shipped"/>
    <n v="3"/>
    <x v="10"/>
    <n v="2004"/>
    <x v="1"/>
    <n v="35"/>
    <s v="S24_2840"/>
    <s v="Land of Toys Inc."/>
    <n v="2125557818"/>
    <s v="897 Long Airport Avenue"/>
    <m/>
    <s v="NYC"/>
    <s v="NY"/>
    <n v="10022"/>
    <s v="USA"/>
    <s v="NA"/>
    <s v="Yu"/>
    <s v="Kwai"/>
    <s v="Small"/>
    <n v="1172.3399999999999"/>
  </r>
  <r>
    <n v="10305"/>
    <n v="48"/>
    <n v="31.47"/>
    <n v="6"/>
    <n v="1510.56"/>
    <d v="2004-10-13T00:00:00"/>
    <s v="Shipped"/>
    <n v="4"/>
    <x v="4"/>
    <n v="2004"/>
    <x v="1"/>
    <n v="35"/>
    <s v="S24_2840"/>
    <s v="Marta's Replicas Co."/>
    <n v="6175558555"/>
    <s v="39323 Spinnaker Dr."/>
    <m/>
    <s v="Cambridge"/>
    <s v="MA"/>
    <n v="51247"/>
    <s v="USA"/>
    <s v="NA"/>
    <s v="Hernandez"/>
    <s v="Marta"/>
    <s v="Small"/>
    <n v="1510.56"/>
  </r>
  <r>
    <n v="10314"/>
    <n v="39"/>
    <n v="37.130000000000003"/>
    <n v="15"/>
    <n v="1448.07"/>
    <d v="2004-10-22T00:00:00"/>
    <s v="Shipped"/>
    <n v="4"/>
    <x v="4"/>
    <n v="2004"/>
    <x v="1"/>
    <n v="35"/>
    <s v="S24_2840"/>
    <s v="Heintze Collectables"/>
    <s v="86 21 3555"/>
    <s v="Smagsloget 45"/>
    <m/>
    <s v="Aaarhus"/>
    <m/>
    <n v="8200"/>
    <s v="Denmark"/>
    <s v="EMEA"/>
    <s v="Ibsen"/>
    <s v="Palle"/>
    <s v="Small"/>
    <n v="1448.0700000000002"/>
  </r>
  <r>
    <n v="10324"/>
    <n v="30"/>
    <n v="100"/>
    <n v="9"/>
    <n v="3338.1"/>
    <d v="2004-11-05T00:00:00"/>
    <s v="Shipped"/>
    <n v="4"/>
    <x v="5"/>
    <n v="2004"/>
    <x v="1"/>
    <n v="35"/>
    <s v="S24_2840"/>
    <s v="Vitachrome Inc."/>
    <n v="2125551500"/>
    <s v="2678 Kingston Rd."/>
    <s v="Suite 101"/>
    <s v="NYC"/>
    <s v="NY"/>
    <n v="10022"/>
    <s v="USA"/>
    <s v="NA"/>
    <s v="Frick"/>
    <s v="Michael"/>
    <s v="Medium"/>
    <n v="3000"/>
  </r>
  <r>
    <n v="10335"/>
    <n v="33"/>
    <n v="37.130000000000003"/>
    <n v="2"/>
    <n v="1225.29"/>
    <d v="2004-11-19T00:00:00"/>
    <s v="Shipped"/>
    <n v="4"/>
    <x v="5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  <n v="1225.2900000000002"/>
  </r>
  <r>
    <n v="10349"/>
    <n v="36"/>
    <n v="37.130000000000003"/>
    <n v="3"/>
    <n v="1336.68"/>
    <d v="2004-12-01T00:00:00"/>
    <s v="Shipped"/>
    <n v="4"/>
    <x v="6"/>
    <n v="2004"/>
    <x v="1"/>
    <n v="35"/>
    <s v="S24_2840"/>
    <s v="Muscle Machine Inc"/>
    <n v="2125557413"/>
    <s v="4092 Furth Circle"/>
    <s v="Suite 400"/>
    <s v="NYC"/>
    <s v="NY"/>
    <n v="10022"/>
    <s v="USA"/>
    <s v="NA"/>
    <s v="Young"/>
    <s v="Jeff"/>
    <s v="Small"/>
    <n v="1336.68"/>
  </r>
  <r>
    <n v="10358"/>
    <n v="36"/>
    <n v="82.94"/>
    <n v="4"/>
    <n v="2985.84"/>
    <d v="2004-12-10T00:00:00"/>
    <s v="Shipped"/>
    <n v="4"/>
    <x v="6"/>
    <n v="2004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  <n v="2985.84"/>
  </r>
  <r>
    <n v="10371"/>
    <n v="45"/>
    <n v="100"/>
    <n v="8"/>
    <n v="5545.8"/>
    <d v="2005-01-23T00:00:00"/>
    <s v="Shipped"/>
    <n v="1"/>
    <x v="7"/>
    <n v="2005"/>
    <x v="1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Medium"/>
    <n v="4500"/>
  </r>
  <r>
    <n v="10383"/>
    <n v="40"/>
    <n v="100"/>
    <n v="3"/>
    <n v="6089.6"/>
    <d v="2005-02-22T00:00:00"/>
    <s v="Shipped"/>
    <n v="1"/>
    <x v="0"/>
    <n v="2005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Medium"/>
    <n v="4000"/>
  </r>
  <r>
    <n v="10394"/>
    <n v="46"/>
    <n v="38.9"/>
    <n v="6"/>
    <n v="1789.4"/>
    <d v="2005-03-15T00:00:00"/>
    <s v="Shipped"/>
    <n v="1"/>
    <x v="11"/>
    <n v="2005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  <n v="1789.3999999999999"/>
  </r>
  <r>
    <n v="10412"/>
    <n v="30"/>
    <n v="36.07"/>
    <n v="6"/>
    <n v="1082.0999999999999"/>
    <d v="2005-05-03T00:00:00"/>
    <s v="Shipped"/>
    <n v="2"/>
    <x v="1"/>
    <n v="2005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  <n v="1082.0999999999999"/>
  </r>
  <r>
    <n v="10425"/>
    <n v="31"/>
    <n v="33.24"/>
    <n v="5"/>
    <n v="1030.44"/>
    <d v="2005-05-31T00:00:00"/>
    <s v="In Process"/>
    <n v="2"/>
    <x v="1"/>
    <n v="2005"/>
    <x v="1"/>
    <n v="35"/>
    <s v="S24_2840"/>
    <s v="La Rochelle Gifts"/>
    <s v="40.67.8555"/>
    <s v="67, rue des Cinquante Otages"/>
    <m/>
    <s v="Nantes"/>
    <m/>
    <n v="44000"/>
    <s v="France"/>
    <s v="EMEA"/>
    <s v="Labrune"/>
    <s v="Janine"/>
    <s v="Small"/>
    <n v="1030.44"/>
  </r>
  <r>
    <n v="10106"/>
    <n v="49"/>
    <n v="74.680000000000007"/>
    <n v="13"/>
    <n v="3659.32"/>
    <d v="2003-02-17T00:00:00"/>
    <s v="Shipped"/>
    <n v="1"/>
    <x v="0"/>
    <n v="2003"/>
    <x v="4"/>
    <n v="68"/>
    <s v="S24_2841"/>
    <s v="Rovelli Gifts"/>
    <s v="035-640555"/>
    <s v="Via Ludovico il Moro 22"/>
    <m/>
    <s v="Bergamo"/>
    <m/>
    <n v="24100"/>
    <s v="Italy"/>
    <s v="EMEA"/>
    <s v="Rovelli"/>
    <s v="Giovanni"/>
    <s v="Medium"/>
    <n v="3659.32"/>
  </r>
  <r>
    <n v="10119"/>
    <n v="41"/>
    <n v="59.6"/>
    <n v="4"/>
    <n v="2443.6"/>
    <d v="2003-04-28T00:00:00"/>
    <s v="Shipped"/>
    <n v="2"/>
    <x v="8"/>
    <n v="2003"/>
    <x v="4"/>
    <n v="68"/>
    <s v="S24_2841"/>
    <s v="Salzburg Collectables"/>
    <s v="6562-9555"/>
    <s v="Geislweg 14"/>
    <m/>
    <s v="Salzburg"/>
    <m/>
    <n v="5020"/>
    <s v="Austria"/>
    <s v="EMEA"/>
    <s v="Pipps"/>
    <s v="Georg"/>
    <s v="Small"/>
    <n v="2443.6"/>
  </r>
  <r>
    <n v="10131"/>
    <n v="35"/>
    <n v="67.14"/>
    <n v="5"/>
    <n v="2349.9"/>
    <d v="2003-06-16T00:00:00"/>
    <s v="Shipped"/>
    <n v="2"/>
    <x v="9"/>
    <n v="2003"/>
    <x v="4"/>
    <n v="68"/>
    <s v="S24_2841"/>
    <s v="Gift Ideas Corp."/>
    <n v="2035554407"/>
    <s v="2440 Pompton St."/>
    <m/>
    <s v="Glendale"/>
    <s v="CT"/>
    <n v="97561"/>
    <s v="USA"/>
    <s v="NA"/>
    <s v="Lewis"/>
    <s v="Dan"/>
    <s v="Small"/>
    <n v="2349.9"/>
  </r>
  <r>
    <n v="10143"/>
    <n v="27"/>
    <n v="60.97"/>
    <n v="8"/>
    <n v="1646.19"/>
    <d v="2003-08-10T00:00:00"/>
    <s v="Shipped"/>
    <n v="3"/>
    <x v="3"/>
    <n v="2003"/>
    <x v="4"/>
    <n v="68"/>
    <s v="S24_2841"/>
    <s v="Mini Creations Ltd."/>
    <n v="5085559555"/>
    <s v="4575 Hillside Dr."/>
    <m/>
    <s v="New Bedford"/>
    <s v="MA"/>
    <n v="50553"/>
    <s v="USA"/>
    <s v="NA"/>
    <s v="Tam"/>
    <s v="Wing C"/>
    <s v="Small"/>
    <n v="1646.19"/>
  </r>
  <r>
    <n v="10155"/>
    <n v="23"/>
    <n v="72.62"/>
    <n v="6"/>
    <n v="1670.26"/>
    <d v="2003-10-06T00:00:00"/>
    <s v="Shipped"/>
    <n v="4"/>
    <x v="4"/>
    <n v="2003"/>
    <x v="4"/>
    <n v="68"/>
    <s v="S24_2841"/>
    <s v="Toys of Finland, Co."/>
    <s v="90-224 8555"/>
    <s v="Keskuskatu 45"/>
    <m/>
    <s v="Helsinki"/>
    <m/>
    <n v="21240"/>
    <s v="Finland"/>
    <s v="EMEA"/>
    <s v="Karttunen"/>
    <s v="Matti"/>
    <s v="Small"/>
    <n v="1670.2600000000002"/>
  </r>
  <r>
    <n v="10167"/>
    <n v="21"/>
    <n v="69.88"/>
    <n v="2"/>
    <n v="1467.48"/>
    <d v="2003-10-23T00:00:00"/>
    <s v="Cancelled"/>
    <n v="4"/>
    <x v="4"/>
    <n v="2003"/>
    <x v="4"/>
    <n v="68"/>
    <s v="S24_2841"/>
    <s v="Scandinavian Gift Ideas"/>
    <s v="0695-34 6555"/>
    <s v="?kergatan 24"/>
    <m/>
    <s v="Boras"/>
    <m/>
    <s v="S-844 67"/>
    <s v="Sweden"/>
    <s v="EMEA"/>
    <s v="Larsson"/>
    <s v="Maria"/>
    <s v="Small"/>
    <n v="1467.48"/>
  </r>
  <r>
    <n v="10178"/>
    <n v="34"/>
    <n v="80.84"/>
    <n v="5"/>
    <n v="2748.56"/>
    <d v="2003-11-08T00:00:00"/>
    <s v="Shipped"/>
    <n v="4"/>
    <x v="5"/>
    <n v="2003"/>
    <x v="4"/>
    <n v="68"/>
    <s v="S24_2841"/>
    <s v="Alpha Cognac"/>
    <s v="61.77.6555"/>
    <s v="1 rue Alsace-Lorraine"/>
    <m/>
    <s v="Toulouse"/>
    <m/>
    <n v="31000"/>
    <s v="France"/>
    <s v="EMEA"/>
    <s v="Roulet"/>
    <s v="Annette"/>
    <s v="Small"/>
    <n v="2748.56"/>
  </r>
  <r>
    <n v="10186"/>
    <n v="22"/>
    <n v="69.2"/>
    <n v="2"/>
    <n v="1522.4"/>
    <d v="2003-11-14T00:00:00"/>
    <s v="Shipped"/>
    <n v="4"/>
    <x v="5"/>
    <n v="2003"/>
    <x v="4"/>
    <n v="68"/>
    <s v="S24_2841"/>
    <s v="Double Decker Gift Stores, Ltd"/>
    <s v="(171) 555-7555"/>
    <s v="120 Hanover Sq."/>
    <m/>
    <s v="London"/>
    <m/>
    <s v="WA1 1DP"/>
    <s v="UK"/>
    <s v="EMEA"/>
    <s v="Hardy"/>
    <s v="Thomas"/>
    <s v="Small"/>
    <n v="1522.4"/>
  </r>
  <r>
    <n v="10198"/>
    <n v="48"/>
    <n v="67.819999999999993"/>
    <n v="5"/>
    <n v="3255.36"/>
    <d v="2003-11-27T00:00:00"/>
    <s v="Shipped"/>
    <n v="4"/>
    <x v="5"/>
    <n v="2003"/>
    <x v="4"/>
    <n v="68"/>
    <s v="S24_284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3255.3599999999997"/>
  </r>
  <r>
    <n v="10209"/>
    <n v="43"/>
    <n v="82.21"/>
    <n v="1"/>
    <n v="3535.03"/>
    <d v="2004-01-09T00:00:00"/>
    <s v="Shipped"/>
    <n v="1"/>
    <x v="7"/>
    <n v="2004"/>
    <x v="4"/>
    <n v="68"/>
    <s v="S24_2841"/>
    <s v="Men 'R' US Retailers, Ltd."/>
    <n v="2155554369"/>
    <s v="6047 Douglas Av."/>
    <m/>
    <s v="Los Angeles"/>
    <s v="CA"/>
    <m/>
    <s v="USA"/>
    <s v="NA"/>
    <s v="Chandler"/>
    <s v="Michael"/>
    <s v="Medium"/>
    <n v="3535.0299999999997"/>
  </r>
  <r>
    <n v="10222"/>
    <n v="32"/>
    <n v="81.53"/>
    <n v="5"/>
    <n v="2608.96"/>
    <d v="2004-02-19T00:00:00"/>
    <s v="Shipped"/>
    <n v="1"/>
    <x v="0"/>
    <n v="2004"/>
    <x v="4"/>
    <n v="68"/>
    <s v="S24_2841"/>
    <s v="Collectable Mini Designs Co."/>
    <n v="7605558146"/>
    <s v="361 Furth Circle"/>
    <m/>
    <s v="San Diego"/>
    <s v="CA"/>
    <n v="91217"/>
    <s v="USA"/>
    <s v="NA"/>
    <s v="Thompson"/>
    <s v="Valarie"/>
    <s v="Small"/>
    <n v="2608.96"/>
  </r>
  <r>
    <n v="10249"/>
    <n v="20"/>
    <n v="67.819999999999993"/>
    <n v="1"/>
    <n v="1356.4"/>
    <d v="2004-05-08T00:00:00"/>
    <s v="Shipped"/>
    <n v="2"/>
    <x v="1"/>
    <n v="2004"/>
    <x v="4"/>
    <n v="68"/>
    <s v="S24_2841"/>
    <s v="Cambridge Collectables Co."/>
    <n v="6175555555"/>
    <s v="4658 Baden Av."/>
    <m/>
    <s v="Cambridge"/>
    <s v="MA"/>
    <n v="51247"/>
    <s v="USA"/>
    <s v="NA"/>
    <s v="Tseng"/>
    <s v="Kyung"/>
    <s v="Small"/>
    <n v="1356.3999999999999"/>
  </r>
  <r>
    <n v="10262"/>
    <n v="24"/>
    <n v="67.14"/>
    <n v="10"/>
    <n v="1611.36"/>
    <d v="2004-06-24T00:00:00"/>
    <s v="Cancelled"/>
    <n v="2"/>
    <x v="9"/>
    <n v="2004"/>
    <x v="4"/>
    <n v="68"/>
    <s v="S24_2841"/>
    <s v="Euro Shopping Channel"/>
    <s v="(91) 555 94 44"/>
    <s v="C/ Moralzarzal, 86"/>
    <m/>
    <s v="Madrid"/>
    <m/>
    <n v="28034"/>
    <s v="Spain"/>
    <s v="EMEA"/>
    <s v="Freyre"/>
    <s v="Diego"/>
    <s v="Small"/>
    <n v="1611.3600000000001"/>
  </r>
  <r>
    <n v="10274"/>
    <n v="40"/>
    <n v="65.08"/>
    <n v="2"/>
    <n v="2603.1999999999998"/>
    <d v="2004-07-21T00:00:00"/>
    <s v="Shipped"/>
    <n v="3"/>
    <x v="2"/>
    <n v="2004"/>
    <x v="4"/>
    <n v="68"/>
    <s v="S24_2841"/>
    <s v="Collectables For Less Inc."/>
    <n v="6175558555"/>
    <s v="7825 Douglas Av."/>
    <m/>
    <s v="Brickhaven"/>
    <s v="MA"/>
    <n v="58339"/>
    <s v="USA"/>
    <s v="NA"/>
    <s v="Nelson"/>
    <s v="Allen"/>
    <s v="Small"/>
    <n v="2603.1999999999998"/>
  </r>
  <r>
    <n v="10284"/>
    <n v="30"/>
    <n v="73.989999999999995"/>
    <n v="12"/>
    <n v="2219.6999999999998"/>
    <d v="2004-08-21T00:00:00"/>
    <s v="Shipped"/>
    <n v="3"/>
    <x v="3"/>
    <n v="2004"/>
    <x v="4"/>
    <n v="68"/>
    <s v="S24_2841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2219.6999999999998"/>
  </r>
  <r>
    <n v="10296"/>
    <n v="21"/>
    <n v="71.25"/>
    <n v="8"/>
    <n v="1496.25"/>
    <d v="2004-09-15T00:00:00"/>
    <s v="Shipped"/>
    <n v="3"/>
    <x v="10"/>
    <n v="2004"/>
    <x v="4"/>
    <n v="68"/>
    <s v="S24_2841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1496.25"/>
  </r>
  <r>
    <n v="10307"/>
    <n v="25"/>
    <n v="75.36"/>
    <n v="2"/>
    <n v="1884"/>
    <d v="2004-10-14T00:00:00"/>
    <s v="Shipped"/>
    <n v="4"/>
    <x v="4"/>
    <n v="2004"/>
    <x v="4"/>
    <n v="68"/>
    <s v="S24_2841"/>
    <s v="Classic Gift Ideas, Inc"/>
    <n v="2155554695"/>
    <s v="782 First Street"/>
    <m/>
    <s v="Philadelphia"/>
    <s v="PA"/>
    <n v="71270"/>
    <s v="USA"/>
    <s v="NA"/>
    <s v="Cervantes"/>
    <s v="Francisca"/>
    <s v="Small"/>
    <n v="1884"/>
  </r>
  <r>
    <n v="10316"/>
    <n v="34"/>
    <n v="63.71"/>
    <n v="10"/>
    <n v="2166.14"/>
    <d v="2004-11-01T00:00:00"/>
    <s v="Shipped"/>
    <n v="4"/>
    <x v="5"/>
    <n v="2004"/>
    <x v="4"/>
    <n v="68"/>
    <s v="S24_2841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166.14"/>
  </r>
  <r>
    <n v="10328"/>
    <n v="48"/>
    <n v="58.92"/>
    <n v="1"/>
    <n v="2828.16"/>
    <d v="2004-11-12T00:00:00"/>
    <s v="Shipped"/>
    <n v="4"/>
    <x v="5"/>
    <n v="2004"/>
    <x v="4"/>
    <n v="68"/>
    <s v="S24_2841"/>
    <s v="Rovelli Gifts"/>
    <s v="035-640555"/>
    <s v="Via Ludovico il Moro 22"/>
    <m/>
    <s v="Bergamo"/>
    <m/>
    <n v="24100"/>
    <s v="Italy"/>
    <s v="EMEA"/>
    <s v="Rovelli"/>
    <s v="Giovanni"/>
    <s v="Small"/>
    <n v="2828.16"/>
  </r>
  <r>
    <n v="10339"/>
    <n v="55"/>
    <n v="100"/>
    <n v="12"/>
    <n v="6214.45"/>
    <d v="2004-11-23T00:00:00"/>
    <s v="Shipped"/>
    <n v="4"/>
    <x v="5"/>
    <n v="2004"/>
    <x v="4"/>
    <n v="68"/>
    <s v="S24_2841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5500"/>
  </r>
  <r>
    <n v="10351"/>
    <n v="25"/>
    <n v="74.680000000000007"/>
    <n v="5"/>
    <n v="1867"/>
    <d v="2004-12-03T00:00:00"/>
    <s v="Shipped"/>
    <n v="4"/>
    <x v="6"/>
    <n v="2004"/>
    <x v="4"/>
    <n v="68"/>
    <s v="S24_2841"/>
    <s v="Stylish Desk Decors, Co."/>
    <s v="(171) 555-0297"/>
    <s v="35 King George"/>
    <m/>
    <s v="London"/>
    <m/>
    <s v="WX3 6FW"/>
    <s v="UK"/>
    <s v="EMEA"/>
    <s v="Brown"/>
    <s v="Ann"/>
    <s v="Small"/>
    <n v="1867.0000000000002"/>
  </r>
  <r>
    <n v="10373"/>
    <n v="38"/>
    <n v="70.44"/>
    <n v="7"/>
    <n v="2676.72"/>
    <d v="2005-01-31T00:00:00"/>
    <s v="Shipped"/>
    <n v="1"/>
    <x v="7"/>
    <n v="2005"/>
    <x v="4"/>
    <n v="68"/>
    <s v="S24_2841"/>
    <s v="Oulu Toy Supplies, Inc."/>
    <s v="981-443655"/>
    <s v="Torikatu 38"/>
    <m/>
    <s v="Oulu"/>
    <m/>
    <n v="90110"/>
    <s v="Finland"/>
    <s v="EMEA"/>
    <s v="Koskitalo"/>
    <s v="Pirkko"/>
    <s v="Small"/>
    <n v="2676.72"/>
  </r>
  <r>
    <n v="10386"/>
    <n v="39"/>
    <n v="55.96"/>
    <n v="1"/>
    <n v="2182.44"/>
    <d v="2005-03-01T00:00:00"/>
    <s v="Resolved"/>
    <n v="1"/>
    <x v="11"/>
    <n v="2005"/>
    <x v="4"/>
    <n v="68"/>
    <s v="S24_2841"/>
    <s v="Euro Shopping Channel"/>
    <s v="(91) 555 94 44"/>
    <s v="C/ Moralzarzal, 86"/>
    <m/>
    <s v="Madrid"/>
    <m/>
    <n v="28034"/>
    <s v="Spain"/>
    <s v="EMEA"/>
    <s v="Freyre"/>
    <s v="Diego"/>
    <s v="Small"/>
    <n v="2182.44"/>
  </r>
  <r>
    <n v="10398"/>
    <n v="28"/>
    <n v="57.55"/>
    <n v="3"/>
    <n v="1611.4"/>
    <d v="2005-03-30T00:00:00"/>
    <s v="Shipped"/>
    <n v="1"/>
    <x v="11"/>
    <n v="2005"/>
    <x v="4"/>
    <n v="68"/>
    <s v="S24_2841"/>
    <s v="Reims Collectables"/>
    <s v="26.47.1555"/>
    <s v="59 rue de l'Abbaye"/>
    <m/>
    <s v="Reims"/>
    <m/>
    <n v="51100"/>
    <s v="France"/>
    <s v="EMEA"/>
    <s v="Henriot"/>
    <s v="Paul"/>
    <s v="Small"/>
    <n v="1611.3999999999999"/>
  </r>
  <r>
    <n v="10400"/>
    <n v="24"/>
    <n v="61.66"/>
    <n v="2"/>
    <n v="1479.84"/>
    <d v="2005-04-01T00:00:00"/>
    <s v="Shipped"/>
    <n v="2"/>
    <x v="8"/>
    <n v="2005"/>
    <x v="4"/>
    <n v="68"/>
    <s v="S24_2841"/>
    <s v="The Sharp Gifts Warehouse"/>
    <n v="4085553659"/>
    <s v="3086 Ingle Ln."/>
    <m/>
    <s v="San Jose"/>
    <s v="CA"/>
    <n v="94217"/>
    <s v="USA"/>
    <s v="NA"/>
    <s v="Frick"/>
    <s v="Sue"/>
    <s v="Small"/>
    <n v="1479.84"/>
  </r>
  <r>
    <n v="10415"/>
    <n v="21"/>
    <n v="67.819999999999993"/>
    <n v="1"/>
    <n v="1424.22"/>
    <d v="2005-05-09T00:00:00"/>
    <s v="Disputed"/>
    <n v="2"/>
    <x v="1"/>
    <n v="2005"/>
    <x v="4"/>
    <n v="68"/>
    <s v="S24_2841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1424.2199999999998"/>
  </r>
  <r>
    <n v="10110"/>
    <n v="46"/>
    <n v="100"/>
    <n v="10"/>
    <n v="5942.28"/>
    <d v="2003-03-18T00:00:00"/>
    <s v="Shipped"/>
    <n v="1"/>
    <x v="11"/>
    <n v="2003"/>
    <x v="1"/>
    <n v="117"/>
    <s v="S24_2887"/>
    <s v="AV Stores, Co."/>
    <s v="(171) 555-1555"/>
    <s v="Fauntleroy Circus"/>
    <m/>
    <s v="Manchester"/>
    <m/>
    <s v="EC2 5NT"/>
    <s v="UK"/>
    <s v="EMEA"/>
    <s v="Ashworth"/>
    <s v="Victoria"/>
    <s v="Medium"/>
    <n v="4600"/>
  </r>
  <r>
    <n v="10124"/>
    <n v="25"/>
    <n v="93.95"/>
    <n v="9"/>
    <n v="2348.75"/>
    <d v="2003-05-21T00:00:00"/>
    <s v="Shipped"/>
    <n v="2"/>
    <x v="1"/>
    <n v="2003"/>
    <x v="1"/>
    <n v="117"/>
    <s v="S24_2887"/>
    <s v="Signal Gift Stores"/>
    <n v="7025551838"/>
    <s v="8489 Strong St."/>
    <m/>
    <s v="Las Vegas"/>
    <s v="NV"/>
    <n v="83030"/>
    <s v="USA"/>
    <s v="NA"/>
    <s v="King"/>
    <s v="Sue"/>
    <s v="Small"/>
    <n v="2348.75"/>
  </r>
  <r>
    <n v="10148"/>
    <n v="34"/>
    <n v="100"/>
    <n v="3"/>
    <n v="4392.12"/>
    <d v="2003-09-11T00:00:00"/>
    <s v="Shipped"/>
    <n v="3"/>
    <x v="10"/>
    <n v="2003"/>
    <x v="1"/>
    <n v="117"/>
    <s v="S24_288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400"/>
  </r>
  <r>
    <n v="10161"/>
    <n v="25"/>
    <n v="100"/>
    <n v="2"/>
    <n v="2759.75"/>
    <d v="2003-10-17T00:00:00"/>
    <s v="Shipped"/>
    <n v="4"/>
    <x v="4"/>
    <n v="2003"/>
    <x v="1"/>
    <n v="117"/>
    <s v="S24_2887"/>
    <s v="Heintze Collectables"/>
    <s v="86 21 3555"/>
    <s v="Smagsloget 45"/>
    <m/>
    <s v="Aaarhus"/>
    <m/>
    <n v="8200"/>
    <s v="Denmark"/>
    <s v="EMEA"/>
    <s v="Ibsen"/>
    <s v="Palle"/>
    <s v="Small"/>
    <n v="2500"/>
  </r>
  <r>
    <n v="10173"/>
    <n v="23"/>
    <n v="100"/>
    <n v="16"/>
    <n v="2728.03"/>
    <d v="2003-11-05T00:00:00"/>
    <s v="Shipped"/>
    <n v="4"/>
    <x v="5"/>
    <n v="2003"/>
    <x v="1"/>
    <n v="117"/>
    <s v="S24_2887"/>
    <s v="Rovelli Gifts"/>
    <s v="035-640555"/>
    <s v="Via Ludovico il Moro 22"/>
    <m/>
    <s v="Bergamo"/>
    <m/>
    <n v="24100"/>
    <s v="Italy"/>
    <s v="EMEA"/>
    <s v="Rovelli"/>
    <s v="Giovanni"/>
    <s v="Small"/>
    <n v="2300"/>
  </r>
  <r>
    <n v="10182"/>
    <n v="20"/>
    <n v="100"/>
    <n v="13"/>
    <n v="2395.8000000000002"/>
    <d v="2003-11-12T00:00:00"/>
    <s v="Shipped"/>
    <n v="4"/>
    <x v="5"/>
    <n v="2003"/>
    <x v="1"/>
    <n v="117"/>
    <s v="S24_2887"/>
    <s v="Mini Gifts Distributors Ltd."/>
    <n v="4155551450"/>
    <s v="5677 Strong St."/>
    <m/>
    <s v="San Rafael"/>
    <s v="CA"/>
    <n v="97562"/>
    <s v="USA"/>
    <s v="NA"/>
    <s v="Nelson"/>
    <s v="Valarie"/>
    <s v="Small"/>
    <n v="2000"/>
  </r>
  <r>
    <n v="10192"/>
    <n v="23"/>
    <n v="100"/>
    <n v="1"/>
    <n v="3052.33"/>
    <d v="2003-11-20T00:00:00"/>
    <s v="Shipped"/>
    <n v="4"/>
    <x v="5"/>
    <n v="2003"/>
    <x v="1"/>
    <n v="117"/>
    <s v="S24_2887"/>
    <s v="Online Diecast Creations Co."/>
    <n v="6035558647"/>
    <s v="2304 Long Airport Avenue"/>
    <m/>
    <s v="Nashua"/>
    <s v="NH"/>
    <n v="62005"/>
    <s v="USA"/>
    <s v="NA"/>
    <s v="Young"/>
    <s v="Valarie"/>
    <s v="Medium"/>
    <n v="2300"/>
  </r>
  <r>
    <n v="10204"/>
    <n v="42"/>
    <n v="100"/>
    <n v="7"/>
    <n v="4242"/>
    <d v="2003-12-02T00:00:00"/>
    <s v="Shipped"/>
    <n v="4"/>
    <x v="6"/>
    <n v="2003"/>
    <x v="1"/>
    <n v="117"/>
    <s v="S24_2887"/>
    <s v="Muscle Machine Inc"/>
    <n v="2125557413"/>
    <s v="4092 Furth Circle"/>
    <s v="Suite 400"/>
    <s v="NYC"/>
    <s v="NY"/>
    <n v="10022"/>
    <s v="USA"/>
    <s v="NA"/>
    <s v="Young"/>
    <s v="Jeff"/>
    <s v="Medium"/>
    <n v="4200"/>
  </r>
  <r>
    <n v="10213"/>
    <n v="27"/>
    <n v="100"/>
    <n v="3"/>
    <n v="2790.45"/>
    <d v="2004-01-22T00:00:00"/>
    <s v="Shipped"/>
    <n v="1"/>
    <x v="7"/>
    <n v="2004"/>
    <x v="1"/>
    <n v="117"/>
    <s v="S24_2887"/>
    <s v="Double Decker Gift Stores, Ltd"/>
    <s v="(171) 555-7555"/>
    <s v="120 Hanover Sq."/>
    <m/>
    <s v="London"/>
    <m/>
    <s v="WA1 1DP"/>
    <s v="UK"/>
    <s v="EMEA"/>
    <s v="Hardy"/>
    <s v="Thomas"/>
    <s v="Small"/>
    <n v="2700"/>
  </r>
  <r>
    <n v="10227"/>
    <n v="33"/>
    <n v="100"/>
    <n v="13"/>
    <n v="4340.49"/>
    <d v="2004-03-02T00:00:00"/>
    <s v="Shipped"/>
    <n v="1"/>
    <x v="11"/>
    <n v="2004"/>
    <x v="1"/>
    <n v="117"/>
    <s v="S24_2887"/>
    <s v="Saveley &amp; Henriot, Co."/>
    <s v="78.32.5555"/>
    <s v="2, rue du Commerce"/>
    <m/>
    <s v="Lyon"/>
    <m/>
    <n v="69004"/>
    <s v="France"/>
    <s v="EMEA"/>
    <s v="Saveley"/>
    <s v="Mary"/>
    <s v="Medium"/>
    <n v="3300"/>
  </r>
  <r>
    <n v="10241"/>
    <n v="28"/>
    <n v="98.65"/>
    <n v="5"/>
    <n v="2762.2"/>
    <d v="2004-04-13T00:00:00"/>
    <s v="Shipped"/>
    <n v="2"/>
    <x v="8"/>
    <n v="2004"/>
    <x v="1"/>
    <n v="117"/>
    <s v="S24_2887"/>
    <s v="Mini Caravy"/>
    <s v="88.60.1555"/>
    <s v="24, place Kluber"/>
    <m/>
    <s v="Strasbourg"/>
    <m/>
    <n v="67000"/>
    <s v="France"/>
    <s v="EMEA"/>
    <s v="Citeaux"/>
    <s v="Frederique"/>
    <s v="Small"/>
    <n v="2762.2000000000003"/>
  </r>
  <r>
    <n v="10267"/>
    <n v="43"/>
    <n v="100"/>
    <n v="2"/>
    <n v="4645.72"/>
    <d v="2004-07-07T00:00:00"/>
    <s v="Shipped"/>
    <n v="3"/>
    <x v="2"/>
    <n v="2004"/>
    <x v="1"/>
    <n v="117"/>
    <s v="S24_2887"/>
    <s v="Muscle Machine Inc"/>
    <n v="2125557413"/>
    <s v="4092 Furth Circle"/>
    <s v="Suite 400"/>
    <s v="NYC"/>
    <s v="NY"/>
    <n v="10022"/>
    <s v="USA"/>
    <s v="NA"/>
    <s v="Young"/>
    <s v="Jeff"/>
    <s v="Medium"/>
    <n v="4300"/>
  </r>
  <r>
    <n v="10279"/>
    <n v="48"/>
    <n v="100"/>
    <n v="2"/>
    <n v="5580.96"/>
    <d v="2004-08-09T00:00:00"/>
    <s v="Shipped"/>
    <n v="3"/>
    <x v="3"/>
    <n v="2004"/>
    <x v="1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Medium"/>
    <n v="4800"/>
  </r>
  <r>
    <n v="10288"/>
    <n v="48"/>
    <n v="100"/>
    <n v="8"/>
    <n v="6539.04"/>
    <d v="2004-09-01T00:00:00"/>
    <s v="Shipped"/>
    <n v="3"/>
    <x v="10"/>
    <n v="2004"/>
    <x v="1"/>
    <n v="117"/>
    <s v="S24_288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4800"/>
  </r>
  <r>
    <n v="10302"/>
    <n v="45"/>
    <n v="100"/>
    <n v="4"/>
    <n v="5548.95"/>
    <d v="2003-10-06T00:00:00"/>
    <s v="Shipped"/>
    <n v="4"/>
    <x v="4"/>
    <n v="2003"/>
    <x v="1"/>
    <n v="117"/>
    <s v="S24_2887"/>
    <s v="UK Collectables, Ltd."/>
    <s v="(171) 555-2282"/>
    <s v="Berkeley Gardens 12  Brewery"/>
    <m/>
    <s v="Liverpool"/>
    <m/>
    <s v="WX1 6LT"/>
    <s v="UK"/>
    <s v="EMEA"/>
    <s v="Devon"/>
    <s v="Elizabeth"/>
    <s v="Medium"/>
    <n v="4500"/>
  </r>
  <r>
    <n v="10311"/>
    <n v="43"/>
    <n v="100"/>
    <n v="3"/>
    <n v="4595.41"/>
    <d v="2004-10-16T00:00:00"/>
    <s v="Shipped"/>
    <n v="4"/>
    <x v="4"/>
    <n v="2004"/>
    <x v="1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Medium"/>
    <n v="4300"/>
  </r>
  <r>
    <n v="10332"/>
    <n v="44"/>
    <n v="42.26"/>
    <n v="11"/>
    <n v="1859.44"/>
    <d v="2004-11-17T00:00:00"/>
    <s v="Shipped"/>
    <n v="4"/>
    <x v="5"/>
    <n v="2004"/>
    <x v="1"/>
    <n v="117"/>
    <s v="S24_2887"/>
    <s v="AV Stores, Co."/>
    <s v="(171) 555-1555"/>
    <s v="Fauntleroy Circus"/>
    <m/>
    <s v="Manchester"/>
    <m/>
    <s v="EC2 5NT"/>
    <s v="UK"/>
    <s v="EMEA"/>
    <s v="Ashworth"/>
    <s v="Victoria"/>
    <s v="Small"/>
    <n v="1859.4399999999998"/>
  </r>
  <r>
    <n v="10346"/>
    <n v="24"/>
    <n v="87.24"/>
    <n v="5"/>
    <n v="2093.7600000000002"/>
    <d v="2004-11-29T00:00:00"/>
    <s v="Shipped"/>
    <n v="4"/>
    <x v="5"/>
    <n v="2004"/>
    <x v="1"/>
    <n v="117"/>
    <s v="S24_2887"/>
    <s v="Signal Gift Stores"/>
    <n v="7025551838"/>
    <s v="8489 Strong St."/>
    <m/>
    <s v="Las Vegas"/>
    <s v="NV"/>
    <n v="83030"/>
    <s v="USA"/>
    <s v="NA"/>
    <s v="King"/>
    <s v="Sue"/>
    <s v="Small"/>
    <n v="2093.7599999999998"/>
  </r>
  <r>
    <n v="10368"/>
    <n v="31"/>
    <n v="100"/>
    <n v="5"/>
    <n v="4223.13"/>
    <d v="2005-01-19T00:00:00"/>
    <s v="Shipped"/>
    <n v="1"/>
    <x v="7"/>
    <n v="2005"/>
    <x v="1"/>
    <n v="117"/>
    <s v="S24_2887"/>
    <s v="Mini Gifts Distributors Ltd."/>
    <n v="4155551450"/>
    <s v="5677 Strong St."/>
    <m/>
    <s v="San Rafael"/>
    <s v="CA"/>
    <n v="97562"/>
    <s v="USA"/>
    <s v="NA"/>
    <s v="Nelson"/>
    <s v="Valarie"/>
    <s v="Medium"/>
    <n v="3100"/>
  </r>
  <r>
    <n v="10380"/>
    <n v="44"/>
    <n v="36.29"/>
    <n v="7"/>
    <n v="1596.76"/>
    <d v="2005-02-16T00:00:00"/>
    <s v="Shipped"/>
    <n v="1"/>
    <x v="0"/>
    <n v="2005"/>
    <x v="1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Small"/>
    <n v="1596.76"/>
  </r>
  <r>
    <n v="10407"/>
    <n v="59"/>
    <n v="98.65"/>
    <n v="5"/>
    <n v="5820.35"/>
    <d v="2005-04-22T00:00:00"/>
    <s v="On Hold"/>
    <n v="2"/>
    <x v="8"/>
    <n v="2005"/>
    <x v="1"/>
    <n v="117"/>
    <s v="S24_2887"/>
    <s v="The Sharp Gifts Warehouse"/>
    <n v="4085553659"/>
    <s v="3086 Ingle Ln."/>
    <m/>
    <s v="San Jose"/>
    <s v="CA"/>
    <n v="94217"/>
    <s v="USA"/>
    <s v="NA"/>
    <s v="Frick"/>
    <s v="Sue"/>
    <s v="Medium"/>
    <n v="5820.35"/>
  </r>
  <r>
    <n v="10420"/>
    <n v="55"/>
    <n v="96.3"/>
    <n v="8"/>
    <n v="5296.5"/>
    <d v="2005-05-29T00:00:00"/>
    <s v="In Process"/>
    <n v="2"/>
    <x v="1"/>
    <n v="2005"/>
    <x v="1"/>
    <n v="117"/>
    <s v="S24_288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5296.5"/>
  </r>
  <r>
    <n v="10109"/>
    <n v="29"/>
    <n v="32.1"/>
    <n v="6"/>
    <n v="930.9"/>
    <d v="2003-03-10T00:00:00"/>
    <s v="Shipped"/>
    <n v="1"/>
    <x v="11"/>
    <n v="2003"/>
    <x v="1"/>
    <n v="37"/>
    <s v="S24_2972"/>
    <s v="Motor Mint Distributors Inc."/>
    <n v="2155559857"/>
    <s v="11328 Douglas Av."/>
    <m/>
    <s v="Philadelphia"/>
    <s v="PA"/>
    <n v="71270"/>
    <s v="USA"/>
    <s v="NA"/>
    <s v="Hernandez"/>
    <s v="Rosa"/>
    <s v="Small"/>
    <n v="930.90000000000009"/>
  </r>
  <r>
    <n v="10122"/>
    <n v="39"/>
    <n v="30.96"/>
    <n v="4"/>
    <n v="1207.44"/>
    <d v="2003-05-08T00:00:00"/>
    <s v="Shipped"/>
    <n v="2"/>
    <x v="1"/>
    <n v="2003"/>
    <x v="1"/>
    <n v="37"/>
    <s v="S24_2972"/>
    <s v="Marseille Mini Autos"/>
    <s v="91.24.4555"/>
    <s v="12, rue des Bouchers"/>
    <m/>
    <s v="Marseille"/>
    <m/>
    <n v="13008"/>
    <s v="France"/>
    <s v="EMEA"/>
    <s v="Lebihan"/>
    <s v="Laurence"/>
    <s v="Small"/>
    <n v="1207.44"/>
  </r>
  <r>
    <n v="10135"/>
    <n v="20"/>
    <n v="35.869999999999997"/>
    <n v="1"/>
    <n v="717.4"/>
    <d v="2003-07-02T00:00:00"/>
    <s v="Shipped"/>
    <n v="3"/>
    <x v="2"/>
    <n v="2003"/>
    <x v="1"/>
    <n v="37"/>
    <s v="S24_2972"/>
    <s v="Mini Gifts Distributors Ltd."/>
    <n v="4155551450"/>
    <s v="5677 Strong St."/>
    <m/>
    <s v="San Rafael"/>
    <s v="CA"/>
    <n v="97562"/>
    <s v="USA"/>
    <s v="NA"/>
    <s v="Nelson"/>
    <s v="Valarie"/>
    <s v="Small"/>
    <n v="717.4"/>
  </r>
  <r>
    <n v="10147"/>
    <n v="25"/>
    <n v="42.67"/>
    <n v="1"/>
    <n v="1066.75"/>
    <d v="2003-09-05T00:00:00"/>
    <s v="Shipped"/>
    <n v="3"/>
    <x v="10"/>
    <n v="2003"/>
    <x v="1"/>
    <n v="37"/>
    <s v="S24_2972"/>
    <s v="Collectables For Less Inc."/>
    <n v="6175558555"/>
    <s v="7825 Douglas Av."/>
    <m/>
    <s v="Brickhaven"/>
    <s v="MA"/>
    <n v="58339"/>
    <s v="USA"/>
    <s v="NA"/>
    <s v="Nelson"/>
    <s v="Allen"/>
    <s v="Small"/>
    <n v="1066.75"/>
  </r>
  <r>
    <n v="10160"/>
    <n v="42"/>
    <n v="37"/>
    <n v="2"/>
    <n v="1554"/>
    <d v="2003-10-11T00:00:00"/>
    <s v="Shipped"/>
    <n v="4"/>
    <x v="4"/>
    <n v="2003"/>
    <x v="1"/>
    <n v="37"/>
    <s v="S24_2972"/>
    <s v="Men 'R' US Retailers, Ltd."/>
    <n v="2155554369"/>
    <s v="6047 Douglas Av."/>
    <m/>
    <s v="Los Angeles"/>
    <s v="CA"/>
    <m/>
    <s v="USA"/>
    <s v="NA"/>
    <s v="Chandler"/>
    <s v="Michael"/>
    <s v="Small"/>
    <n v="1554"/>
  </r>
  <r>
    <n v="10171"/>
    <n v="36"/>
    <n v="35.49"/>
    <n v="4"/>
    <n v="1277.6400000000001"/>
    <d v="2003-11-05T00:00:00"/>
    <s v="Shipped"/>
    <n v="4"/>
    <x v="5"/>
    <n v="2003"/>
    <x v="1"/>
    <n v="37"/>
    <s v="S24_2972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1277.6400000000001"/>
  </r>
  <r>
    <n v="10181"/>
    <n v="37"/>
    <n v="42.67"/>
    <n v="8"/>
    <n v="1578.79"/>
    <d v="2003-11-12T00:00:00"/>
    <s v="Shipped"/>
    <n v="4"/>
    <x v="5"/>
    <n v="2003"/>
    <x v="1"/>
    <n v="37"/>
    <s v="S24_2972"/>
    <s v="Herkku Gifts"/>
    <s v="+47 2267 3215"/>
    <s v="Drammen 121, PR 744 Sentrum"/>
    <m/>
    <s v="Bergen"/>
    <m/>
    <s v="N 5804"/>
    <s v="Norway"/>
    <s v="EMEA"/>
    <s v="Oeztan"/>
    <s v="Veysel"/>
    <s v="Small"/>
    <n v="1578.79"/>
  </r>
  <r>
    <n v="10192"/>
    <n v="30"/>
    <n v="30.59"/>
    <n v="13"/>
    <n v="917.7"/>
    <d v="2003-11-20T00:00:00"/>
    <s v="Shipped"/>
    <n v="4"/>
    <x v="5"/>
    <n v="2003"/>
    <x v="1"/>
    <n v="37"/>
    <s v="S24_2972"/>
    <s v="Online Diecast Creations Co."/>
    <n v="6035558647"/>
    <s v="2304 Long Airport Avenue"/>
    <m/>
    <s v="Nashua"/>
    <s v="NH"/>
    <n v="62005"/>
    <s v="USA"/>
    <s v="NA"/>
    <s v="Young"/>
    <s v="Valarie"/>
    <s v="Small"/>
    <n v="917.7"/>
  </r>
  <r>
    <n v="10203"/>
    <n v="21"/>
    <n v="37"/>
    <n v="2"/>
    <n v="777"/>
    <d v="2003-12-02T00:00:00"/>
    <s v="Shipped"/>
    <n v="4"/>
    <x v="6"/>
    <n v="2003"/>
    <x v="1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  <n v="777"/>
  </r>
  <r>
    <n v="10212"/>
    <n v="34"/>
    <n v="43.42"/>
    <n v="12"/>
    <n v="1476.28"/>
    <d v="2004-01-16T00:00:00"/>
    <s v="Shipped"/>
    <n v="1"/>
    <x v="7"/>
    <n v="2004"/>
    <x v="1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  <n v="1476.28"/>
  </r>
  <r>
    <n v="10225"/>
    <n v="42"/>
    <n v="36.630000000000003"/>
    <n v="3"/>
    <n v="1538.46"/>
    <d v="2004-02-22T00:00:00"/>
    <s v="Shipped"/>
    <n v="1"/>
    <x v="0"/>
    <n v="2004"/>
    <x v="1"/>
    <n v="37"/>
    <s v="S24_2972"/>
    <s v="Vida Sport, Ltd"/>
    <s v="0897-034555"/>
    <s v="Grenzacherweg 237"/>
    <m/>
    <s v="Gensve"/>
    <m/>
    <n v="1203"/>
    <s v="Switzerland"/>
    <s v="EMEA"/>
    <s v="Holz"/>
    <s v="Michael"/>
    <s v="Small"/>
    <n v="1538.46"/>
  </r>
  <r>
    <n v="10239"/>
    <n v="20"/>
    <n v="44.56"/>
    <n v="2"/>
    <n v="891.2"/>
    <d v="2004-04-12T00:00:00"/>
    <s v="Shipped"/>
    <n v="2"/>
    <x v="8"/>
    <n v="2004"/>
    <x v="1"/>
    <n v="37"/>
    <s v="S24_2972"/>
    <s v="Oulu Toy Supplies, Inc."/>
    <s v="981-443655"/>
    <s v="Torikatu 38"/>
    <m/>
    <s v="Oulu"/>
    <m/>
    <n v="90110"/>
    <s v="Finland"/>
    <s v="EMEA"/>
    <s v="Koskitalo"/>
    <s v="Pirkko"/>
    <s v="Small"/>
    <n v="891.2"/>
  </r>
  <r>
    <n v="10253"/>
    <n v="40"/>
    <n v="42.67"/>
    <n v="7"/>
    <n v="1706.8"/>
    <d v="2004-06-01T00:00:00"/>
    <s v="Cancelled"/>
    <n v="2"/>
    <x v="9"/>
    <n v="2004"/>
    <x v="1"/>
    <n v="37"/>
    <s v="S24_2972"/>
    <s v="UK Collectables, Ltd."/>
    <s v="(171) 555-2282"/>
    <s v="Berkeley Gardens 12  Brewery"/>
    <m/>
    <s v="Liverpool"/>
    <m/>
    <s v="WX1 6LT"/>
    <s v="UK"/>
    <s v="EMEA"/>
    <s v="Devon"/>
    <s v="Elizabeth"/>
    <s v="Small"/>
    <n v="1706.8000000000002"/>
  </r>
  <r>
    <n v="10266"/>
    <n v="34"/>
    <n v="40.4"/>
    <n v="8"/>
    <n v="1373.6"/>
    <d v="2004-07-06T00:00:00"/>
    <s v="Shipped"/>
    <n v="3"/>
    <x v="2"/>
    <n v="2004"/>
    <x v="1"/>
    <n v="37"/>
    <s v="S24_2972"/>
    <s v="L'ordine Souveniers"/>
    <s v="0522-556555"/>
    <s v="Strada Provinciale 124"/>
    <m/>
    <s v="Reggio Emilia"/>
    <m/>
    <n v="42100"/>
    <s v="Italy"/>
    <s v="EMEA"/>
    <s v="Moroni"/>
    <s v="Maurizio"/>
    <s v="Small"/>
    <n v="1373.6"/>
  </r>
  <r>
    <n v="10278"/>
    <n v="31"/>
    <n v="38.89"/>
    <n v="8"/>
    <n v="1205.5899999999999"/>
    <d v="2004-08-06T00:00:00"/>
    <s v="Shipped"/>
    <n v="3"/>
    <x v="3"/>
    <n v="2004"/>
    <x v="1"/>
    <n v="37"/>
    <s v="S24_2972"/>
    <s v="Signal Gift Stores"/>
    <n v="7025551838"/>
    <s v="8489 Strong St."/>
    <m/>
    <s v="Las Vegas"/>
    <s v="NV"/>
    <n v="83030"/>
    <s v="USA"/>
    <s v="NA"/>
    <s v="King"/>
    <s v="Sue"/>
    <s v="Small"/>
    <n v="1205.5899999999999"/>
  </r>
  <r>
    <n v="10287"/>
    <n v="36"/>
    <n v="39.65"/>
    <n v="6"/>
    <n v="1427.4"/>
    <d v="2004-08-30T00:00:00"/>
    <s v="Shipped"/>
    <n v="3"/>
    <x v="3"/>
    <n v="2004"/>
    <x v="1"/>
    <n v="37"/>
    <s v="S24_2972"/>
    <s v="Vida Sport, Ltd"/>
    <s v="0897-034555"/>
    <s v="Grenzacherweg 237"/>
    <m/>
    <s v="Gensve"/>
    <m/>
    <n v="1203"/>
    <s v="Switzerland"/>
    <s v="EMEA"/>
    <s v="Holz"/>
    <s v="Michael"/>
    <s v="Small"/>
    <n v="1427.3999999999999"/>
  </r>
  <r>
    <n v="10301"/>
    <n v="48"/>
    <n v="34.36"/>
    <n v="10"/>
    <n v="1649.28"/>
    <d v="2003-10-05T00:00:00"/>
    <s v="Shipped"/>
    <n v="4"/>
    <x v="4"/>
    <n v="2003"/>
    <x v="1"/>
    <n v="37"/>
    <s v="S24_2972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1649.28"/>
  </r>
  <r>
    <n v="10310"/>
    <n v="33"/>
    <n v="41.91"/>
    <n v="4"/>
    <n v="1383.03"/>
    <d v="2004-10-16T00:00:00"/>
    <s v="Shipped"/>
    <n v="4"/>
    <x v="4"/>
    <n v="2004"/>
    <x v="1"/>
    <n v="37"/>
    <s v="S24_2972"/>
    <s v="Toms Spezialitten, Ltd"/>
    <s v="0221-5554327"/>
    <s v="Mehrheimerstr. 369"/>
    <m/>
    <s v="Koln"/>
    <m/>
    <n v="50739"/>
    <s v="Germany"/>
    <s v="EMEA"/>
    <s v="Pfalzheim"/>
    <s v="Henriette"/>
    <s v="Small"/>
    <n v="1383.03"/>
  </r>
  <r>
    <n v="10321"/>
    <n v="37"/>
    <n v="33.229999999999997"/>
    <n v="12"/>
    <n v="1229.51"/>
    <d v="2004-11-04T00:00:00"/>
    <s v="Shipped"/>
    <n v="4"/>
    <x v="5"/>
    <n v="2004"/>
    <x v="1"/>
    <n v="37"/>
    <s v="S24_2972"/>
    <s v="FunGiftIdeas.com"/>
    <n v="5085552555"/>
    <s v="1785 First Street"/>
    <m/>
    <s v="New Bedford"/>
    <s v="MA"/>
    <n v="50553"/>
    <s v="USA"/>
    <s v="NA"/>
    <s v="Benitez"/>
    <s v="Violeta"/>
    <s v="Small"/>
    <n v="1229.51"/>
  </r>
  <r>
    <n v="10331"/>
    <n v="27"/>
    <n v="42.24"/>
    <n v="13"/>
    <n v="1140.48"/>
    <d v="2004-11-17T00:00:00"/>
    <s v="Shipped"/>
    <n v="4"/>
    <x v="5"/>
    <n v="2004"/>
    <x v="1"/>
    <n v="37"/>
    <s v="S24_2972"/>
    <s v="Motor Mint Distributors Inc."/>
    <n v="2155559857"/>
    <s v="11328 Douglas Av."/>
    <m/>
    <s v="Philadelphia"/>
    <s v="PA"/>
    <n v="71270"/>
    <s v="USA"/>
    <s v="NA"/>
    <s v="Hernandez"/>
    <s v="Rosa"/>
    <s v="Small"/>
    <n v="1140.48"/>
  </r>
  <r>
    <n v="10342"/>
    <n v="39"/>
    <n v="40.4"/>
    <n v="9"/>
    <n v="1575.6"/>
    <d v="2004-11-24T00:00:00"/>
    <s v="Shipped"/>
    <n v="4"/>
    <x v="5"/>
    <n v="2004"/>
    <x v="1"/>
    <n v="37"/>
    <s v="S24_2972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575.6"/>
  </r>
  <r>
    <n v="10355"/>
    <n v="36"/>
    <n v="38.520000000000003"/>
    <n v="4"/>
    <n v="1386.72"/>
    <d v="2004-12-07T00:00:00"/>
    <s v="Shipped"/>
    <n v="4"/>
    <x v="6"/>
    <n v="2004"/>
    <x v="1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  <n v="1386.72"/>
  </r>
  <r>
    <n v="10367"/>
    <n v="36"/>
    <n v="100"/>
    <n v="2"/>
    <n v="5018.3999999999996"/>
    <d v="2005-01-12T00:00:00"/>
    <s v="Resolved"/>
    <n v="1"/>
    <x v="7"/>
    <n v="2005"/>
    <x v="1"/>
    <n v="37"/>
    <s v="S24_2972"/>
    <s v="Toys4GrownUps.com"/>
    <n v="6265557265"/>
    <s v="78934 Hillside Dr."/>
    <m/>
    <s v="Pasadena"/>
    <s v="CA"/>
    <n v="90003"/>
    <s v="USA"/>
    <s v="NA"/>
    <s v="Young"/>
    <s v="Julie"/>
    <s v="Medium"/>
    <n v="3600"/>
  </r>
  <r>
    <n v="10378"/>
    <n v="41"/>
    <n v="100"/>
    <n v="7"/>
    <n v="5856.85"/>
    <d v="2005-02-10T00:00:00"/>
    <s v="Shipped"/>
    <n v="1"/>
    <x v="0"/>
    <n v="2005"/>
    <x v="1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390"/>
    <n v="37"/>
    <n v="100"/>
    <n v="5"/>
    <n v="4894.7299999999996"/>
    <d v="2005-03-04T00:00:00"/>
    <s v="Shipped"/>
    <n v="1"/>
    <x v="11"/>
    <n v="2005"/>
    <x v="1"/>
    <n v="37"/>
    <s v="S24_2972"/>
    <s v="Mini Gifts Distributors Ltd."/>
    <n v="4155551450"/>
    <s v="5677 Strong St."/>
    <m/>
    <s v="San Rafael"/>
    <s v="CA"/>
    <n v="97562"/>
    <s v="USA"/>
    <s v="NA"/>
    <s v="Nelson"/>
    <s v="Valarie"/>
    <s v="Medium"/>
    <n v="3700"/>
  </r>
  <r>
    <n v="10405"/>
    <n v="47"/>
    <n v="44.56"/>
    <n v="2"/>
    <n v="2094.3200000000002"/>
    <d v="2005-04-14T00:00:00"/>
    <s v="Shipped"/>
    <n v="2"/>
    <x v="8"/>
    <n v="2005"/>
    <x v="1"/>
    <n v="37"/>
    <s v="S24_2972"/>
    <s v="Mini Caravy"/>
    <s v="88.60.1555"/>
    <s v="24, place Kluber"/>
    <m/>
    <s v="Strasbourg"/>
    <m/>
    <n v="67000"/>
    <s v="France"/>
    <s v="EMEA"/>
    <s v="Citeaux"/>
    <s v="Frederique"/>
    <s v="Small"/>
    <n v="2094.3200000000002"/>
  </r>
  <r>
    <n v="10419"/>
    <n v="15"/>
    <n v="42.67"/>
    <n v="7"/>
    <n v="640.04999999999995"/>
    <d v="2005-05-17T00:00:00"/>
    <s v="Shipped"/>
    <n v="2"/>
    <x v="1"/>
    <n v="2005"/>
    <x v="1"/>
    <n v="37"/>
    <s v="S24_2972"/>
    <s v="Salzburg Collectables"/>
    <s v="6562-9555"/>
    <s v="Geislweg 14"/>
    <m/>
    <s v="Salzburg"/>
    <m/>
    <n v="5020"/>
    <s v="Austria"/>
    <s v="EMEA"/>
    <s v="Pipps"/>
    <s v="Georg"/>
    <s v="Small"/>
    <n v="640.05000000000007"/>
  </r>
  <r>
    <n v="10105"/>
    <n v="44"/>
    <n v="72.58"/>
    <n v="4"/>
    <n v="3193.52"/>
    <d v="2003-02-11T00:00:00"/>
    <s v="Shipped"/>
    <n v="1"/>
    <x v="0"/>
    <n v="2003"/>
    <x v="3"/>
    <n v="88"/>
    <s v="S24_3151"/>
    <s v="Danish Wholesale Imports"/>
    <s v="31 12 3555"/>
    <s v="Vinb'ltet 34"/>
    <m/>
    <s v="Kobenhavn"/>
    <m/>
    <n v="1734"/>
    <s v="Denmark"/>
    <s v="EMEA"/>
    <s v="Petersen"/>
    <s v="Jytte"/>
    <s v="Medium"/>
    <n v="3193.52"/>
  </r>
  <r>
    <n v="10119"/>
    <n v="35"/>
    <n v="87.62"/>
    <n v="13"/>
    <n v="3066.7"/>
    <d v="2003-04-28T00:00:00"/>
    <s v="Shipped"/>
    <n v="2"/>
    <x v="8"/>
    <n v="2003"/>
    <x v="3"/>
    <n v="88"/>
    <s v="S24_3151"/>
    <s v="Salzburg Collectables"/>
    <s v="6562-9555"/>
    <s v="Geislweg 14"/>
    <m/>
    <s v="Salzburg"/>
    <m/>
    <n v="5020"/>
    <s v="Austria"/>
    <s v="EMEA"/>
    <s v="Pipps"/>
    <s v="Georg"/>
    <s v="Medium"/>
    <n v="3066.7000000000003"/>
  </r>
  <r>
    <n v="10129"/>
    <n v="41"/>
    <n v="94.71"/>
    <n v="4"/>
    <n v="3883.11"/>
    <d v="2003-06-12T00:00:00"/>
    <s v="Shipped"/>
    <n v="2"/>
    <x v="9"/>
    <n v="2003"/>
    <x v="3"/>
    <n v="88"/>
    <s v="S24_3151"/>
    <s v="Stylish Desk Decors, Co."/>
    <s v="(171) 555-0297"/>
    <s v="35 King George"/>
    <m/>
    <s v="London"/>
    <m/>
    <s v="WX3 6FW"/>
    <s v="UK"/>
    <s v="EMEA"/>
    <s v="Brown"/>
    <s v="Ann"/>
    <s v="Medium"/>
    <n v="3883.1099999999997"/>
  </r>
  <r>
    <n v="10142"/>
    <n v="49"/>
    <n v="98.25"/>
    <n v="1"/>
    <n v="4814.25"/>
    <d v="2003-08-08T00:00:00"/>
    <s v="Shipped"/>
    <n v="3"/>
    <x v="3"/>
    <n v="2003"/>
    <x v="3"/>
    <n v="88"/>
    <s v="S24_3151"/>
    <s v="Mini Gifts Distributors Ltd."/>
    <n v="4155551450"/>
    <s v="5677 Strong St."/>
    <m/>
    <s v="San Rafael"/>
    <s v="CA"/>
    <n v="97562"/>
    <s v="USA"/>
    <s v="NA"/>
    <s v="Nelson"/>
    <s v="Valarie"/>
    <s v="Medium"/>
    <n v="4814.25"/>
  </r>
  <r>
    <n v="10154"/>
    <n v="31"/>
    <n v="91.17"/>
    <n v="2"/>
    <n v="2826.27"/>
    <d v="2003-10-02T00:00:00"/>
    <s v="Shipped"/>
    <n v="4"/>
    <x v="4"/>
    <n v="2003"/>
    <x v="3"/>
    <n v="88"/>
    <s v="S24_3151"/>
    <s v="Boards &amp; Toys Co."/>
    <n v="3105552373"/>
    <s v="4097 Douglas Av."/>
    <m/>
    <s v="Glendale"/>
    <s v="CA"/>
    <n v="92561"/>
    <s v="USA"/>
    <s v="NA"/>
    <s v="Young"/>
    <s v="Leslie"/>
    <s v="Small"/>
    <n v="2826.27"/>
  </r>
  <r>
    <n v="10167"/>
    <n v="20"/>
    <n v="79.66"/>
    <n v="11"/>
    <n v="1593.2"/>
    <d v="2003-10-23T00:00:00"/>
    <s v="Cancelled"/>
    <n v="4"/>
    <x v="4"/>
    <n v="2003"/>
    <x v="3"/>
    <n v="88"/>
    <s v="S24_3151"/>
    <s v="Scandinavian Gift Ideas"/>
    <s v="0695-34 6555"/>
    <s v="?kergatan 24"/>
    <m/>
    <s v="Boras"/>
    <m/>
    <s v="S-844 67"/>
    <s v="Sweden"/>
    <s v="EMEA"/>
    <s v="Larsson"/>
    <s v="Maria"/>
    <s v="Small"/>
    <n v="1593.1999999999998"/>
  </r>
  <r>
    <n v="10177"/>
    <n v="45"/>
    <n v="72.58"/>
    <n v="2"/>
    <n v="3266.1"/>
    <d v="2003-11-07T00:00:00"/>
    <s v="Shipped"/>
    <n v="4"/>
    <x v="5"/>
    <n v="2003"/>
    <x v="3"/>
    <n v="88"/>
    <s v="S24_3151"/>
    <s v="CAF Imports"/>
    <s v="+34 913 728 555"/>
    <s v="Merchants House, 27-30 Merchant's Quay"/>
    <m/>
    <s v="Madrid"/>
    <m/>
    <n v="28023"/>
    <s v="Spain"/>
    <s v="EMEA"/>
    <s v="Fernandez"/>
    <s v="Jesus"/>
    <s v="Medium"/>
    <n v="3266.1"/>
  </r>
  <r>
    <n v="10185"/>
    <n v="33"/>
    <n v="74.349999999999994"/>
    <n v="2"/>
    <n v="2453.5500000000002"/>
    <d v="2003-11-14T00:00:00"/>
    <s v="Shipped"/>
    <n v="4"/>
    <x v="5"/>
    <n v="2003"/>
    <x v="3"/>
    <n v="88"/>
    <s v="S24_3151"/>
    <s v="Mini Creations Ltd."/>
    <n v="5085559555"/>
    <s v="4575 Hillside Dr."/>
    <m/>
    <s v="New Bedford"/>
    <s v="MA"/>
    <n v="50553"/>
    <s v="USA"/>
    <s v="NA"/>
    <s v="Tam"/>
    <s v="Wing C"/>
    <s v="Small"/>
    <n v="2453.5499999999997"/>
  </r>
  <r>
    <n v="10197"/>
    <n v="47"/>
    <n v="83.2"/>
    <n v="8"/>
    <n v="3910.4"/>
    <d v="2003-11-26T00:00:00"/>
    <s v="Shipped"/>
    <n v="4"/>
    <x v="5"/>
    <n v="2003"/>
    <x v="3"/>
    <n v="88"/>
    <s v="S24_3151"/>
    <s v="Enaco Distributors"/>
    <s v="(93) 203 4555"/>
    <s v="Rambla de Catalu¤a, 23"/>
    <m/>
    <s v="Barcelona"/>
    <m/>
    <n v="8022"/>
    <s v="Spain"/>
    <s v="EMEA"/>
    <s v="Saavedra"/>
    <s v="Eduardo"/>
    <s v="Medium"/>
    <n v="3910.4"/>
  </r>
  <r>
    <n v="10208"/>
    <n v="20"/>
    <n v="89.4"/>
    <n v="2"/>
    <n v="1788"/>
    <d v="2004-01-02T00:00:00"/>
    <s v="Shipped"/>
    <n v="1"/>
    <x v="7"/>
    <n v="2004"/>
    <x v="3"/>
    <n v="88"/>
    <s v="S24_3151"/>
    <s v="Saveley &amp; Henriot, Co."/>
    <s v="78.32.5555"/>
    <s v="2, rue du Commerce"/>
    <m/>
    <s v="Lyon"/>
    <m/>
    <n v="69004"/>
    <s v="France"/>
    <s v="EMEA"/>
    <s v="Saveley"/>
    <s v="Mary"/>
    <s v="Small"/>
    <n v="1788"/>
  </r>
  <r>
    <n v="10222"/>
    <n v="47"/>
    <n v="70.81"/>
    <n v="14"/>
    <n v="3328.07"/>
    <d v="2004-02-19T00:00:00"/>
    <s v="Shipped"/>
    <n v="1"/>
    <x v="0"/>
    <n v="2004"/>
    <x v="3"/>
    <n v="88"/>
    <s v="S24_3151"/>
    <s v="Collectable Mini Designs Co."/>
    <n v="7605558146"/>
    <s v="361 Furth Circle"/>
    <m/>
    <s v="San Diego"/>
    <s v="CA"/>
    <n v="91217"/>
    <s v="USA"/>
    <s v="NA"/>
    <s v="Thompson"/>
    <s v="Valarie"/>
    <s v="Medium"/>
    <n v="3328.07"/>
  </r>
  <r>
    <n v="10233"/>
    <n v="40"/>
    <n v="94.71"/>
    <n v="2"/>
    <n v="3788.4"/>
    <d v="2004-03-29T00:00:00"/>
    <s v="Shipped"/>
    <n v="1"/>
    <x v="11"/>
    <n v="2004"/>
    <x v="3"/>
    <n v="88"/>
    <s v="S24_3151"/>
    <s v="Tekni Collectables Inc."/>
    <n v="2015559350"/>
    <s v="7476 Moss Rd."/>
    <m/>
    <s v="Newark"/>
    <s v="NJ"/>
    <n v="94019"/>
    <s v="USA"/>
    <s v="NA"/>
    <s v="Brown"/>
    <s v="William"/>
    <s v="Medium"/>
    <n v="3788.3999999999996"/>
  </r>
  <r>
    <n v="10248"/>
    <n v="30"/>
    <n v="100"/>
    <n v="5"/>
    <n v="3053.7"/>
    <d v="2004-05-07T00:00:00"/>
    <s v="Cancelled"/>
    <n v="2"/>
    <x v="1"/>
    <n v="2004"/>
    <x v="3"/>
    <n v="88"/>
    <s v="S24_3151"/>
    <s v="Land of Toys Inc."/>
    <n v="2125557818"/>
    <s v="897 Long Airport Avenue"/>
    <m/>
    <s v="NYC"/>
    <s v="NY"/>
    <n v="10022"/>
    <s v="USA"/>
    <s v="NA"/>
    <s v="Yu"/>
    <s v="Kwai"/>
    <s v="Medium"/>
    <n v="3000"/>
  </r>
  <r>
    <n v="10261"/>
    <n v="22"/>
    <n v="91.17"/>
    <n v="3"/>
    <n v="2005.74"/>
    <d v="2004-06-17T00:00:00"/>
    <s v="Shipped"/>
    <n v="2"/>
    <x v="9"/>
    <n v="2004"/>
    <x v="3"/>
    <n v="88"/>
    <s v="S24_3151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2005.74"/>
  </r>
  <r>
    <n v="10273"/>
    <n v="27"/>
    <n v="100"/>
    <n v="6"/>
    <n v="2796.12"/>
    <d v="2004-07-21T00:00:00"/>
    <s v="Shipped"/>
    <n v="3"/>
    <x v="2"/>
    <n v="2004"/>
    <x v="3"/>
    <n v="88"/>
    <s v="S24_3151"/>
    <s v="Petit Auto"/>
    <s v="(02) 5554 67"/>
    <s v="Rue Joseph-Bens 532"/>
    <m/>
    <s v="Bruxelles"/>
    <m/>
    <s v="B-1180"/>
    <s v="Belgium"/>
    <s v="EMEA"/>
    <s v="Dewey"/>
    <s v="Catherine"/>
    <s v="Small"/>
    <n v="2700"/>
  </r>
  <r>
    <n v="10283"/>
    <n v="34"/>
    <n v="92.94"/>
    <n v="8"/>
    <n v="3159.96"/>
    <d v="2004-08-20T00:00:00"/>
    <s v="Shipped"/>
    <n v="3"/>
    <x v="3"/>
    <n v="2004"/>
    <x v="3"/>
    <n v="88"/>
    <s v="S24_3151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3159.96"/>
  </r>
  <r>
    <n v="10295"/>
    <n v="46"/>
    <n v="84.97"/>
    <n v="3"/>
    <n v="3908.62"/>
    <d v="2004-09-10T00:00:00"/>
    <s v="Shipped"/>
    <n v="3"/>
    <x v="10"/>
    <n v="2004"/>
    <x v="3"/>
    <n v="88"/>
    <s v="S24_3151"/>
    <s v="Gifts4AllAges.com"/>
    <n v="6175559555"/>
    <s v="8616 Spinnaker Dr."/>
    <m/>
    <s v="Boston"/>
    <s v="MA"/>
    <n v="51003"/>
    <s v="USA"/>
    <s v="NA"/>
    <s v="Yoshido"/>
    <s v="Juri"/>
    <s v="Medium"/>
    <n v="3908.62"/>
  </r>
  <r>
    <n v="10306"/>
    <n v="31"/>
    <n v="84.08"/>
    <n v="2"/>
    <n v="2606.48"/>
    <d v="2004-10-14T00:00:00"/>
    <s v="Shipped"/>
    <n v="4"/>
    <x v="4"/>
    <n v="2004"/>
    <x v="3"/>
    <n v="88"/>
    <s v="S24_3151"/>
    <s v="AV Stores, Co."/>
    <s v="(171) 555-1555"/>
    <s v="Fauntleroy Circus"/>
    <m/>
    <s v="Manchester"/>
    <m/>
    <s v="EC2 5NT"/>
    <s v="UK"/>
    <s v="EMEA"/>
    <s v="Ashworth"/>
    <s v="Victoria"/>
    <s v="Small"/>
    <n v="2606.48"/>
  </r>
  <r>
    <n v="10315"/>
    <n v="24"/>
    <n v="86.74"/>
    <n v="1"/>
    <n v="2081.7600000000002"/>
    <d v="2004-10-29T00:00:00"/>
    <s v="Shipped"/>
    <n v="4"/>
    <x v="4"/>
    <n v="2004"/>
    <x v="3"/>
    <n v="88"/>
    <s v="S24_3151"/>
    <s v="La Rochelle Gifts"/>
    <s v="40.67.8555"/>
    <s v="67, rue des Cinquante Otages"/>
    <m/>
    <s v="Nantes"/>
    <m/>
    <n v="44000"/>
    <s v="France"/>
    <s v="EMEA"/>
    <s v="Labrune"/>
    <s v="Janine"/>
    <s v="Small"/>
    <n v="2081.7599999999998"/>
  </r>
  <r>
    <n v="10326"/>
    <n v="41"/>
    <n v="85.85"/>
    <n v="3"/>
    <n v="3519.85"/>
    <d v="2004-11-09T00:00:00"/>
    <s v="Shipped"/>
    <n v="4"/>
    <x v="5"/>
    <n v="2004"/>
    <x v="3"/>
    <n v="88"/>
    <s v="S24_3151"/>
    <s v="Volvo Model Replicas, Co"/>
    <s v="0921-12 3555"/>
    <s v="Berguvsv„gen  8"/>
    <m/>
    <s v="Lule"/>
    <m/>
    <s v="S-958 22"/>
    <s v="Sweden"/>
    <s v="EMEA"/>
    <s v="Berglund"/>
    <s v="Christina"/>
    <s v="Medium"/>
    <n v="3519.85"/>
  </r>
  <r>
    <n v="10339"/>
    <n v="55"/>
    <n v="100"/>
    <n v="13"/>
    <n v="10758"/>
    <d v="2004-11-23T00:00:00"/>
    <s v="Shipped"/>
    <n v="4"/>
    <x v="5"/>
    <n v="2004"/>
    <x v="3"/>
    <n v="88"/>
    <s v="S24_3151"/>
    <s v="Tokyo Collectables, Ltd"/>
    <s v="+81 3 3584 0555"/>
    <s v="2-2-8 Roppongi"/>
    <m/>
    <s v="Minato-ku"/>
    <s v="Tokyo"/>
    <s v="106-0032"/>
    <s v="Japan"/>
    <s v="Japan"/>
    <s v="Shimamura"/>
    <s v="Akiko"/>
    <s v="Large"/>
    <n v="5500"/>
  </r>
  <r>
    <n v="10350"/>
    <n v="30"/>
    <n v="100"/>
    <n v="9"/>
    <n v="3021"/>
    <d v="2004-12-02T00:00:00"/>
    <s v="Shipped"/>
    <n v="4"/>
    <x v="6"/>
    <n v="2004"/>
    <x v="3"/>
    <n v="88"/>
    <s v="S24_3151"/>
    <s v="Euro Shopping Channel"/>
    <s v="(91) 555 94 44"/>
    <s v="C/ Moralzarzal, 86"/>
    <m/>
    <s v="Madrid"/>
    <m/>
    <n v="28034"/>
    <s v="Spain"/>
    <s v="EMEA"/>
    <s v="Freyre"/>
    <s v="Diego"/>
    <s v="Medium"/>
    <n v="3000"/>
  </r>
  <r>
    <n v="10373"/>
    <n v="33"/>
    <n v="57.32"/>
    <n v="12"/>
    <n v="1891.56"/>
    <d v="2005-01-31T00:00:00"/>
    <s v="Shipped"/>
    <n v="1"/>
    <x v="7"/>
    <n v="2005"/>
    <x v="3"/>
    <n v="88"/>
    <s v="S24_3151"/>
    <s v="Oulu Toy Supplies, Inc."/>
    <s v="981-443655"/>
    <s v="Torikatu 38"/>
    <m/>
    <s v="Oulu"/>
    <m/>
    <n v="90110"/>
    <s v="Finland"/>
    <s v="EMEA"/>
    <s v="Koskitalo"/>
    <s v="Pirkko"/>
    <s v="Small"/>
    <n v="1891.56"/>
  </r>
  <r>
    <n v="10384"/>
    <n v="43"/>
    <n v="97.87"/>
    <n v="2"/>
    <n v="4208.41"/>
    <d v="2005-02-23T00:00:00"/>
    <s v="Shipped"/>
    <n v="1"/>
    <x v="0"/>
    <n v="2005"/>
    <x v="3"/>
    <n v="88"/>
    <s v="S24_3151"/>
    <s v="Corporate Gift Ideas Co."/>
    <n v="6505551386"/>
    <s v="7734 Strong St."/>
    <m/>
    <s v="San Francisco"/>
    <s v="CA"/>
    <m/>
    <s v="USA"/>
    <s v="NA"/>
    <s v="Brown"/>
    <s v="Julie"/>
    <s v="Medium"/>
    <n v="4208.41"/>
  </r>
  <r>
    <n v="10396"/>
    <n v="27"/>
    <n v="83.2"/>
    <n v="7"/>
    <n v="2246.4"/>
    <d v="2005-03-23T00:00:00"/>
    <s v="Shipped"/>
    <n v="1"/>
    <x v="11"/>
    <n v="2005"/>
    <x v="3"/>
    <n v="88"/>
    <s v="S24_3151"/>
    <s v="Mini Gifts Distributors Ltd."/>
    <n v="4155551450"/>
    <s v="5677 Strong St."/>
    <m/>
    <s v="San Rafael"/>
    <s v="CA"/>
    <n v="97562"/>
    <s v="USA"/>
    <s v="NA"/>
    <s v="Nelson"/>
    <s v="Valarie"/>
    <s v="Small"/>
    <n v="2246.4"/>
  </r>
  <r>
    <n v="10414"/>
    <n v="60"/>
    <n v="100"/>
    <n v="5"/>
    <n v="6107.4"/>
    <d v="2005-05-06T00:00:00"/>
    <s v="On Hold"/>
    <n v="2"/>
    <x v="1"/>
    <n v="2005"/>
    <x v="3"/>
    <n v="88"/>
    <s v="S24_3151"/>
    <s v="Gifts4AllAges.com"/>
    <n v="6175559555"/>
    <s v="8616 Spinnaker Dr."/>
    <m/>
    <s v="Boston"/>
    <s v="MA"/>
    <n v="51003"/>
    <s v="USA"/>
    <s v="NA"/>
    <s v="Yoshido"/>
    <s v="Juri"/>
    <s v="Medium"/>
    <n v="6000"/>
  </r>
  <r>
    <n v="10110"/>
    <n v="27"/>
    <n v="73.62"/>
    <n v="12"/>
    <n v="1987.74"/>
    <d v="2003-03-18T00:00:00"/>
    <s v="Shipped"/>
    <n v="1"/>
    <x v="11"/>
    <n v="2003"/>
    <x v="1"/>
    <n v="85"/>
    <s v="S24_3191"/>
    <s v="AV Stores, Co."/>
    <s v="(171) 555-1555"/>
    <s v="Fauntleroy Circus"/>
    <m/>
    <s v="Manchester"/>
    <m/>
    <s v="EC2 5NT"/>
    <s v="UK"/>
    <s v="EMEA"/>
    <s v="Ashworth"/>
    <s v="Victoria"/>
    <s v="Small"/>
    <n v="1987.7400000000002"/>
  </r>
  <r>
    <n v="10124"/>
    <n v="49"/>
    <n v="83.04"/>
    <n v="11"/>
    <n v="4068.96"/>
    <d v="2003-05-21T00:00:00"/>
    <s v="Shipped"/>
    <n v="2"/>
    <x v="1"/>
    <n v="2003"/>
    <x v="1"/>
    <n v="85"/>
    <s v="S24_3191"/>
    <s v="Signal Gift Stores"/>
    <n v="7025551838"/>
    <s v="8489 Strong St."/>
    <m/>
    <s v="Las Vegas"/>
    <s v="NV"/>
    <n v="83030"/>
    <s v="USA"/>
    <s v="NA"/>
    <s v="King"/>
    <s v="Sue"/>
    <s v="Medium"/>
    <n v="4068.9600000000005"/>
  </r>
  <r>
    <n v="10148"/>
    <n v="31"/>
    <n v="73.62"/>
    <n v="5"/>
    <n v="2282.2199999999998"/>
    <d v="2003-09-11T00:00:00"/>
    <s v="Shipped"/>
    <n v="3"/>
    <x v="10"/>
    <n v="2003"/>
    <x v="1"/>
    <n v="85"/>
    <s v="S24_3191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282.2200000000003"/>
  </r>
  <r>
    <n v="10161"/>
    <n v="20"/>
    <n v="77.05"/>
    <n v="4"/>
    <n v="1541"/>
    <d v="2003-10-17T00:00:00"/>
    <s v="Shipped"/>
    <n v="4"/>
    <x v="4"/>
    <n v="2003"/>
    <x v="1"/>
    <n v="85"/>
    <s v="S24_3191"/>
    <s v="Heintze Collectables"/>
    <s v="86 21 3555"/>
    <s v="Smagsloget 45"/>
    <m/>
    <s v="Aaarhus"/>
    <m/>
    <n v="8200"/>
    <s v="Denmark"/>
    <s v="EMEA"/>
    <s v="Ibsen"/>
    <s v="Palle"/>
    <s v="Small"/>
    <n v="1541"/>
  </r>
  <r>
    <n v="10172"/>
    <n v="24"/>
    <n v="81.33"/>
    <n v="2"/>
    <n v="1951.92"/>
    <d v="2003-11-05T00:00:00"/>
    <s v="Shipped"/>
    <n v="4"/>
    <x v="5"/>
    <n v="2003"/>
    <x v="1"/>
    <n v="85"/>
    <s v="S24_3191"/>
    <s v="Gift Depot Inc."/>
    <n v="2035552570"/>
    <s v="25593 South Bay Ln."/>
    <m/>
    <s v="Bridgewater"/>
    <s v="CT"/>
    <n v="97562"/>
    <s v="USA"/>
    <s v="NA"/>
    <s v="King"/>
    <s v="Julie"/>
    <s v="Small"/>
    <n v="1951.92"/>
  </r>
  <r>
    <n v="10182"/>
    <n v="33"/>
    <n v="94.17"/>
    <n v="15"/>
    <n v="3107.61"/>
    <d v="2003-11-12T00:00:00"/>
    <s v="Shipped"/>
    <n v="4"/>
    <x v="5"/>
    <n v="2003"/>
    <x v="1"/>
    <n v="85"/>
    <s v="S24_3191"/>
    <s v="Mini Gifts Distributors Ltd."/>
    <n v="4155551450"/>
    <s v="5677 Strong St."/>
    <m/>
    <s v="San Rafael"/>
    <s v="CA"/>
    <n v="97562"/>
    <s v="USA"/>
    <s v="NA"/>
    <s v="Nelson"/>
    <s v="Valarie"/>
    <s v="Medium"/>
    <n v="3107.61"/>
  </r>
  <r>
    <n v="10192"/>
    <n v="32"/>
    <n v="72.77"/>
    <n v="3"/>
    <n v="2328.64"/>
    <d v="2003-11-20T00:00:00"/>
    <s v="Shipped"/>
    <n v="4"/>
    <x v="5"/>
    <n v="2003"/>
    <x v="1"/>
    <n v="85"/>
    <s v="S24_3191"/>
    <s v="Online Diecast Creations Co."/>
    <n v="6035558647"/>
    <s v="2304 Long Airport Avenue"/>
    <m/>
    <s v="Nashua"/>
    <s v="NH"/>
    <n v="62005"/>
    <s v="USA"/>
    <s v="NA"/>
    <s v="Young"/>
    <s v="Valarie"/>
    <s v="Small"/>
    <n v="2328.64"/>
  </r>
  <r>
    <n v="10204"/>
    <n v="40"/>
    <n v="79.62"/>
    <n v="9"/>
    <n v="3184.8"/>
    <d v="2003-12-02T00:00:00"/>
    <s v="Shipped"/>
    <n v="4"/>
    <x v="6"/>
    <n v="2003"/>
    <x v="1"/>
    <n v="85"/>
    <s v="S24_3191"/>
    <s v="Muscle Machine Inc"/>
    <n v="2125557413"/>
    <s v="4092 Furth Circle"/>
    <s v="Suite 400"/>
    <s v="NYC"/>
    <s v="NY"/>
    <n v="10022"/>
    <s v="USA"/>
    <s v="NA"/>
    <s v="Young"/>
    <s v="Jeff"/>
    <s v="Medium"/>
    <n v="3184.8"/>
  </r>
  <r>
    <n v="10212"/>
    <n v="27"/>
    <n v="79.62"/>
    <n v="2"/>
    <n v="2149.7399999999998"/>
    <d v="2004-01-16T00:00:00"/>
    <s v="Shipped"/>
    <n v="1"/>
    <x v="7"/>
    <n v="2004"/>
    <x v="1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  <n v="2149.7400000000002"/>
  </r>
  <r>
    <n v="10227"/>
    <n v="40"/>
    <n v="79.62"/>
    <n v="15"/>
    <n v="3184.8"/>
    <d v="2004-03-02T00:00:00"/>
    <s v="Shipped"/>
    <n v="1"/>
    <x v="11"/>
    <n v="2004"/>
    <x v="1"/>
    <n v="85"/>
    <s v="S24_3191"/>
    <s v="Saveley &amp; Henriot, Co."/>
    <s v="78.32.5555"/>
    <s v="2, rue du Commerce"/>
    <m/>
    <s v="Lyon"/>
    <m/>
    <n v="69004"/>
    <s v="France"/>
    <s v="EMEA"/>
    <s v="Saveley"/>
    <s v="Mary"/>
    <s v="Medium"/>
    <n v="3184.8"/>
  </r>
  <r>
    <n v="10241"/>
    <n v="26"/>
    <n v="81.33"/>
    <n v="7"/>
    <n v="2114.58"/>
    <d v="2004-04-13T00:00:00"/>
    <s v="Shipped"/>
    <n v="2"/>
    <x v="8"/>
    <n v="2004"/>
    <x v="1"/>
    <n v="85"/>
    <s v="S24_3191"/>
    <s v="Mini Caravy"/>
    <s v="88.60.1555"/>
    <s v="24, place Kluber"/>
    <m/>
    <s v="Strasbourg"/>
    <m/>
    <n v="67000"/>
    <s v="France"/>
    <s v="EMEA"/>
    <s v="Citeaux"/>
    <s v="Frederique"/>
    <s v="Small"/>
    <n v="2114.58"/>
  </r>
  <r>
    <n v="10267"/>
    <n v="44"/>
    <n v="96.74"/>
    <n v="4"/>
    <n v="4256.5600000000004"/>
    <d v="2004-07-07T00:00:00"/>
    <s v="Shipped"/>
    <n v="3"/>
    <x v="2"/>
    <n v="2004"/>
    <x v="1"/>
    <n v="85"/>
    <s v="S24_3191"/>
    <s v="Muscle Machine Inc"/>
    <n v="2125557413"/>
    <s v="4092 Furth Circle"/>
    <s v="Suite 400"/>
    <s v="NYC"/>
    <s v="NY"/>
    <n v="10022"/>
    <s v="USA"/>
    <s v="NA"/>
    <s v="Young"/>
    <s v="Jeff"/>
    <s v="Medium"/>
    <n v="4256.5599999999995"/>
  </r>
  <r>
    <n v="10279"/>
    <n v="33"/>
    <n v="71.06"/>
    <n v="4"/>
    <n v="2344.98"/>
    <d v="2004-08-09T00:00:00"/>
    <s v="Shipped"/>
    <n v="3"/>
    <x v="3"/>
    <n v="2004"/>
    <x v="1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  <n v="2344.98"/>
  </r>
  <r>
    <n v="10288"/>
    <n v="34"/>
    <n v="68.489999999999995"/>
    <n v="10"/>
    <n v="2328.66"/>
    <d v="2004-09-01T00:00:00"/>
    <s v="Shipped"/>
    <n v="3"/>
    <x v="10"/>
    <n v="2004"/>
    <x v="1"/>
    <n v="85"/>
    <s v="S24_3191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328.66"/>
  </r>
  <r>
    <n v="10302"/>
    <n v="48"/>
    <n v="74.48"/>
    <n v="6"/>
    <n v="3575.04"/>
    <d v="2003-10-06T00:00:00"/>
    <s v="Shipped"/>
    <n v="4"/>
    <x v="4"/>
    <n v="2003"/>
    <x v="1"/>
    <n v="85"/>
    <s v="S24_3191"/>
    <s v="UK Collectables, Ltd."/>
    <s v="(171) 555-2282"/>
    <s v="Berkeley Gardens 12  Brewery"/>
    <m/>
    <s v="Liverpool"/>
    <m/>
    <s v="WX1 6LT"/>
    <s v="UK"/>
    <s v="EMEA"/>
    <s v="Devon"/>
    <s v="Elizabeth"/>
    <s v="Medium"/>
    <n v="3575.04"/>
  </r>
  <r>
    <n v="10311"/>
    <n v="25"/>
    <n v="83.04"/>
    <n v="5"/>
    <n v="2076"/>
    <d v="2004-10-16T00:00:00"/>
    <s v="Shipped"/>
    <n v="4"/>
    <x v="4"/>
    <n v="2004"/>
    <x v="1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  <n v="2076"/>
  </r>
  <r>
    <n v="10321"/>
    <n v="39"/>
    <n v="84.75"/>
    <n v="2"/>
    <n v="3305.25"/>
    <d v="2004-11-04T00:00:00"/>
    <s v="Shipped"/>
    <n v="4"/>
    <x v="5"/>
    <n v="2004"/>
    <x v="1"/>
    <n v="85"/>
    <s v="S24_3191"/>
    <s v="FunGiftIdeas.com"/>
    <n v="5085552555"/>
    <s v="1785 First Street"/>
    <m/>
    <s v="New Bedford"/>
    <s v="MA"/>
    <n v="50553"/>
    <s v="USA"/>
    <s v="NA"/>
    <s v="Benitez"/>
    <s v="Violeta"/>
    <s v="Medium"/>
    <n v="3305.25"/>
  </r>
  <r>
    <n v="10332"/>
    <n v="45"/>
    <n v="34.19"/>
    <n v="12"/>
    <n v="1538.55"/>
    <d v="2004-11-17T00:00:00"/>
    <s v="Shipped"/>
    <n v="4"/>
    <x v="5"/>
    <n v="2004"/>
    <x v="1"/>
    <n v="85"/>
    <s v="S24_3191"/>
    <s v="AV Stores, Co."/>
    <s v="(171) 555-1555"/>
    <s v="Fauntleroy Circus"/>
    <m/>
    <s v="Manchester"/>
    <m/>
    <s v="EC2 5NT"/>
    <s v="UK"/>
    <s v="EMEA"/>
    <s v="Ashworth"/>
    <s v="Victoria"/>
    <s v="Small"/>
    <n v="1538.55"/>
  </r>
  <r>
    <n v="10346"/>
    <n v="24"/>
    <n v="100"/>
    <n v="2"/>
    <n v="3325.92"/>
    <d v="2004-11-29T00:00:00"/>
    <s v="Shipped"/>
    <n v="4"/>
    <x v="5"/>
    <n v="2004"/>
    <x v="1"/>
    <n v="85"/>
    <s v="S24_3191"/>
    <s v="Signal Gift Stores"/>
    <n v="7025551838"/>
    <s v="8489 Strong St."/>
    <m/>
    <s v="Las Vegas"/>
    <s v="NV"/>
    <n v="83030"/>
    <s v="USA"/>
    <s v="NA"/>
    <s v="King"/>
    <s v="Sue"/>
    <s v="Medium"/>
    <n v="2400"/>
  </r>
  <r>
    <n v="10368"/>
    <n v="46"/>
    <n v="79.62"/>
    <n v="1"/>
    <n v="3662.52"/>
    <d v="2005-01-19T00:00:00"/>
    <s v="Shipped"/>
    <n v="1"/>
    <x v="7"/>
    <n v="2005"/>
    <x v="1"/>
    <n v="85"/>
    <s v="S24_3191"/>
    <s v="Mini Gifts Distributors Ltd."/>
    <n v="4155551450"/>
    <s v="5677 Strong St."/>
    <m/>
    <s v="San Rafael"/>
    <s v="CA"/>
    <n v="97562"/>
    <s v="USA"/>
    <s v="NA"/>
    <s v="Nelson"/>
    <s v="Valarie"/>
    <s v="Medium"/>
    <n v="3662.5200000000004"/>
  </r>
  <r>
    <n v="10380"/>
    <n v="44"/>
    <n v="79.06"/>
    <n v="9"/>
    <n v="3478.64"/>
    <d v="2005-02-16T00:00:00"/>
    <s v="Shipped"/>
    <n v="1"/>
    <x v="0"/>
    <n v="2005"/>
    <x v="1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Medium"/>
    <n v="3478.6400000000003"/>
  </r>
  <r>
    <n v="10407"/>
    <n v="13"/>
    <n v="81.33"/>
    <n v="7"/>
    <n v="1057.29"/>
    <d v="2005-04-22T00:00:00"/>
    <s v="On Hold"/>
    <n v="2"/>
    <x v="8"/>
    <n v="2005"/>
    <x v="1"/>
    <n v="85"/>
    <s v="S24_3191"/>
    <s v="The Sharp Gifts Warehouse"/>
    <n v="4085553659"/>
    <s v="3086 Ingle Ln."/>
    <m/>
    <s v="San Jose"/>
    <s v="CA"/>
    <n v="94217"/>
    <s v="USA"/>
    <s v="NA"/>
    <s v="Frick"/>
    <s v="Sue"/>
    <s v="Small"/>
    <n v="1057.29"/>
  </r>
  <r>
    <n v="10420"/>
    <n v="35"/>
    <n v="96.74"/>
    <n v="10"/>
    <n v="3385.9"/>
    <d v="2005-05-29T00:00:00"/>
    <s v="In Process"/>
    <n v="2"/>
    <x v="1"/>
    <n v="2005"/>
    <x v="1"/>
    <n v="85"/>
    <s v="S24_319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385.8999999999996"/>
  </r>
  <r>
    <n v="10108"/>
    <n v="30"/>
    <n v="63.07"/>
    <n v="5"/>
    <n v="1892.1"/>
    <d v="2003-03-03T00:00:00"/>
    <s v="Shipped"/>
    <n v="1"/>
    <x v="11"/>
    <n v="2003"/>
    <x v="1"/>
    <n v="61"/>
    <s v="S24_3371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1892.1"/>
  </r>
  <r>
    <n v="10122"/>
    <n v="34"/>
    <n v="50.21"/>
    <n v="9"/>
    <n v="1707.14"/>
    <d v="2003-05-08T00:00:00"/>
    <s v="Shipped"/>
    <n v="2"/>
    <x v="1"/>
    <n v="2003"/>
    <x v="1"/>
    <n v="61"/>
    <s v="S24_3371"/>
    <s v="Marseille Mini Autos"/>
    <s v="91.24.4555"/>
    <s v="12, rue des Bouchers"/>
    <m/>
    <s v="Marseille"/>
    <m/>
    <n v="13008"/>
    <s v="France"/>
    <s v="EMEA"/>
    <s v="Lebihan"/>
    <s v="Laurence"/>
    <s v="Small"/>
    <n v="1707.14"/>
  </r>
  <r>
    <n v="10135"/>
    <n v="27"/>
    <n v="66.13"/>
    <n v="6"/>
    <n v="1785.51"/>
    <d v="2003-07-02T00:00:00"/>
    <s v="Shipped"/>
    <n v="3"/>
    <x v="2"/>
    <n v="2003"/>
    <x v="1"/>
    <n v="61"/>
    <s v="S24_3371"/>
    <s v="Mini Gifts Distributors Ltd."/>
    <n v="4155551450"/>
    <s v="5677 Strong St."/>
    <m/>
    <s v="San Rafael"/>
    <s v="CA"/>
    <n v="97562"/>
    <s v="USA"/>
    <s v="NA"/>
    <s v="Nelson"/>
    <s v="Valarie"/>
    <s v="Small"/>
    <n v="1785.5099999999998"/>
  </r>
  <r>
    <n v="10147"/>
    <n v="30"/>
    <n v="68.58"/>
    <n v="6"/>
    <n v="2057.4"/>
    <d v="2003-09-05T00:00:00"/>
    <s v="Shipped"/>
    <n v="3"/>
    <x v="10"/>
    <n v="2003"/>
    <x v="1"/>
    <n v="61"/>
    <s v="S24_3371"/>
    <s v="Collectables For Less Inc."/>
    <n v="6175558555"/>
    <s v="7825 Douglas Av."/>
    <m/>
    <s v="Brickhaven"/>
    <s v="MA"/>
    <n v="58339"/>
    <s v="USA"/>
    <s v="NA"/>
    <s v="Nelson"/>
    <s v="Allen"/>
    <s v="Small"/>
    <n v="2057.4"/>
  </r>
  <r>
    <n v="10159"/>
    <n v="50"/>
    <n v="69.8"/>
    <n v="1"/>
    <n v="3490"/>
    <d v="2003-10-10T00:00:00"/>
    <s v="Shipped"/>
    <n v="4"/>
    <x v="4"/>
    <n v="2003"/>
    <x v="1"/>
    <n v="61"/>
    <s v="S24_3371"/>
    <s v="Corporate Gift Ideas Co."/>
    <n v="6505551386"/>
    <s v="7734 Strong St."/>
    <m/>
    <s v="San Francisco"/>
    <s v="CA"/>
    <m/>
    <s v="USA"/>
    <s v="NA"/>
    <s v="Brown"/>
    <s v="Julie"/>
    <s v="Medium"/>
    <n v="3490"/>
  </r>
  <r>
    <n v="10169"/>
    <n v="34"/>
    <n v="50.21"/>
    <n v="1"/>
    <n v="1707.14"/>
    <d v="2003-11-04T00:00:00"/>
    <s v="Shipped"/>
    <n v="4"/>
    <x v="5"/>
    <n v="2003"/>
    <x v="1"/>
    <n v="61"/>
    <s v="S24_3371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707.14"/>
  </r>
  <r>
    <n v="10181"/>
    <n v="23"/>
    <n v="65.52"/>
    <n v="13"/>
    <n v="1506.96"/>
    <d v="2003-11-12T00:00:00"/>
    <s v="Shipped"/>
    <n v="4"/>
    <x v="5"/>
    <n v="2003"/>
    <x v="1"/>
    <n v="61"/>
    <s v="S24_3371"/>
    <s v="Herkku Gifts"/>
    <s v="+47 2267 3215"/>
    <s v="Drammen 121, PR 744 Sentrum"/>
    <m/>
    <s v="Bergen"/>
    <m/>
    <s v="N 5804"/>
    <s v="Norway"/>
    <s v="EMEA"/>
    <s v="Oeztan"/>
    <s v="Veysel"/>
    <s v="Small"/>
    <n v="1506.9599999999998"/>
  </r>
  <r>
    <n v="10191"/>
    <n v="48"/>
    <n v="60.01"/>
    <n v="2"/>
    <n v="2880.48"/>
    <d v="2003-11-20T00:00:00"/>
    <s v="Shipped"/>
    <n v="4"/>
    <x v="5"/>
    <n v="2003"/>
    <x v="1"/>
    <n v="61"/>
    <s v="S24_3371"/>
    <s v="Toms Spezialitten, Ltd"/>
    <s v="0221-5554327"/>
    <s v="Mehrheimerstr. 369"/>
    <m/>
    <s v="Koln"/>
    <m/>
    <n v="50739"/>
    <s v="Germany"/>
    <s v="EMEA"/>
    <s v="Pfalzheim"/>
    <s v="Henriette"/>
    <s v="Small"/>
    <n v="2880.48"/>
  </r>
  <r>
    <n v="10203"/>
    <n v="34"/>
    <n v="64.900000000000006"/>
    <n v="7"/>
    <n v="2206.6"/>
    <d v="2003-12-02T00:00:00"/>
    <s v="Shipped"/>
    <n v="4"/>
    <x v="6"/>
    <n v="2003"/>
    <x v="1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  <n v="2206.6000000000004"/>
  </r>
  <r>
    <n v="10211"/>
    <n v="48"/>
    <n v="48.98"/>
    <n v="1"/>
    <n v="2351.04"/>
    <d v="2004-01-15T00:00:00"/>
    <s v="Shipped"/>
    <n v="1"/>
    <x v="7"/>
    <n v="2004"/>
    <x v="1"/>
    <n v="61"/>
    <s v="S24_3371"/>
    <s v="Auto Canal Petit"/>
    <s v="(1) 47.55.6555"/>
    <s v="25, rue Lauriston"/>
    <m/>
    <s v="Paris"/>
    <m/>
    <n v="75016"/>
    <s v="France"/>
    <s v="EMEA"/>
    <s v="Perrier"/>
    <s v="Dominique"/>
    <s v="Small"/>
    <n v="2351.04"/>
  </r>
  <r>
    <n v="10225"/>
    <n v="24"/>
    <n v="50.21"/>
    <n v="8"/>
    <n v="1205.04"/>
    <d v="2004-02-22T00:00:00"/>
    <s v="Shipped"/>
    <n v="1"/>
    <x v="0"/>
    <n v="2004"/>
    <x v="1"/>
    <n v="61"/>
    <s v="S24_3371"/>
    <s v="Vida Sport, Ltd"/>
    <s v="0897-034555"/>
    <s v="Grenzacherweg 237"/>
    <m/>
    <s v="Gensve"/>
    <m/>
    <n v="1203"/>
    <s v="Switzerland"/>
    <s v="EMEA"/>
    <s v="Holz"/>
    <s v="Michael"/>
    <s v="Small"/>
    <n v="1205.04"/>
  </r>
  <r>
    <n v="10238"/>
    <n v="47"/>
    <n v="62.45"/>
    <n v="2"/>
    <n v="2935.15"/>
    <d v="2004-04-09T00:00:00"/>
    <s v="Shipped"/>
    <n v="2"/>
    <x v="8"/>
    <n v="2004"/>
    <x v="1"/>
    <n v="61"/>
    <s v="S24_3371"/>
    <s v="Danish Wholesale Imports"/>
    <s v="31 12 3555"/>
    <s v="Vinb'ltet 34"/>
    <m/>
    <s v="Kobenhavn"/>
    <m/>
    <n v="1734"/>
    <s v="Denmark"/>
    <s v="EMEA"/>
    <s v="Petersen"/>
    <s v="Jytte"/>
    <s v="Small"/>
    <n v="2935.15"/>
  </r>
  <r>
    <n v="10253"/>
    <n v="24"/>
    <n v="52.66"/>
    <n v="12"/>
    <n v="1263.8399999999999"/>
    <d v="2004-06-01T00:00:00"/>
    <s v="Cancelled"/>
    <n v="2"/>
    <x v="9"/>
    <n v="2004"/>
    <x v="1"/>
    <n v="61"/>
    <s v="S24_3371"/>
    <s v="UK Collectables, Ltd."/>
    <s v="(171) 555-2282"/>
    <s v="Berkeley Gardens 12  Brewery"/>
    <m/>
    <s v="Liverpool"/>
    <m/>
    <s v="WX1 6LT"/>
    <s v="UK"/>
    <s v="EMEA"/>
    <s v="Devon"/>
    <s v="Elizabeth"/>
    <s v="Small"/>
    <n v="1263.8399999999999"/>
  </r>
  <r>
    <n v="10266"/>
    <n v="47"/>
    <n v="62.45"/>
    <n v="13"/>
    <n v="2935.15"/>
    <d v="2004-07-06T00:00:00"/>
    <s v="Shipped"/>
    <n v="3"/>
    <x v="2"/>
    <n v="2004"/>
    <x v="1"/>
    <n v="61"/>
    <s v="S24_3371"/>
    <s v="L'ordine Souveniers"/>
    <s v="0522-556555"/>
    <s v="Strada Provinciale 124"/>
    <m/>
    <s v="Reggio Emilia"/>
    <m/>
    <n v="42100"/>
    <s v="Italy"/>
    <s v="EMEA"/>
    <s v="Moroni"/>
    <s v="Maurizio"/>
    <s v="Small"/>
    <n v="2935.15"/>
  </r>
  <r>
    <n v="10276"/>
    <n v="20"/>
    <n v="61.23"/>
    <n v="2"/>
    <n v="1224.5999999999999"/>
    <d v="2004-08-02T00:00:00"/>
    <s v="Shipped"/>
    <n v="3"/>
    <x v="3"/>
    <n v="2004"/>
    <x v="1"/>
    <n v="61"/>
    <s v="S24_3371"/>
    <s v="Online Mini Collectables"/>
    <n v="6175557555"/>
    <s v="7635 Spinnaker Dr."/>
    <m/>
    <s v="Brickhaven"/>
    <s v="MA"/>
    <n v="58339"/>
    <s v="USA"/>
    <s v="NA"/>
    <s v="Barajas"/>
    <s v="Miguel"/>
    <s v="Small"/>
    <n v="1224.5999999999999"/>
  </r>
  <r>
    <n v="10287"/>
    <n v="20"/>
    <n v="67.97"/>
    <n v="11"/>
    <n v="1359.4"/>
    <d v="2004-08-30T00:00:00"/>
    <s v="Shipped"/>
    <n v="3"/>
    <x v="3"/>
    <n v="2004"/>
    <x v="1"/>
    <n v="61"/>
    <s v="S24_3371"/>
    <s v="Vida Sport, Ltd"/>
    <s v="0897-034555"/>
    <s v="Grenzacherweg 237"/>
    <m/>
    <s v="Gensve"/>
    <m/>
    <n v="1203"/>
    <s v="Switzerland"/>
    <s v="EMEA"/>
    <s v="Holz"/>
    <s v="Michael"/>
    <s v="Small"/>
    <n v="1359.4"/>
  </r>
  <r>
    <n v="10300"/>
    <n v="31"/>
    <n v="58.78"/>
    <n v="4"/>
    <n v="1822.18"/>
    <d v="2003-10-04T00:00:00"/>
    <s v="Shipped"/>
    <n v="4"/>
    <x v="4"/>
    <n v="2003"/>
    <x v="1"/>
    <n v="61"/>
    <s v="S24_3371"/>
    <s v="Blauer See Auto, Co."/>
    <s v="+49 69 66 90 2555"/>
    <s v="Lyonerstr. 34"/>
    <m/>
    <s v="Frankfurt"/>
    <m/>
    <n v="60528"/>
    <s v="Germany"/>
    <s v="EMEA"/>
    <s v="Keitel"/>
    <s v="Roland"/>
    <s v="Small"/>
    <n v="1822.18"/>
  </r>
  <r>
    <n v="10310"/>
    <n v="38"/>
    <n v="56.94"/>
    <n v="9"/>
    <n v="2163.7199999999998"/>
    <d v="2004-10-16T00:00:00"/>
    <s v="Shipped"/>
    <n v="4"/>
    <x v="4"/>
    <n v="2004"/>
    <x v="1"/>
    <n v="61"/>
    <s v="S24_3371"/>
    <s v="Toms Spezialitten, Ltd"/>
    <s v="0221-5554327"/>
    <s v="Mehrheimerstr. 369"/>
    <m/>
    <s v="Koln"/>
    <m/>
    <n v="50739"/>
    <s v="Germany"/>
    <s v="EMEA"/>
    <s v="Pfalzheim"/>
    <s v="Henriette"/>
    <s v="Small"/>
    <n v="2163.7199999999998"/>
  </r>
  <r>
    <n v="10320"/>
    <n v="26"/>
    <n v="61.23"/>
    <n v="2"/>
    <n v="1591.98"/>
    <d v="2004-11-03T00:00:00"/>
    <s v="Shipped"/>
    <n v="4"/>
    <x v="5"/>
    <n v="2004"/>
    <x v="1"/>
    <n v="61"/>
    <s v="S24_3371"/>
    <s v="Volvo Model Replicas, Co"/>
    <s v="0921-12 3555"/>
    <s v="Berguvsv„gen  8"/>
    <m/>
    <s v="Lule"/>
    <m/>
    <s v="S-958 22"/>
    <s v="Sweden"/>
    <s v="EMEA"/>
    <s v="Berglund"/>
    <s v="Christina"/>
    <s v="Small"/>
    <n v="1591.98"/>
  </r>
  <r>
    <n v="10331"/>
    <n v="25"/>
    <n v="100"/>
    <n v="9"/>
    <n v="3078.5"/>
    <d v="2004-11-17T00:00:00"/>
    <s v="Shipped"/>
    <n v="4"/>
    <x v="5"/>
    <n v="2004"/>
    <x v="1"/>
    <n v="61"/>
    <s v="S24_3371"/>
    <s v="Motor Mint Distributors Inc."/>
    <n v="2155559857"/>
    <s v="11328 Douglas Av."/>
    <m/>
    <s v="Philadelphia"/>
    <s v="PA"/>
    <n v="71270"/>
    <s v="USA"/>
    <s v="NA"/>
    <s v="Hernandez"/>
    <s v="Rosa"/>
    <s v="Medium"/>
    <n v="2500"/>
  </r>
  <r>
    <n v="10342"/>
    <n v="48"/>
    <n v="62.45"/>
    <n v="10"/>
    <n v="2997.6"/>
    <d v="2004-11-24T00:00:00"/>
    <s v="Shipped"/>
    <n v="4"/>
    <x v="5"/>
    <n v="2004"/>
    <x v="1"/>
    <n v="61"/>
    <s v="S24_337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997.6000000000004"/>
  </r>
  <r>
    <n v="10355"/>
    <n v="44"/>
    <n v="62.45"/>
    <n v="6"/>
    <n v="2747.8"/>
    <d v="2004-12-07T00:00:00"/>
    <s v="Shipped"/>
    <n v="4"/>
    <x v="6"/>
    <n v="2004"/>
    <x v="1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  <n v="2747.8"/>
  </r>
  <r>
    <n v="10363"/>
    <n v="21"/>
    <n v="100"/>
    <n v="15"/>
    <n v="2447.7600000000002"/>
    <d v="2005-01-06T00:00:00"/>
    <s v="Shipped"/>
    <n v="1"/>
    <x v="7"/>
    <n v="2005"/>
    <x v="1"/>
    <n v="61"/>
    <s v="S24_3371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2100"/>
  </r>
  <r>
    <n v="10378"/>
    <n v="46"/>
    <n v="41.54"/>
    <n v="6"/>
    <n v="1910.84"/>
    <d v="2005-02-10T00:00:00"/>
    <s v="Shipped"/>
    <n v="1"/>
    <x v="0"/>
    <n v="2005"/>
    <x v="1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  <n v="1910.84"/>
  </r>
  <r>
    <n v="10390"/>
    <n v="46"/>
    <n v="52.84"/>
    <n v="6"/>
    <n v="2430.64"/>
    <d v="2005-03-04T00:00:00"/>
    <s v="Shipped"/>
    <n v="1"/>
    <x v="11"/>
    <n v="2005"/>
    <x v="1"/>
    <n v="61"/>
    <s v="S24_3371"/>
    <s v="Mini Gifts Distributors Ltd."/>
    <n v="4155551450"/>
    <s v="5677 Strong St."/>
    <m/>
    <s v="San Rafael"/>
    <s v="CA"/>
    <n v="97562"/>
    <s v="USA"/>
    <s v="NA"/>
    <s v="Nelson"/>
    <s v="Valarie"/>
    <s v="Small"/>
    <n v="2430.6400000000003"/>
  </r>
  <r>
    <n v="10419"/>
    <n v="55"/>
    <n v="52.66"/>
    <n v="12"/>
    <n v="2896.3"/>
    <d v="2005-05-17T00:00:00"/>
    <s v="Shipped"/>
    <n v="2"/>
    <x v="1"/>
    <n v="2005"/>
    <x v="1"/>
    <n v="61"/>
    <s v="S24_3371"/>
    <s v="Salzburg Collectables"/>
    <s v="6562-9555"/>
    <s v="Geislweg 14"/>
    <m/>
    <s v="Salzburg"/>
    <m/>
    <n v="5020"/>
    <s v="Austria"/>
    <s v="EMEA"/>
    <s v="Pipps"/>
    <s v="Georg"/>
    <s v="Small"/>
    <n v="2896.2999999999997"/>
  </r>
  <r>
    <n v="10106"/>
    <n v="31"/>
    <n v="52.6"/>
    <n v="14"/>
    <n v="1630.6"/>
    <d v="2003-02-17T00:00:00"/>
    <s v="Shipped"/>
    <n v="1"/>
    <x v="0"/>
    <n v="2003"/>
    <x v="3"/>
    <n v="65"/>
    <s v="S24_3420"/>
    <s v="Rovelli Gifts"/>
    <s v="035-640555"/>
    <s v="Via Ludovico il Moro 22"/>
    <m/>
    <s v="Bergamo"/>
    <m/>
    <n v="24100"/>
    <s v="Italy"/>
    <s v="EMEA"/>
    <s v="Rovelli"/>
    <s v="Giovanni"/>
    <s v="Small"/>
    <n v="1630.6000000000001"/>
  </r>
  <r>
    <n v="10119"/>
    <n v="20"/>
    <n v="72.98"/>
    <n v="5"/>
    <n v="1459.6"/>
    <d v="2003-04-28T00:00:00"/>
    <s v="Shipped"/>
    <n v="2"/>
    <x v="8"/>
    <n v="2003"/>
    <x v="3"/>
    <n v="65"/>
    <s v="S24_3420"/>
    <s v="Salzburg Collectables"/>
    <s v="6562-9555"/>
    <s v="Geislweg 14"/>
    <m/>
    <s v="Salzburg"/>
    <m/>
    <n v="5020"/>
    <s v="Austria"/>
    <s v="EMEA"/>
    <s v="Pipps"/>
    <s v="Georg"/>
    <s v="Small"/>
    <n v="1459.6000000000001"/>
  </r>
  <r>
    <n v="10131"/>
    <n v="29"/>
    <n v="59.18"/>
    <n v="6"/>
    <n v="1716.22"/>
    <d v="2003-06-16T00:00:00"/>
    <s v="Shipped"/>
    <n v="2"/>
    <x v="9"/>
    <n v="2003"/>
    <x v="3"/>
    <n v="65"/>
    <s v="S24_3420"/>
    <s v="Gift Ideas Corp."/>
    <n v="2035554407"/>
    <s v="2440 Pompton St."/>
    <m/>
    <s v="Glendale"/>
    <s v="CT"/>
    <n v="97561"/>
    <s v="USA"/>
    <s v="NA"/>
    <s v="Lewis"/>
    <s v="Dan"/>
    <s v="Small"/>
    <n v="1716.22"/>
  </r>
  <r>
    <n v="10143"/>
    <n v="33"/>
    <n v="77.59"/>
    <n v="9"/>
    <n v="2560.4699999999998"/>
    <d v="2003-08-10T00:00:00"/>
    <s v="Shipped"/>
    <n v="3"/>
    <x v="3"/>
    <n v="2003"/>
    <x v="3"/>
    <n v="65"/>
    <s v="S24_3420"/>
    <s v="Mini Creations Ltd."/>
    <n v="5085559555"/>
    <s v="4575 Hillside Dr."/>
    <m/>
    <s v="New Bedford"/>
    <s v="MA"/>
    <n v="50553"/>
    <s v="USA"/>
    <s v="NA"/>
    <s v="Tam"/>
    <s v="Wing C"/>
    <s v="Small"/>
    <n v="2560.4700000000003"/>
  </r>
  <r>
    <n v="10155"/>
    <n v="34"/>
    <n v="55.89"/>
    <n v="7"/>
    <n v="1900.26"/>
    <d v="2003-10-06T00:00:00"/>
    <s v="Shipped"/>
    <n v="4"/>
    <x v="4"/>
    <n v="2003"/>
    <x v="3"/>
    <n v="65"/>
    <s v="S24_3420"/>
    <s v="Toys of Finland, Co."/>
    <s v="90-224 8555"/>
    <s v="Keskuskatu 45"/>
    <m/>
    <s v="Helsinki"/>
    <m/>
    <n v="21240"/>
    <s v="Finland"/>
    <s v="EMEA"/>
    <s v="Karttunen"/>
    <s v="Matti"/>
    <s v="Small"/>
    <n v="1900.26"/>
  </r>
  <r>
    <n v="10167"/>
    <n v="32"/>
    <n v="63.12"/>
    <n v="3"/>
    <n v="2019.84"/>
    <d v="2003-10-23T00:00:00"/>
    <s v="Cancelled"/>
    <n v="4"/>
    <x v="4"/>
    <n v="2003"/>
    <x v="3"/>
    <n v="65"/>
    <s v="S24_3420"/>
    <s v="Scandinavian Gift Ideas"/>
    <s v="0695-34 6555"/>
    <s v="?kergatan 24"/>
    <m/>
    <s v="Boras"/>
    <m/>
    <s v="S-844 67"/>
    <s v="Sweden"/>
    <s v="EMEA"/>
    <s v="Larsson"/>
    <s v="Maria"/>
    <s v="Small"/>
    <n v="2019.84"/>
  </r>
  <r>
    <n v="10178"/>
    <n v="27"/>
    <n v="73.64"/>
    <n v="6"/>
    <n v="1988.28"/>
    <d v="2003-11-08T00:00:00"/>
    <s v="Shipped"/>
    <n v="4"/>
    <x v="5"/>
    <n v="2003"/>
    <x v="3"/>
    <n v="65"/>
    <s v="S24_3420"/>
    <s v="Alpha Cognac"/>
    <s v="61.77.6555"/>
    <s v="1 rue Alsace-Lorraine"/>
    <m/>
    <s v="Toulouse"/>
    <m/>
    <n v="31000"/>
    <s v="France"/>
    <s v="EMEA"/>
    <s v="Roulet"/>
    <s v="Annette"/>
    <s v="Small"/>
    <n v="1988.28"/>
  </r>
  <r>
    <n v="10186"/>
    <n v="21"/>
    <n v="69.040000000000006"/>
    <n v="3"/>
    <n v="1449.84"/>
    <d v="2003-11-14T00:00:00"/>
    <s v="Shipped"/>
    <n v="4"/>
    <x v="5"/>
    <n v="2003"/>
    <x v="3"/>
    <n v="65"/>
    <s v="S24_3420"/>
    <s v="Double Decker Gift Stores, Ltd"/>
    <s v="(171) 555-7555"/>
    <s v="120 Hanover Sq."/>
    <m/>
    <s v="London"/>
    <m/>
    <s v="WA1 1DP"/>
    <s v="UK"/>
    <s v="EMEA"/>
    <s v="Hardy"/>
    <s v="Thomas"/>
    <s v="Small"/>
    <n v="1449.8400000000001"/>
  </r>
  <r>
    <n v="10198"/>
    <n v="27"/>
    <n v="71.67"/>
    <n v="6"/>
    <n v="1935.09"/>
    <d v="2003-11-27T00:00:00"/>
    <s v="Shipped"/>
    <n v="4"/>
    <x v="5"/>
    <n v="2003"/>
    <x v="3"/>
    <n v="65"/>
    <s v="S24_342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1935.0900000000001"/>
  </r>
  <r>
    <n v="10209"/>
    <n v="36"/>
    <n v="77.59"/>
    <n v="2"/>
    <n v="2793.24"/>
    <d v="2004-01-09T00:00:00"/>
    <s v="Shipped"/>
    <n v="1"/>
    <x v="7"/>
    <n v="2004"/>
    <x v="3"/>
    <n v="65"/>
    <s v="S24_3420"/>
    <s v="Men 'R' US Retailers, Ltd."/>
    <n v="2155554369"/>
    <s v="6047 Douglas Av."/>
    <m/>
    <s v="Los Angeles"/>
    <s v="CA"/>
    <m/>
    <s v="USA"/>
    <s v="NA"/>
    <s v="Chandler"/>
    <s v="Michael"/>
    <s v="Small"/>
    <n v="2793.2400000000002"/>
  </r>
  <r>
    <n v="10222"/>
    <n v="43"/>
    <n v="70.349999999999994"/>
    <n v="6"/>
    <n v="3025.05"/>
    <d v="2004-02-19T00:00:00"/>
    <s v="Shipped"/>
    <n v="1"/>
    <x v="0"/>
    <n v="2004"/>
    <x v="3"/>
    <n v="65"/>
    <s v="S24_3420"/>
    <s v="Collectable Mini Designs Co."/>
    <n v="7605558146"/>
    <s v="361 Furth Circle"/>
    <m/>
    <s v="San Diego"/>
    <s v="CA"/>
    <n v="91217"/>
    <s v="USA"/>
    <s v="NA"/>
    <s v="Thompson"/>
    <s v="Valarie"/>
    <s v="Medium"/>
    <n v="3025.0499999999997"/>
  </r>
  <r>
    <n v="10249"/>
    <n v="25"/>
    <n v="69.7"/>
    <n v="2"/>
    <n v="1742.5"/>
    <d v="2004-05-08T00:00:00"/>
    <s v="Shipped"/>
    <n v="2"/>
    <x v="1"/>
    <n v="2004"/>
    <x v="3"/>
    <n v="65"/>
    <s v="S24_3420"/>
    <s v="Cambridge Collectables Co."/>
    <n v="6175555555"/>
    <s v="4658 Baden Av."/>
    <m/>
    <s v="Cambridge"/>
    <s v="MA"/>
    <n v="51247"/>
    <s v="USA"/>
    <s v="NA"/>
    <s v="Tseng"/>
    <s v="Kyung"/>
    <s v="Small"/>
    <n v="1742.5"/>
  </r>
  <r>
    <n v="10262"/>
    <n v="46"/>
    <n v="70.349999999999994"/>
    <n v="11"/>
    <n v="3236.1"/>
    <d v="2004-06-24T00:00:00"/>
    <s v="Cancelled"/>
    <n v="2"/>
    <x v="9"/>
    <n v="2004"/>
    <x v="3"/>
    <n v="65"/>
    <s v="S24_3420"/>
    <s v="Euro Shopping Channel"/>
    <s v="(91) 555 94 44"/>
    <s v="C/ Moralzarzal, 86"/>
    <m/>
    <s v="Madrid"/>
    <m/>
    <n v="28034"/>
    <s v="Spain"/>
    <s v="EMEA"/>
    <s v="Freyre"/>
    <s v="Diego"/>
    <s v="Medium"/>
    <n v="3236.1"/>
  </r>
  <r>
    <n v="10274"/>
    <n v="24"/>
    <n v="72.33"/>
    <n v="3"/>
    <n v="1735.92"/>
    <d v="2004-07-21T00:00:00"/>
    <s v="Shipped"/>
    <n v="3"/>
    <x v="2"/>
    <n v="2004"/>
    <x v="3"/>
    <n v="65"/>
    <s v="S24_3420"/>
    <s v="Collectables For Less Inc."/>
    <n v="6175558555"/>
    <s v="7825 Douglas Av."/>
    <m/>
    <s v="Brickhaven"/>
    <s v="MA"/>
    <n v="58339"/>
    <s v="USA"/>
    <s v="NA"/>
    <s v="Nelson"/>
    <s v="Allen"/>
    <s v="Small"/>
    <n v="1735.92"/>
  </r>
  <r>
    <n v="10284"/>
    <n v="39"/>
    <n v="71.67"/>
    <n v="13"/>
    <n v="2795.13"/>
    <d v="2004-08-21T00:00:00"/>
    <s v="Shipped"/>
    <n v="3"/>
    <x v="3"/>
    <n v="2004"/>
    <x v="3"/>
    <n v="65"/>
    <s v="S24_3420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2795.13"/>
  </r>
  <r>
    <n v="10296"/>
    <n v="31"/>
    <n v="53.92"/>
    <n v="9"/>
    <n v="1671.52"/>
    <d v="2004-09-15T00:00:00"/>
    <s v="Shipped"/>
    <n v="3"/>
    <x v="10"/>
    <n v="2004"/>
    <x v="3"/>
    <n v="65"/>
    <s v="S24_3420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1671.52"/>
  </r>
  <r>
    <n v="10307"/>
    <n v="22"/>
    <n v="71.67"/>
    <n v="3"/>
    <n v="1576.74"/>
    <d v="2004-10-14T00:00:00"/>
    <s v="Shipped"/>
    <n v="4"/>
    <x v="4"/>
    <n v="2004"/>
    <x v="3"/>
    <n v="65"/>
    <s v="S24_3420"/>
    <s v="Classic Gift Ideas, Inc"/>
    <n v="2155554695"/>
    <s v="782 First Street"/>
    <m/>
    <s v="Philadelphia"/>
    <s v="PA"/>
    <n v="71270"/>
    <s v="USA"/>
    <s v="NA"/>
    <s v="Cervantes"/>
    <s v="Francisca"/>
    <s v="Small"/>
    <n v="1576.74"/>
  </r>
  <r>
    <n v="10316"/>
    <n v="47"/>
    <n v="76.930000000000007"/>
    <n v="11"/>
    <n v="3615.71"/>
    <d v="2004-11-01T00:00:00"/>
    <s v="Shipped"/>
    <n v="4"/>
    <x v="5"/>
    <n v="2004"/>
    <x v="3"/>
    <n v="65"/>
    <s v="S24_3420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3615.7100000000005"/>
  </r>
  <r>
    <n v="10328"/>
    <n v="20"/>
    <n v="72.98"/>
    <n v="2"/>
    <n v="1459.6"/>
    <d v="2004-11-12T00:00:00"/>
    <s v="Shipped"/>
    <n v="4"/>
    <x v="5"/>
    <n v="2004"/>
    <x v="3"/>
    <n v="65"/>
    <s v="S24_3420"/>
    <s v="Rovelli Gifts"/>
    <s v="035-640555"/>
    <s v="Via Ludovico il Moro 22"/>
    <m/>
    <s v="Bergamo"/>
    <m/>
    <n v="24100"/>
    <s v="Italy"/>
    <s v="EMEA"/>
    <s v="Rovelli"/>
    <s v="Giovanni"/>
    <s v="Small"/>
    <n v="1459.6000000000001"/>
  </r>
  <r>
    <n v="10339"/>
    <n v="29"/>
    <n v="99.69"/>
    <n v="14"/>
    <n v="2891.01"/>
    <d v="2004-11-23T00:00:00"/>
    <s v="Shipped"/>
    <n v="4"/>
    <x v="5"/>
    <n v="2004"/>
    <x v="3"/>
    <n v="65"/>
    <s v="S24_3420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891.0099999999998"/>
  </r>
  <r>
    <n v="10351"/>
    <n v="38"/>
    <n v="68.38"/>
    <n v="4"/>
    <n v="2598.44"/>
    <d v="2004-12-03T00:00:00"/>
    <s v="Shipped"/>
    <n v="4"/>
    <x v="6"/>
    <n v="2004"/>
    <x v="3"/>
    <n v="65"/>
    <s v="S24_3420"/>
    <s v="Stylish Desk Decors, Co."/>
    <s v="(171) 555-0297"/>
    <s v="35 King George"/>
    <m/>
    <s v="London"/>
    <m/>
    <s v="WX3 6FW"/>
    <s v="UK"/>
    <s v="EMEA"/>
    <s v="Brown"/>
    <s v="Ann"/>
    <s v="Small"/>
    <n v="2598.4399999999996"/>
  </r>
  <r>
    <n v="10361"/>
    <n v="34"/>
    <n v="100"/>
    <n v="6"/>
    <n v="3871.92"/>
    <d v="2004-12-17T00:00:00"/>
    <s v="Shipped"/>
    <n v="4"/>
    <x v="6"/>
    <n v="2004"/>
    <x v="3"/>
    <n v="65"/>
    <s v="S24_342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400"/>
  </r>
  <r>
    <n v="10373"/>
    <n v="46"/>
    <n v="66"/>
    <n v="11"/>
    <n v="3036"/>
    <d v="2005-01-31T00:00:00"/>
    <s v="Shipped"/>
    <n v="1"/>
    <x v="7"/>
    <n v="2005"/>
    <x v="3"/>
    <n v="65"/>
    <s v="S24_3420"/>
    <s v="Oulu Toy Supplies, Inc."/>
    <s v="981-443655"/>
    <s v="Torikatu 38"/>
    <m/>
    <s v="Oulu"/>
    <m/>
    <n v="90110"/>
    <s v="Finland"/>
    <s v="EMEA"/>
    <s v="Koskitalo"/>
    <s v="Pirkko"/>
    <s v="Medium"/>
    <n v="3036"/>
  </r>
  <r>
    <n v="10386"/>
    <n v="35"/>
    <n v="63.76"/>
    <n v="9"/>
    <n v="2231.6"/>
    <d v="2005-03-01T00:00:00"/>
    <s v="Resolved"/>
    <n v="1"/>
    <x v="11"/>
    <n v="2005"/>
    <x v="3"/>
    <n v="65"/>
    <s v="S24_3420"/>
    <s v="Euro Shopping Channel"/>
    <s v="(91) 555 94 44"/>
    <s v="C/ Moralzarzal, 86"/>
    <m/>
    <s v="Madrid"/>
    <m/>
    <n v="28034"/>
    <s v="Spain"/>
    <s v="EMEA"/>
    <s v="Freyre"/>
    <s v="Diego"/>
    <s v="Small"/>
    <n v="2231.6"/>
  </r>
  <r>
    <n v="10398"/>
    <n v="34"/>
    <n v="71.67"/>
    <n v="13"/>
    <n v="2436.7800000000002"/>
    <d v="2005-03-30T00:00:00"/>
    <s v="Shipped"/>
    <n v="1"/>
    <x v="11"/>
    <n v="2005"/>
    <x v="3"/>
    <n v="65"/>
    <s v="S24_3420"/>
    <s v="Reims Collectables"/>
    <s v="26.47.1555"/>
    <s v="59 rue de l'Abbaye"/>
    <m/>
    <s v="Reims"/>
    <m/>
    <n v="51100"/>
    <s v="France"/>
    <s v="EMEA"/>
    <s v="Henriot"/>
    <s v="Paul"/>
    <s v="Small"/>
    <n v="2436.7800000000002"/>
  </r>
  <r>
    <n v="10400"/>
    <n v="38"/>
    <n v="57.2"/>
    <n v="3"/>
    <n v="2173.6"/>
    <d v="2005-04-01T00:00:00"/>
    <s v="Shipped"/>
    <n v="2"/>
    <x v="8"/>
    <n v="2005"/>
    <x v="3"/>
    <n v="65"/>
    <s v="S24_3420"/>
    <s v="The Sharp Gifts Warehouse"/>
    <n v="4085553659"/>
    <s v="3086 Ingle Ln."/>
    <m/>
    <s v="San Jose"/>
    <s v="CA"/>
    <n v="94217"/>
    <s v="USA"/>
    <s v="NA"/>
    <s v="Frick"/>
    <s v="Sue"/>
    <s v="Small"/>
    <n v="2173.6"/>
  </r>
  <r>
    <n v="10415"/>
    <n v="18"/>
    <n v="69.7"/>
    <n v="2"/>
    <n v="1254.5999999999999"/>
    <d v="2005-05-09T00:00:00"/>
    <s v="Disputed"/>
    <n v="2"/>
    <x v="1"/>
    <n v="2005"/>
    <x v="3"/>
    <n v="65"/>
    <s v="S24_3420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1254.6000000000001"/>
  </r>
  <r>
    <n v="10110"/>
    <n v="37"/>
    <n v="100"/>
    <n v="14"/>
    <n v="3724.42"/>
    <d v="2003-03-18T00:00:00"/>
    <s v="Shipped"/>
    <n v="1"/>
    <x v="11"/>
    <n v="2003"/>
    <x v="1"/>
    <n v="107"/>
    <s v="S24_3432"/>
    <s v="AV Stores, Co."/>
    <s v="(171) 555-1555"/>
    <s v="Fauntleroy Circus"/>
    <m/>
    <s v="Manchester"/>
    <m/>
    <s v="EC2 5NT"/>
    <s v="UK"/>
    <s v="EMEA"/>
    <s v="Ashworth"/>
    <s v="Victoria"/>
    <s v="Medium"/>
    <n v="3700"/>
  </r>
  <r>
    <n v="10124"/>
    <n v="43"/>
    <n v="100"/>
    <n v="13"/>
    <n v="5203"/>
    <d v="2003-05-21T00:00:00"/>
    <s v="Shipped"/>
    <n v="2"/>
    <x v="1"/>
    <n v="2003"/>
    <x v="1"/>
    <n v="107"/>
    <s v="S24_3432"/>
    <s v="Signal Gift Stores"/>
    <n v="7025551838"/>
    <s v="8489 Strong St."/>
    <m/>
    <s v="Las Vegas"/>
    <s v="NV"/>
    <n v="83030"/>
    <s v="USA"/>
    <s v="NA"/>
    <s v="King"/>
    <s v="Sue"/>
    <s v="Medium"/>
    <n v="4300"/>
  </r>
  <r>
    <n v="10148"/>
    <n v="27"/>
    <n v="100"/>
    <n v="7"/>
    <n v="3469.5"/>
    <d v="2003-09-11T00:00:00"/>
    <s v="Shipped"/>
    <n v="3"/>
    <x v="10"/>
    <n v="2003"/>
    <x v="1"/>
    <n v="107"/>
    <s v="S24_343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2700"/>
  </r>
  <r>
    <n v="10161"/>
    <n v="30"/>
    <n v="100"/>
    <n v="6"/>
    <n v="3148.2"/>
    <d v="2003-10-17T00:00:00"/>
    <s v="Shipped"/>
    <n v="4"/>
    <x v="4"/>
    <n v="2003"/>
    <x v="1"/>
    <n v="107"/>
    <s v="S24_3432"/>
    <s v="Heintze Collectables"/>
    <s v="86 21 3555"/>
    <s v="Smagsloget 45"/>
    <m/>
    <s v="Aaarhus"/>
    <m/>
    <n v="8200"/>
    <s v="Denmark"/>
    <s v="EMEA"/>
    <s v="Ibsen"/>
    <s v="Palle"/>
    <s v="Medium"/>
    <n v="3000"/>
  </r>
  <r>
    <n v="10172"/>
    <n v="22"/>
    <n v="98.51"/>
    <n v="4"/>
    <n v="2167.2199999999998"/>
    <d v="2003-11-05T00:00:00"/>
    <s v="Shipped"/>
    <n v="4"/>
    <x v="5"/>
    <n v="2003"/>
    <x v="1"/>
    <n v="107"/>
    <s v="S24_3432"/>
    <s v="Gift Depot Inc."/>
    <n v="2035552570"/>
    <s v="25593 South Bay Ln."/>
    <m/>
    <s v="Bridgewater"/>
    <s v="CT"/>
    <n v="97562"/>
    <s v="USA"/>
    <s v="NA"/>
    <s v="King"/>
    <s v="Julie"/>
    <s v="Small"/>
    <n v="2167.2200000000003"/>
  </r>
  <r>
    <n v="10182"/>
    <n v="49"/>
    <n v="100"/>
    <n v="17"/>
    <n v="6244.07"/>
    <d v="2003-11-12T00:00:00"/>
    <s v="Shipped"/>
    <n v="4"/>
    <x v="5"/>
    <n v="2003"/>
    <x v="1"/>
    <n v="107"/>
    <s v="S24_3432"/>
    <s v="Mini Gifts Distributors Ltd."/>
    <n v="4155551450"/>
    <s v="5677 Strong St."/>
    <m/>
    <s v="San Rafael"/>
    <s v="CA"/>
    <n v="97562"/>
    <s v="USA"/>
    <s v="NA"/>
    <s v="Nelson"/>
    <s v="Valarie"/>
    <s v="Medium"/>
    <n v="4900"/>
  </r>
  <r>
    <n v="10192"/>
    <n v="46"/>
    <n v="100"/>
    <n v="5"/>
    <n v="5566"/>
    <d v="2003-11-20T00:00:00"/>
    <s v="Shipped"/>
    <n v="4"/>
    <x v="5"/>
    <n v="2003"/>
    <x v="1"/>
    <n v="107"/>
    <s v="S24_3432"/>
    <s v="Online Diecast Creations Co."/>
    <n v="6035558647"/>
    <s v="2304 Long Airport Avenue"/>
    <m/>
    <s v="Nashua"/>
    <s v="NH"/>
    <n v="62005"/>
    <s v="USA"/>
    <s v="NA"/>
    <s v="Young"/>
    <s v="Valarie"/>
    <s v="Medium"/>
    <n v="4600"/>
  </r>
  <r>
    <n v="10204"/>
    <n v="48"/>
    <n v="91.02"/>
    <n v="11"/>
    <n v="4368.96"/>
    <d v="2003-12-02T00:00:00"/>
    <s v="Shipped"/>
    <n v="4"/>
    <x v="6"/>
    <n v="2003"/>
    <x v="1"/>
    <n v="107"/>
    <s v="S24_3432"/>
    <s v="Muscle Machine Inc"/>
    <n v="2125557413"/>
    <s v="4092 Furth Circle"/>
    <s v="Suite 400"/>
    <s v="NYC"/>
    <s v="NY"/>
    <n v="10022"/>
    <s v="USA"/>
    <s v="NA"/>
    <s v="Young"/>
    <s v="Jeff"/>
    <s v="Medium"/>
    <n v="4368.96"/>
  </r>
  <r>
    <n v="10212"/>
    <n v="46"/>
    <n v="87.81"/>
    <n v="4"/>
    <n v="4039.26"/>
    <d v="2004-01-16T00:00:00"/>
    <s v="Shipped"/>
    <n v="1"/>
    <x v="7"/>
    <n v="2004"/>
    <x v="1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  <n v="4039.26"/>
  </r>
  <r>
    <n v="10226"/>
    <n v="48"/>
    <n v="92.09"/>
    <n v="2"/>
    <n v="4420.32"/>
    <d v="2004-02-26T00:00:00"/>
    <s v="Shipped"/>
    <n v="1"/>
    <x v="0"/>
    <n v="2004"/>
    <x v="1"/>
    <n v="107"/>
    <s v="S24_3432"/>
    <s v="Collectable Mini Designs Co."/>
    <n v="7605558146"/>
    <s v="361 Furth Circle"/>
    <m/>
    <s v="San Diego"/>
    <s v="CA"/>
    <n v="91217"/>
    <s v="USA"/>
    <s v="NA"/>
    <s v="Thompson"/>
    <s v="Valarie"/>
    <s v="Medium"/>
    <n v="4420.32"/>
  </r>
  <r>
    <n v="10241"/>
    <n v="27"/>
    <n v="86.73"/>
    <n v="9"/>
    <n v="2341.71"/>
    <d v="2004-04-13T00:00:00"/>
    <s v="Shipped"/>
    <n v="2"/>
    <x v="8"/>
    <n v="2004"/>
    <x v="1"/>
    <n v="107"/>
    <s v="S24_3432"/>
    <s v="Mini Caravy"/>
    <s v="88.60.1555"/>
    <s v="24, place Kluber"/>
    <m/>
    <s v="Strasbourg"/>
    <m/>
    <n v="67000"/>
    <s v="France"/>
    <s v="EMEA"/>
    <s v="Citeaux"/>
    <s v="Frederique"/>
    <s v="Small"/>
    <n v="2341.71"/>
  </r>
  <r>
    <n v="10267"/>
    <n v="43"/>
    <n v="100"/>
    <n v="6"/>
    <n v="5110.9799999999996"/>
    <d v="2004-07-07T00:00:00"/>
    <s v="Shipped"/>
    <n v="3"/>
    <x v="2"/>
    <n v="2004"/>
    <x v="1"/>
    <n v="107"/>
    <s v="S24_3432"/>
    <s v="Muscle Machine Inc"/>
    <n v="2125557413"/>
    <s v="4092 Furth Circle"/>
    <s v="Suite 400"/>
    <s v="NYC"/>
    <s v="NY"/>
    <n v="10022"/>
    <s v="USA"/>
    <s v="NA"/>
    <s v="Young"/>
    <s v="Jeff"/>
    <s v="Medium"/>
    <n v="4300"/>
  </r>
  <r>
    <n v="10279"/>
    <n v="48"/>
    <n v="100"/>
    <n v="6"/>
    <n v="6168"/>
    <d v="2004-08-09T00:00:00"/>
    <s v="Shipped"/>
    <n v="3"/>
    <x v="3"/>
    <n v="2004"/>
    <x v="1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  <n v="4800"/>
  </r>
  <r>
    <n v="10288"/>
    <n v="41"/>
    <n v="100"/>
    <n v="12"/>
    <n v="4873.26"/>
    <d v="2004-09-01T00:00:00"/>
    <s v="Shipped"/>
    <n v="3"/>
    <x v="10"/>
    <n v="2004"/>
    <x v="1"/>
    <n v="107"/>
    <s v="S24_3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4100"/>
  </r>
  <r>
    <n v="10301"/>
    <n v="22"/>
    <n v="96.37"/>
    <n v="2"/>
    <n v="2120.14"/>
    <d v="2003-10-05T00:00:00"/>
    <s v="Shipped"/>
    <n v="4"/>
    <x v="4"/>
    <n v="2003"/>
    <x v="1"/>
    <n v="107"/>
    <s v="S24_3432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2120.1400000000003"/>
  </r>
  <r>
    <n v="10311"/>
    <n v="46"/>
    <n v="92.09"/>
    <n v="7"/>
    <n v="4236.1400000000003"/>
    <d v="2004-10-16T00:00:00"/>
    <s v="Shipped"/>
    <n v="4"/>
    <x v="4"/>
    <n v="2004"/>
    <x v="1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  <n v="4236.1400000000003"/>
  </r>
  <r>
    <n v="10321"/>
    <n v="21"/>
    <n v="89.95"/>
    <n v="4"/>
    <n v="1888.95"/>
    <d v="2004-11-04T00:00:00"/>
    <s v="Shipped"/>
    <n v="4"/>
    <x v="5"/>
    <n v="2004"/>
    <x v="1"/>
    <n v="107"/>
    <s v="S24_3432"/>
    <s v="FunGiftIdeas.com"/>
    <n v="5085552555"/>
    <s v="1785 First Street"/>
    <m/>
    <s v="New Bedford"/>
    <s v="MA"/>
    <n v="50553"/>
    <s v="USA"/>
    <s v="NA"/>
    <s v="Benitez"/>
    <s v="Violeta"/>
    <s v="Small"/>
    <n v="1888.95"/>
  </r>
  <r>
    <n v="10332"/>
    <n v="31"/>
    <n v="37.18"/>
    <n v="13"/>
    <n v="1152.58"/>
    <d v="2004-11-17T00:00:00"/>
    <s v="Shipped"/>
    <n v="4"/>
    <x v="5"/>
    <n v="2004"/>
    <x v="1"/>
    <n v="107"/>
    <s v="S24_3432"/>
    <s v="AV Stores, Co."/>
    <s v="(171) 555-1555"/>
    <s v="Fauntleroy Circus"/>
    <m/>
    <s v="Manchester"/>
    <m/>
    <s v="EC2 5NT"/>
    <s v="UK"/>
    <s v="EMEA"/>
    <s v="Ashworth"/>
    <s v="Victoria"/>
    <s v="Small"/>
    <n v="1152.58"/>
  </r>
  <r>
    <n v="10346"/>
    <n v="26"/>
    <n v="95.88"/>
    <n v="6"/>
    <n v="2492.88"/>
    <d v="2004-11-29T00:00:00"/>
    <s v="Shipped"/>
    <n v="4"/>
    <x v="5"/>
    <n v="2004"/>
    <x v="1"/>
    <n v="107"/>
    <s v="S24_3432"/>
    <s v="Signal Gift Stores"/>
    <n v="7025551838"/>
    <s v="8489 Strong St."/>
    <m/>
    <s v="Las Vegas"/>
    <s v="NV"/>
    <n v="83030"/>
    <s v="USA"/>
    <s v="NA"/>
    <s v="King"/>
    <s v="Sue"/>
    <s v="Small"/>
    <n v="2492.88"/>
  </r>
  <r>
    <n v="10368"/>
    <n v="20"/>
    <n v="99.58"/>
    <n v="4"/>
    <n v="1991.6"/>
    <d v="2005-01-19T00:00:00"/>
    <s v="Shipped"/>
    <n v="1"/>
    <x v="7"/>
    <n v="2005"/>
    <x v="1"/>
    <n v="107"/>
    <s v="S24_3432"/>
    <s v="Mini Gifts Distributors Ltd."/>
    <n v="4155551450"/>
    <s v="5677 Strong St."/>
    <m/>
    <s v="San Rafael"/>
    <s v="CA"/>
    <n v="97562"/>
    <s v="USA"/>
    <s v="NA"/>
    <s v="Nelson"/>
    <s v="Valarie"/>
    <s v="Small"/>
    <n v="1991.6"/>
  </r>
  <r>
    <n v="10380"/>
    <n v="34"/>
    <n v="100"/>
    <n v="11"/>
    <n v="3953.18"/>
    <d v="2005-02-16T00:00:00"/>
    <s v="Shipped"/>
    <n v="1"/>
    <x v="0"/>
    <n v="2005"/>
    <x v="1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  <n v="3400"/>
  </r>
  <r>
    <n v="10407"/>
    <n v="43"/>
    <n v="86.73"/>
    <n v="9"/>
    <n v="3729.39"/>
    <d v="2005-04-22T00:00:00"/>
    <s v="On Hold"/>
    <n v="2"/>
    <x v="8"/>
    <n v="2005"/>
    <x v="1"/>
    <n v="107"/>
    <s v="S24_3432"/>
    <s v="The Sharp Gifts Warehouse"/>
    <n v="4085553659"/>
    <s v="3086 Ingle Ln."/>
    <m/>
    <s v="San Jose"/>
    <s v="CA"/>
    <n v="94217"/>
    <s v="USA"/>
    <s v="NA"/>
    <s v="Frick"/>
    <s v="Sue"/>
    <s v="Medium"/>
    <n v="3729.3900000000003"/>
  </r>
  <r>
    <n v="10420"/>
    <n v="26"/>
    <n v="100"/>
    <n v="12"/>
    <n v="2617.16"/>
    <d v="2005-05-29T00:00:00"/>
    <s v="In Process"/>
    <n v="2"/>
    <x v="1"/>
    <n v="2005"/>
    <x v="1"/>
    <n v="107"/>
    <s v="S24_343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600"/>
  </r>
  <r>
    <n v="10105"/>
    <n v="50"/>
    <n v="79.67"/>
    <n v="1"/>
    <n v="3983.5"/>
    <d v="2003-02-11T00:00:00"/>
    <s v="Shipped"/>
    <n v="1"/>
    <x v="0"/>
    <n v="2003"/>
    <x v="3"/>
    <n v="83"/>
    <s v="S24_3816"/>
    <s v="Danish Wholesale Imports"/>
    <s v="31 12 3555"/>
    <s v="Vinb'ltet 34"/>
    <m/>
    <s v="Kobenhavn"/>
    <m/>
    <n v="1734"/>
    <s v="Denmark"/>
    <s v="EMEA"/>
    <s v="Petersen"/>
    <s v="Jytte"/>
    <s v="Medium"/>
    <n v="3983.5"/>
  </r>
  <r>
    <n v="10119"/>
    <n v="35"/>
    <n v="90.57"/>
    <n v="10"/>
    <n v="3169.95"/>
    <d v="2003-04-28T00:00:00"/>
    <s v="Shipped"/>
    <n v="2"/>
    <x v="8"/>
    <n v="2003"/>
    <x v="3"/>
    <n v="83"/>
    <s v="S24_3816"/>
    <s v="Salzburg Collectables"/>
    <s v="6562-9555"/>
    <s v="Geislweg 14"/>
    <m/>
    <s v="Salzburg"/>
    <m/>
    <n v="5020"/>
    <s v="Austria"/>
    <s v="EMEA"/>
    <s v="Pipps"/>
    <s v="Georg"/>
    <s v="Medium"/>
    <n v="3169.95"/>
  </r>
  <r>
    <n v="10129"/>
    <n v="50"/>
    <n v="77.989999999999995"/>
    <n v="1"/>
    <n v="3899.5"/>
    <d v="2003-06-12T00:00:00"/>
    <s v="Shipped"/>
    <n v="2"/>
    <x v="9"/>
    <n v="2003"/>
    <x v="3"/>
    <n v="83"/>
    <s v="S24_3816"/>
    <s v="Stylish Desk Decors, Co."/>
    <s v="(171) 555-0297"/>
    <s v="35 King George"/>
    <m/>
    <s v="London"/>
    <m/>
    <s v="WX3 6FW"/>
    <s v="UK"/>
    <s v="EMEA"/>
    <s v="Brown"/>
    <s v="Ann"/>
    <s v="Medium"/>
    <n v="3899.4999999999995"/>
  </r>
  <r>
    <n v="10143"/>
    <n v="23"/>
    <n v="80.510000000000005"/>
    <n v="14"/>
    <n v="1851.73"/>
    <d v="2003-08-10T00:00:00"/>
    <s v="Shipped"/>
    <n v="3"/>
    <x v="3"/>
    <n v="2003"/>
    <x v="3"/>
    <n v="83"/>
    <s v="S24_3816"/>
    <s v="Mini Creations Ltd."/>
    <n v="5085559555"/>
    <s v="4575 Hillside Dr."/>
    <m/>
    <s v="New Bedford"/>
    <s v="MA"/>
    <n v="50553"/>
    <s v="USA"/>
    <s v="NA"/>
    <s v="Tam"/>
    <s v="Wing C"/>
    <s v="Small"/>
    <n v="1851.73"/>
  </r>
  <r>
    <n v="10155"/>
    <n v="37"/>
    <n v="67.930000000000007"/>
    <n v="12"/>
    <n v="2513.41"/>
    <d v="2003-10-06T00:00:00"/>
    <s v="Shipped"/>
    <n v="4"/>
    <x v="4"/>
    <n v="2003"/>
    <x v="3"/>
    <n v="83"/>
    <s v="S24_3816"/>
    <s v="Toys of Finland, Co."/>
    <s v="90-224 8555"/>
    <s v="Keskuskatu 45"/>
    <m/>
    <s v="Helsinki"/>
    <m/>
    <n v="21240"/>
    <s v="Finland"/>
    <s v="EMEA"/>
    <s v="Karttunen"/>
    <s v="Matti"/>
    <s v="Small"/>
    <n v="2513.4100000000003"/>
  </r>
  <r>
    <n v="10167"/>
    <n v="29"/>
    <n v="83.86"/>
    <n v="8"/>
    <n v="2431.94"/>
    <d v="2003-10-23T00:00:00"/>
    <s v="Cancelled"/>
    <n v="4"/>
    <x v="4"/>
    <n v="2003"/>
    <x v="3"/>
    <n v="83"/>
    <s v="S24_3816"/>
    <s v="Scandinavian Gift Ideas"/>
    <s v="0695-34 6555"/>
    <s v="?kergatan 24"/>
    <m/>
    <s v="Boras"/>
    <m/>
    <s v="S-844 67"/>
    <s v="Sweden"/>
    <s v="EMEA"/>
    <s v="Larsson"/>
    <s v="Maria"/>
    <s v="Small"/>
    <n v="2431.94"/>
  </r>
  <r>
    <n v="10178"/>
    <n v="21"/>
    <n v="72.12"/>
    <n v="11"/>
    <n v="1514.52"/>
    <d v="2003-11-08T00:00:00"/>
    <s v="Shipped"/>
    <n v="4"/>
    <x v="5"/>
    <n v="2003"/>
    <x v="3"/>
    <n v="83"/>
    <s v="S24_3816"/>
    <s v="Alpha Cognac"/>
    <s v="61.77.6555"/>
    <s v="1 rue Alsace-Lorraine"/>
    <m/>
    <s v="Toulouse"/>
    <m/>
    <n v="31000"/>
    <s v="France"/>
    <s v="EMEA"/>
    <s v="Roulet"/>
    <s v="Annette"/>
    <s v="Small"/>
    <n v="1514.52"/>
  </r>
  <r>
    <n v="10186"/>
    <n v="36"/>
    <n v="85.54"/>
    <n v="8"/>
    <n v="3079.44"/>
    <d v="2003-11-14T00:00:00"/>
    <s v="Shipped"/>
    <n v="4"/>
    <x v="5"/>
    <n v="2003"/>
    <x v="3"/>
    <n v="83"/>
    <s v="S24_3816"/>
    <s v="Double Decker Gift Stores, Ltd"/>
    <s v="(171) 555-7555"/>
    <s v="120 Hanover Sq."/>
    <m/>
    <s v="London"/>
    <m/>
    <s v="WA1 1DP"/>
    <s v="UK"/>
    <s v="EMEA"/>
    <s v="Hardy"/>
    <s v="Thomas"/>
    <s v="Medium"/>
    <n v="3079.44"/>
  </r>
  <r>
    <n v="10197"/>
    <n v="22"/>
    <n v="86.38"/>
    <n v="5"/>
    <n v="1900.36"/>
    <d v="2003-11-26T00:00:00"/>
    <s v="Shipped"/>
    <n v="4"/>
    <x v="5"/>
    <n v="2003"/>
    <x v="3"/>
    <n v="83"/>
    <s v="S24_3816"/>
    <s v="Enaco Distributors"/>
    <s v="(93) 203 4555"/>
    <s v="Rambla de Catalu¤a, 23"/>
    <m/>
    <s v="Barcelona"/>
    <m/>
    <n v="8022"/>
    <s v="Spain"/>
    <s v="EMEA"/>
    <s v="Saavedra"/>
    <s v="Eduardo"/>
    <s v="Small"/>
    <n v="1900.36"/>
  </r>
  <r>
    <n v="10209"/>
    <n v="22"/>
    <n v="89.73"/>
    <n v="7"/>
    <n v="1974.06"/>
    <d v="2004-01-09T00:00:00"/>
    <s v="Shipped"/>
    <n v="1"/>
    <x v="7"/>
    <n v="2004"/>
    <x v="3"/>
    <n v="83"/>
    <s v="S24_3816"/>
    <s v="Men 'R' US Retailers, Ltd."/>
    <n v="2155554369"/>
    <s v="6047 Douglas Av."/>
    <m/>
    <s v="Los Angeles"/>
    <s v="CA"/>
    <m/>
    <s v="USA"/>
    <s v="NA"/>
    <s v="Chandler"/>
    <s v="Michael"/>
    <s v="Small"/>
    <n v="1974.0600000000002"/>
  </r>
  <r>
    <n v="10222"/>
    <n v="46"/>
    <n v="80.510000000000005"/>
    <n v="11"/>
    <n v="3703.46"/>
    <d v="2004-02-19T00:00:00"/>
    <s v="Shipped"/>
    <n v="1"/>
    <x v="0"/>
    <n v="2004"/>
    <x v="3"/>
    <n v="83"/>
    <s v="S24_3816"/>
    <s v="Collectable Mini Designs Co."/>
    <n v="7605558146"/>
    <s v="361 Furth Circle"/>
    <m/>
    <s v="San Diego"/>
    <s v="CA"/>
    <n v="91217"/>
    <s v="USA"/>
    <s v="NA"/>
    <s v="Thompson"/>
    <s v="Valarie"/>
    <s v="Medium"/>
    <n v="3703.46"/>
  </r>
  <r>
    <n v="10248"/>
    <n v="23"/>
    <n v="76.31"/>
    <n v="2"/>
    <n v="1755.13"/>
    <d v="2004-05-07T00:00:00"/>
    <s v="Cancelled"/>
    <n v="2"/>
    <x v="1"/>
    <n v="2004"/>
    <x v="3"/>
    <n v="83"/>
    <s v="S24_3816"/>
    <s v="Land of Toys Inc."/>
    <n v="2125557818"/>
    <s v="897 Long Airport Avenue"/>
    <m/>
    <s v="NYC"/>
    <s v="NY"/>
    <n v="10022"/>
    <s v="USA"/>
    <s v="NA"/>
    <s v="Yu"/>
    <s v="Kwai"/>
    <s v="Small"/>
    <n v="1755.13"/>
  </r>
  <r>
    <n v="10262"/>
    <n v="49"/>
    <n v="87.21"/>
    <n v="16"/>
    <n v="4273.29"/>
    <d v="2004-06-24T00:00:00"/>
    <s v="Cancelled"/>
    <n v="2"/>
    <x v="9"/>
    <n v="2004"/>
    <x v="3"/>
    <n v="83"/>
    <s v="S24_3816"/>
    <s v="Euro Shopping Channel"/>
    <s v="(91) 555 94 44"/>
    <s v="C/ Moralzarzal, 86"/>
    <m/>
    <s v="Madrid"/>
    <m/>
    <n v="28034"/>
    <s v="Spain"/>
    <s v="EMEA"/>
    <s v="Freyre"/>
    <s v="Diego"/>
    <s v="Medium"/>
    <n v="4273.29"/>
  </r>
  <r>
    <n v="10273"/>
    <n v="48"/>
    <n v="83.02"/>
    <n v="3"/>
    <n v="3984.96"/>
    <d v="2004-07-21T00:00:00"/>
    <s v="Shipped"/>
    <n v="3"/>
    <x v="2"/>
    <n v="2004"/>
    <x v="3"/>
    <n v="83"/>
    <s v="S24_3816"/>
    <s v="Petit Auto"/>
    <s v="(02) 5554 67"/>
    <s v="Rue Joseph-Bens 532"/>
    <m/>
    <s v="Bruxelles"/>
    <m/>
    <s v="B-1180"/>
    <s v="Belgium"/>
    <s v="EMEA"/>
    <s v="Dewey"/>
    <s v="Catherine"/>
    <s v="Medium"/>
    <n v="3984.96"/>
  </r>
  <r>
    <n v="10283"/>
    <n v="33"/>
    <n v="72.959999999999994"/>
    <n v="5"/>
    <n v="2407.6799999999998"/>
    <d v="2004-08-20T00:00:00"/>
    <s v="Shipped"/>
    <n v="3"/>
    <x v="3"/>
    <n v="2004"/>
    <x v="3"/>
    <n v="83"/>
    <s v="S24_3816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407.6799999999998"/>
  </r>
  <r>
    <n v="10296"/>
    <n v="22"/>
    <n v="77.150000000000006"/>
    <n v="14"/>
    <n v="1697.3"/>
    <d v="2004-09-15T00:00:00"/>
    <s v="Shipped"/>
    <n v="3"/>
    <x v="10"/>
    <n v="2004"/>
    <x v="3"/>
    <n v="83"/>
    <s v="S24_3816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1697.3000000000002"/>
  </r>
  <r>
    <n v="10307"/>
    <n v="22"/>
    <n v="91.41"/>
    <n v="8"/>
    <n v="2011.02"/>
    <d v="2004-10-14T00:00:00"/>
    <s v="Shipped"/>
    <n v="4"/>
    <x v="4"/>
    <n v="2004"/>
    <x v="3"/>
    <n v="83"/>
    <s v="S24_3816"/>
    <s v="Classic Gift Ideas, Inc"/>
    <n v="2155554695"/>
    <s v="782 First Street"/>
    <m/>
    <s v="Philadelphia"/>
    <s v="PA"/>
    <n v="71270"/>
    <s v="USA"/>
    <s v="NA"/>
    <s v="Cervantes"/>
    <s v="Francisca"/>
    <s v="Small"/>
    <n v="2011.02"/>
  </r>
  <r>
    <n v="10316"/>
    <n v="25"/>
    <n v="92.25"/>
    <n v="16"/>
    <n v="2306.25"/>
    <d v="2004-11-01T00:00:00"/>
    <s v="Shipped"/>
    <n v="4"/>
    <x v="5"/>
    <n v="2004"/>
    <x v="3"/>
    <n v="83"/>
    <s v="S24_3816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306.25"/>
  </r>
  <r>
    <n v="10326"/>
    <n v="20"/>
    <n v="92.25"/>
    <n v="2"/>
    <n v="1845"/>
    <d v="2004-11-09T00:00:00"/>
    <s v="Shipped"/>
    <n v="4"/>
    <x v="5"/>
    <n v="2004"/>
    <x v="3"/>
    <n v="83"/>
    <s v="S24_3816"/>
    <s v="Volvo Model Replicas, Co"/>
    <s v="0921-12 3555"/>
    <s v="Berguvsv„gen  8"/>
    <m/>
    <s v="Lule"/>
    <m/>
    <s v="S-958 22"/>
    <s v="Sweden"/>
    <s v="EMEA"/>
    <s v="Berglund"/>
    <s v="Christina"/>
    <s v="Small"/>
    <n v="1845"/>
  </r>
  <r>
    <n v="10339"/>
    <n v="42"/>
    <n v="59.36"/>
    <n v="16"/>
    <n v="2493.12"/>
    <d v="2004-11-23T00:00:00"/>
    <s v="Shipped"/>
    <n v="4"/>
    <x v="5"/>
    <n v="2004"/>
    <x v="3"/>
    <n v="83"/>
    <s v="S24_3816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493.12"/>
  </r>
  <r>
    <n v="10350"/>
    <n v="25"/>
    <n v="60.34"/>
    <n v="10"/>
    <n v="1508.5"/>
    <d v="2004-12-02T00:00:00"/>
    <s v="Shipped"/>
    <n v="4"/>
    <x v="6"/>
    <n v="2004"/>
    <x v="3"/>
    <n v="83"/>
    <s v="S24_3816"/>
    <s v="Euro Shopping Channel"/>
    <s v="(91) 555 94 44"/>
    <s v="C/ Moralzarzal, 86"/>
    <m/>
    <s v="Madrid"/>
    <m/>
    <n v="28034"/>
    <s v="Spain"/>
    <s v="EMEA"/>
    <s v="Freyre"/>
    <s v="Diego"/>
    <s v="Small"/>
    <n v="1508.5"/>
  </r>
  <r>
    <n v="10373"/>
    <n v="23"/>
    <n v="100"/>
    <n v="10"/>
    <n v="2394.3000000000002"/>
    <d v="2005-01-31T00:00:00"/>
    <s v="Shipped"/>
    <n v="1"/>
    <x v="7"/>
    <n v="2005"/>
    <x v="3"/>
    <n v="83"/>
    <s v="S24_3816"/>
    <s v="Oulu Toy Supplies, Inc."/>
    <s v="981-443655"/>
    <s v="Torikatu 38"/>
    <m/>
    <s v="Oulu"/>
    <m/>
    <n v="90110"/>
    <s v="Finland"/>
    <s v="EMEA"/>
    <s v="Koskitalo"/>
    <s v="Pirkko"/>
    <s v="Small"/>
    <n v="2300"/>
  </r>
  <r>
    <n v="10385"/>
    <n v="37"/>
    <n v="85.54"/>
    <n v="2"/>
    <n v="3164.98"/>
    <d v="2005-02-28T00:00:00"/>
    <s v="Shipped"/>
    <n v="1"/>
    <x v="0"/>
    <n v="2005"/>
    <x v="3"/>
    <n v="83"/>
    <s v="S24_3816"/>
    <s v="Mini Gifts Distributors Ltd."/>
    <n v="4155551450"/>
    <s v="5677 Strong St."/>
    <m/>
    <s v="San Rafael"/>
    <s v="CA"/>
    <n v="97562"/>
    <s v="USA"/>
    <s v="NA"/>
    <s v="Nelson"/>
    <s v="Valarie"/>
    <s v="Medium"/>
    <n v="3164.98"/>
  </r>
  <r>
    <n v="10396"/>
    <n v="37"/>
    <n v="90.57"/>
    <n v="8"/>
    <n v="3351.09"/>
    <d v="2005-03-23T00:00:00"/>
    <s v="Shipped"/>
    <n v="1"/>
    <x v="11"/>
    <n v="2005"/>
    <x v="3"/>
    <n v="83"/>
    <s v="S24_3816"/>
    <s v="Mini Gifts Distributors Ltd."/>
    <n v="4155551450"/>
    <s v="5677 Strong St."/>
    <m/>
    <s v="San Rafael"/>
    <s v="CA"/>
    <n v="97562"/>
    <s v="USA"/>
    <s v="NA"/>
    <s v="Nelson"/>
    <s v="Valarie"/>
    <s v="Medium"/>
    <n v="3351.0899999999997"/>
  </r>
  <r>
    <n v="10400"/>
    <n v="42"/>
    <n v="72.959999999999994"/>
    <n v="8"/>
    <n v="3064.32"/>
    <d v="2005-04-01T00:00:00"/>
    <s v="Shipped"/>
    <n v="2"/>
    <x v="8"/>
    <n v="2005"/>
    <x v="3"/>
    <n v="83"/>
    <s v="S24_3816"/>
    <s v="The Sharp Gifts Warehouse"/>
    <n v="4085553659"/>
    <s v="3086 Ingle Ln."/>
    <m/>
    <s v="San Jose"/>
    <s v="CA"/>
    <n v="94217"/>
    <s v="USA"/>
    <s v="NA"/>
    <s v="Frick"/>
    <s v="Sue"/>
    <s v="Medium"/>
    <n v="3064.3199999999997"/>
  </r>
  <r>
    <n v="10414"/>
    <n v="51"/>
    <n v="76.31"/>
    <n v="2"/>
    <n v="3891.81"/>
    <d v="2005-05-06T00:00:00"/>
    <s v="On Hold"/>
    <n v="2"/>
    <x v="1"/>
    <n v="2005"/>
    <x v="3"/>
    <n v="83"/>
    <s v="S24_3816"/>
    <s v="Gifts4AllAges.com"/>
    <n v="6175559555"/>
    <s v="8616 Spinnaker Dr."/>
    <m/>
    <s v="Boston"/>
    <s v="MA"/>
    <n v="51003"/>
    <s v="USA"/>
    <s v="NA"/>
    <s v="Yoshido"/>
    <s v="Juri"/>
    <s v="Medium"/>
    <n v="3891.81"/>
  </r>
  <r>
    <n v="10108"/>
    <n v="40"/>
    <n v="100"/>
    <n v="1"/>
    <n v="5448.8"/>
    <d v="2003-03-03T00:00:00"/>
    <s v="Shipped"/>
    <n v="1"/>
    <x v="11"/>
    <n v="2003"/>
    <x v="1"/>
    <n v="140"/>
    <s v="S24_3856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4000"/>
  </r>
  <r>
    <n v="10122"/>
    <n v="43"/>
    <n v="100"/>
    <n v="5"/>
    <n v="5494.97"/>
    <d v="2003-05-08T00:00:00"/>
    <s v="Shipped"/>
    <n v="2"/>
    <x v="1"/>
    <n v="2003"/>
    <x v="1"/>
    <n v="140"/>
    <s v="S24_3856"/>
    <s v="Marseille Mini Autos"/>
    <s v="91.24.4555"/>
    <s v="12, rue des Bouchers"/>
    <m/>
    <s v="Marseille"/>
    <m/>
    <n v="13008"/>
    <s v="France"/>
    <s v="EMEA"/>
    <s v="Lebihan"/>
    <s v="Laurence"/>
    <s v="Medium"/>
    <n v="4300"/>
  </r>
  <r>
    <n v="10135"/>
    <n v="47"/>
    <n v="100"/>
    <n v="2"/>
    <n v="6336.07"/>
    <d v="2003-07-02T00:00:00"/>
    <s v="Shipped"/>
    <n v="3"/>
    <x v="2"/>
    <n v="2003"/>
    <x v="1"/>
    <n v="140"/>
    <s v="S24_3856"/>
    <s v="Mini Gifts Distributors Ltd."/>
    <n v="4155551450"/>
    <s v="5677 Strong St."/>
    <m/>
    <s v="San Rafael"/>
    <s v="CA"/>
    <n v="97562"/>
    <s v="USA"/>
    <s v="NA"/>
    <s v="Nelson"/>
    <s v="Valarie"/>
    <s v="Medium"/>
    <n v="4700"/>
  </r>
  <r>
    <n v="10147"/>
    <n v="23"/>
    <n v="100"/>
    <n v="2"/>
    <n v="2906.97"/>
    <d v="2003-09-05T00:00:00"/>
    <s v="Shipped"/>
    <n v="3"/>
    <x v="10"/>
    <n v="2003"/>
    <x v="1"/>
    <n v="140"/>
    <s v="S24_3856"/>
    <s v="Collectables For Less Inc."/>
    <n v="6175558555"/>
    <s v="7825 Douglas Av."/>
    <m/>
    <s v="Brickhaven"/>
    <s v="MA"/>
    <n v="58339"/>
    <s v="USA"/>
    <s v="NA"/>
    <s v="Nelson"/>
    <s v="Allen"/>
    <s v="Small"/>
    <n v="2300"/>
  </r>
  <r>
    <n v="10160"/>
    <n v="35"/>
    <n v="100"/>
    <n v="3"/>
    <n v="4767.7"/>
    <d v="2003-10-11T00:00:00"/>
    <s v="Shipped"/>
    <n v="4"/>
    <x v="4"/>
    <n v="2003"/>
    <x v="1"/>
    <n v="140"/>
    <s v="S24_3856"/>
    <s v="Men 'R' US Retailers, Ltd."/>
    <n v="2155554369"/>
    <s v="6047 Douglas Av."/>
    <m/>
    <s v="Los Angeles"/>
    <s v="CA"/>
    <m/>
    <s v="USA"/>
    <s v="NA"/>
    <s v="Chandler"/>
    <s v="Michael"/>
    <s v="Medium"/>
    <n v="3500"/>
  </r>
  <r>
    <n v="10170"/>
    <n v="34"/>
    <n v="100"/>
    <n v="1"/>
    <n v="3819.56"/>
    <d v="2003-11-04T00:00:00"/>
    <s v="Shipped"/>
    <n v="4"/>
    <x v="5"/>
    <n v="2003"/>
    <x v="1"/>
    <n v="140"/>
    <s v="S24_3856"/>
    <s v="Mini Auto Werke"/>
    <s v="7675-3555"/>
    <s v="Kirchgasse 6"/>
    <m/>
    <s v="Graz"/>
    <m/>
    <n v="8010"/>
    <s v="Austria"/>
    <s v="EMEA"/>
    <s v="Mendel"/>
    <s v="Roland"/>
    <s v="Medium"/>
    <n v="3400"/>
  </r>
  <r>
    <n v="10181"/>
    <n v="25"/>
    <n v="100"/>
    <n v="9"/>
    <n v="3861.75"/>
    <d v="2003-11-12T00:00:00"/>
    <s v="Shipped"/>
    <n v="4"/>
    <x v="5"/>
    <n v="2003"/>
    <x v="1"/>
    <n v="140"/>
    <s v="S24_3856"/>
    <s v="Herkku Gifts"/>
    <s v="+47 2267 3215"/>
    <s v="Drammen 121, PR 744 Sentrum"/>
    <m/>
    <s v="Bergen"/>
    <m/>
    <s v="N 5804"/>
    <s v="Norway"/>
    <s v="EMEA"/>
    <s v="Oeztan"/>
    <s v="Veysel"/>
    <s v="Medium"/>
    <n v="2500"/>
  </r>
  <r>
    <n v="10192"/>
    <n v="45"/>
    <n v="100"/>
    <n v="14"/>
    <n v="6319.35"/>
    <d v="2003-11-20T00:00:00"/>
    <s v="Shipped"/>
    <n v="4"/>
    <x v="5"/>
    <n v="2003"/>
    <x v="1"/>
    <n v="140"/>
    <s v="S24_3856"/>
    <s v="Online Diecast Creations Co."/>
    <n v="6035558647"/>
    <s v="2304 Long Airport Avenue"/>
    <m/>
    <s v="Nashua"/>
    <s v="NH"/>
    <n v="62005"/>
    <s v="USA"/>
    <s v="NA"/>
    <s v="Young"/>
    <s v="Valarie"/>
    <s v="Medium"/>
    <n v="4500"/>
  </r>
  <r>
    <n v="10203"/>
    <n v="47"/>
    <n v="100"/>
    <n v="3"/>
    <n v="6996.42"/>
    <d v="2003-12-02T00:00:00"/>
    <s v="Shipped"/>
    <n v="4"/>
    <x v="6"/>
    <n v="2003"/>
    <x v="1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  <n v="4700"/>
  </r>
  <r>
    <n v="10212"/>
    <n v="49"/>
    <n v="100"/>
    <n v="13"/>
    <n v="6949.67"/>
    <d v="2004-01-16T00:00:00"/>
    <s v="Shipped"/>
    <n v="1"/>
    <x v="7"/>
    <n v="2004"/>
    <x v="1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  <n v="4900"/>
  </r>
  <r>
    <n v="10225"/>
    <n v="40"/>
    <n v="100"/>
    <n v="4"/>
    <n v="4550"/>
    <d v="2004-02-22T00:00:00"/>
    <s v="Shipped"/>
    <n v="1"/>
    <x v="0"/>
    <n v="2004"/>
    <x v="1"/>
    <n v="140"/>
    <s v="S24_3856"/>
    <s v="Vida Sport, Ltd"/>
    <s v="0897-034555"/>
    <s v="Grenzacherweg 237"/>
    <m/>
    <s v="Gensve"/>
    <m/>
    <n v="1203"/>
    <s v="Switzerland"/>
    <s v="EMEA"/>
    <s v="Holz"/>
    <s v="Michael"/>
    <s v="Medium"/>
    <n v="4000"/>
  </r>
  <r>
    <n v="10239"/>
    <n v="29"/>
    <n v="100"/>
    <n v="3"/>
    <n v="4479.63"/>
    <d v="2004-04-12T00:00:00"/>
    <s v="Shipped"/>
    <n v="2"/>
    <x v="8"/>
    <n v="2004"/>
    <x v="1"/>
    <n v="140"/>
    <s v="S24_3856"/>
    <s v="Oulu Toy Supplies, Inc."/>
    <s v="981-443655"/>
    <s v="Torikatu 38"/>
    <m/>
    <s v="Oulu"/>
    <m/>
    <n v="90110"/>
    <s v="Finland"/>
    <s v="EMEA"/>
    <s v="Koskitalo"/>
    <s v="Pirkko"/>
    <s v="Medium"/>
    <n v="2900"/>
  </r>
  <r>
    <n v="10253"/>
    <n v="39"/>
    <n v="100"/>
    <n v="8"/>
    <n v="5148"/>
    <d v="2004-06-01T00:00:00"/>
    <s v="Cancelled"/>
    <n v="2"/>
    <x v="9"/>
    <n v="2004"/>
    <x v="1"/>
    <n v="140"/>
    <s v="S24_3856"/>
    <s v="UK Collectables, Ltd."/>
    <s v="(171) 555-2282"/>
    <s v="Berkeley Gardens 12  Brewery"/>
    <m/>
    <s v="Liverpool"/>
    <m/>
    <s v="WX1 6LT"/>
    <s v="UK"/>
    <s v="EMEA"/>
    <s v="Devon"/>
    <s v="Elizabeth"/>
    <s v="Medium"/>
    <n v="3900"/>
  </r>
  <r>
    <n v="10266"/>
    <n v="24"/>
    <n v="100"/>
    <n v="9"/>
    <n v="2932.08"/>
    <d v="2004-07-06T00:00:00"/>
    <s v="Shipped"/>
    <n v="3"/>
    <x v="2"/>
    <n v="2004"/>
    <x v="1"/>
    <n v="140"/>
    <s v="S24_3856"/>
    <s v="L'ordine Souveniers"/>
    <s v="0522-556555"/>
    <s v="Strada Provinciale 124"/>
    <m/>
    <s v="Reggio Emilia"/>
    <m/>
    <n v="42100"/>
    <s v="Italy"/>
    <s v="EMEA"/>
    <s v="Moroni"/>
    <s v="Maurizio"/>
    <s v="Small"/>
    <n v="2400"/>
  </r>
  <r>
    <n v="10278"/>
    <n v="25"/>
    <n v="100"/>
    <n v="9"/>
    <n v="3159.75"/>
    <d v="2004-08-06T00:00:00"/>
    <s v="Shipped"/>
    <n v="3"/>
    <x v="3"/>
    <n v="2004"/>
    <x v="1"/>
    <n v="140"/>
    <s v="S24_3856"/>
    <s v="Signal Gift Stores"/>
    <n v="7025551838"/>
    <s v="8489 Strong St."/>
    <m/>
    <s v="Las Vegas"/>
    <s v="NV"/>
    <n v="83030"/>
    <s v="USA"/>
    <s v="NA"/>
    <s v="King"/>
    <s v="Sue"/>
    <s v="Medium"/>
    <n v="2500"/>
  </r>
  <r>
    <n v="10287"/>
    <n v="36"/>
    <n v="100"/>
    <n v="7"/>
    <n v="4297.32"/>
    <d v="2004-08-30T00:00:00"/>
    <s v="Shipped"/>
    <n v="3"/>
    <x v="3"/>
    <n v="2004"/>
    <x v="1"/>
    <n v="140"/>
    <s v="S24_3856"/>
    <s v="Vida Sport, Ltd"/>
    <s v="0897-034555"/>
    <s v="Grenzacherweg 237"/>
    <m/>
    <s v="Gensve"/>
    <m/>
    <n v="1203"/>
    <s v="Switzerland"/>
    <s v="EMEA"/>
    <s v="Holz"/>
    <s v="Michael"/>
    <s v="Medium"/>
    <n v="3600"/>
  </r>
  <r>
    <n v="10301"/>
    <n v="50"/>
    <n v="100"/>
    <n v="11"/>
    <n v="7723.5"/>
    <d v="2003-10-05T00:00:00"/>
    <s v="Shipped"/>
    <n v="4"/>
    <x v="4"/>
    <n v="2003"/>
    <x v="1"/>
    <n v="140"/>
    <s v="S24_3856"/>
    <s v="Norway Gifts By Mail, Co."/>
    <s v="+47 2212 1555"/>
    <s v="Drammensveien 126 A, PB 744 Sentrum"/>
    <m/>
    <s v="Oslo"/>
    <m/>
    <s v="N 0106"/>
    <s v="Norway"/>
    <s v="EMEA"/>
    <s v="Klaeboe"/>
    <s v="Jan"/>
    <s v="Large"/>
    <n v="5000"/>
  </r>
  <r>
    <n v="10310"/>
    <n v="45"/>
    <n v="100"/>
    <n v="5"/>
    <n v="5497.65"/>
    <d v="2004-10-16T00:00:00"/>
    <s v="Shipped"/>
    <n v="4"/>
    <x v="4"/>
    <n v="2004"/>
    <x v="1"/>
    <n v="140"/>
    <s v="S24_3856"/>
    <s v="Toms Spezialitten, Ltd"/>
    <s v="0221-5554327"/>
    <s v="Mehrheimerstr. 369"/>
    <m/>
    <s v="Koln"/>
    <m/>
    <n v="50739"/>
    <s v="Germany"/>
    <s v="EMEA"/>
    <s v="Pfalzheim"/>
    <s v="Henriette"/>
    <s v="Medium"/>
    <n v="4500"/>
  </r>
  <r>
    <n v="10321"/>
    <n v="26"/>
    <n v="100"/>
    <n v="13"/>
    <n v="4052.88"/>
    <d v="2004-11-04T00:00:00"/>
    <s v="Shipped"/>
    <n v="4"/>
    <x v="5"/>
    <n v="2004"/>
    <x v="1"/>
    <n v="140"/>
    <s v="S24_3856"/>
    <s v="FunGiftIdeas.com"/>
    <n v="5085552555"/>
    <s v="1785 First Street"/>
    <m/>
    <s v="New Bedford"/>
    <s v="MA"/>
    <n v="50553"/>
    <s v="USA"/>
    <s v="NA"/>
    <s v="Benitez"/>
    <s v="Violeta"/>
    <s v="Medium"/>
    <n v="2600"/>
  </r>
  <r>
    <n v="10331"/>
    <n v="21"/>
    <n v="100"/>
    <n v="1"/>
    <n v="3135.93"/>
    <d v="2004-11-17T00:00:00"/>
    <s v="Shipped"/>
    <n v="4"/>
    <x v="5"/>
    <n v="2004"/>
    <x v="1"/>
    <n v="140"/>
    <s v="S24_3856"/>
    <s v="Motor Mint Distributors Inc."/>
    <n v="2155559857"/>
    <s v="11328 Douglas Av."/>
    <m/>
    <s v="Philadelphia"/>
    <s v="PA"/>
    <n v="71270"/>
    <s v="USA"/>
    <s v="NA"/>
    <s v="Hernandez"/>
    <s v="Rosa"/>
    <s v="Medium"/>
    <n v="2100"/>
  </r>
  <r>
    <n v="10342"/>
    <n v="42"/>
    <n v="100"/>
    <n v="6"/>
    <n v="5013.54"/>
    <d v="2004-11-24T00:00:00"/>
    <s v="Shipped"/>
    <n v="4"/>
    <x v="5"/>
    <n v="2004"/>
    <x v="1"/>
    <n v="140"/>
    <s v="S24_385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4200"/>
  </r>
  <r>
    <n v="10355"/>
    <n v="32"/>
    <n v="100"/>
    <n v="8"/>
    <n v="5302.72"/>
    <d v="2004-12-07T00:00:00"/>
    <s v="Shipped"/>
    <n v="4"/>
    <x v="6"/>
    <n v="2004"/>
    <x v="1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  <n v="3200"/>
  </r>
  <r>
    <n v="10363"/>
    <n v="31"/>
    <n v="94.58"/>
    <n v="1"/>
    <n v="2931.98"/>
    <d v="2005-01-06T00:00:00"/>
    <s v="Shipped"/>
    <n v="1"/>
    <x v="7"/>
    <n v="2005"/>
    <x v="1"/>
    <n v="140"/>
    <s v="S24_3856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2931.98"/>
  </r>
  <r>
    <n v="10378"/>
    <n v="33"/>
    <n v="53.27"/>
    <n v="3"/>
    <n v="1757.91"/>
    <d v="2005-02-10T00:00:00"/>
    <s v="Shipped"/>
    <n v="1"/>
    <x v="0"/>
    <n v="2005"/>
    <x v="1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Small"/>
    <n v="1757.91"/>
  </r>
  <r>
    <n v="10390"/>
    <n v="45"/>
    <n v="100"/>
    <n v="8"/>
    <n v="6763.05"/>
    <d v="2005-03-04T00:00:00"/>
    <s v="Shipped"/>
    <n v="1"/>
    <x v="11"/>
    <n v="2005"/>
    <x v="1"/>
    <n v="140"/>
    <s v="S24_3856"/>
    <s v="Mini Gifts Distributors Ltd."/>
    <n v="4155551450"/>
    <s v="5677 Strong St."/>
    <m/>
    <s v="San Rafael"/>
    <s v="CA"/>
    <n v="97562"/>
    <s v="USA"/>
    <s v="NA"/>
    <s v="Nelson"/>
    <s v="Valarie"/>
    <s v="Medium"/>
    <n v="4500"/>
  </r>
  <r>
    <n v="10405"/>
    <n v="76"/>
    <n v="100"/>
    <n v="3"/>
    <n v="11739.7"/>
    <d v="2005-04-14T00:00:00"/>
    <s v="Shipped"/>
    <n v="2"/>
    <x v="8"/>
    <n v="2005"/>
    <x v="1"/>
    <n v="140"/>
    <s v="S24_3856"/>
    <s v="Mini Caravy"/>
    <s v="88.60.1555"/>
    <s v="24, place Kluber"/>
    <m/>
    <s v="Strasbourg"/>
    <m/>
    <n v="67000"/>
    <s v="France"/>
    <s v="EMEA"/>
    <s v="Citeaux"/>
    <s v="Frederique"/>
    <s v="Large"/>
    <n v="7600"/>
  </r>
  <r>
    <n v="10419"/>
    <n v="70"/>
    <n v="100"/>
    <n v="8"/>
    <n v="9240"/>
    <d v="2005-05-17T00:00:00"/>
    <s v="Shipped"/>
    <n v="2"/>
    <x v="1"/>
    <n v="2005"/>
    <x v="1"/>
    <n v="140"/>
    <s v="S24_3856"/>
    <s v="Salzburg Collectables"/>
    <s v="6562-9555"/>
    <s v="Geislweg 14"/>
    <m/>
    <s v="Salzburg"/>
    <m/>
    <n v="5020"/>
    <s v="Austria"/>
    <s v="EMEA"/>
    <s v="Pipps"/>
    <s v="Georg"/>
    <s v="Large"/>
    <n v="7000"/>
  </r>
  <r>
    <n v="10106"/>
    <n v="50"/>
    <n v="64.83"/>
    <n v="11"/>
    <n v="3241.5"/>
    <d v="2003-02-17T00:00:00"/>
    <s v="Shipped"/>
    <n v="1"/>
    <x v="0"/>
    <n v="2003"/>
    <x v="4"/>
    <n v="68"/>
    <s v="S24_3949"/>
    <s v="Rovelli Gifts"/>
    <s v="035-640555"/>
    <s v="Via Ludovico il Moro 22"/>
    <m/>
    <s v="Bergamo"/>
    <m/>
    <n v="24100"/>
    <s v="Italy"/>
    <s v="EMEA"/>
    <s v="Rovelli"/>
    <s v="Giovanni"/>
    <s v="Medium"/>
    <n v="3241.5"/>
  </r>
  <r>
    <n v="10119"/>
    <n v="28"/>
    <n v="70.290000000000006"/>
    <n v="2"/>
    <n v="1968.12"/>
    <d v="2003-04-28T00:00:00"/>
    <s v="Shipped"/>
    <n v="2"/>
    <x v="8"/>
    <n v="2003"/>
    <x v="4"/>
    <n v="68"/>
    <s v="S24_3949"/>
    <s v="Salzburg Collectables"/>
    <s v="6562-9555"/>
    <s v="Geislweg 14"/>
    <m/>
    <s v="Salzburg"/>
    <m/>
    <n v="5020"/>
    <s v="Austria"/>
    <s v="EMEA"/>
    <s v="Pipps"/>
    <s v="Georg"/>
    <s v="Small"/>
    <n v="1968.1200000000001"/>
  </r>
  <r>
    <n v="10131"/>
    <n v="50"/>
    <n v="81.89"/>
    <n v="3"/>
    <n v="4094.5"/>
    <d v="2003-06-16T00:00:00"/>
    <s v="Shipped"/>
    <n v="2"/>
    <x v="9"/>
    <n v="2003"/>
    <x v="4"/>
    <n v="68"/>
    <s v="S24_3949"/>
    <s v="Gift Ideas Corp."/>
    <n v="2035554407"/>
    <s v="2440 Pompton St."/>
    <m/>
    <s v="Glendale"/>
    <s v="CT"/>
    <n v="97561"/>
    <s v="USA"/>
    <s v="NA"/>
    <s v="Lewis"/>
    <s v="Dan"/>
    <s v="Medium"/>
    <n v="4094.5"/>
  </r>
  <r>
    <n v="10143"/>
    <n v="28"/>
    <n v="66.19"/>
    <n v="6"/>
    <n v="1853.32"/>
    <d v="2003-08-10T00:00:00"/>
    <s v="Shipped"/>
    <n v="3"/>
    <x v="3"/>
    <n v="2003"/>
    <x v="4"/>
    <n v="68"/>
    <s v="S24_3949"/>
    <s v="Mini Creations Ltd."/>
    <n v="5085559555"/>
    <s v="4575 Hillside Dr."/>
    <m/>
    <s v="New Bedford"/>
    <s v="MA"/>
    <n v="50553"/>
    <s v="USA"/>
    <s v="NA"/>
    <s v="Tam"/>
    <s v="Wing C"/>
    <s v="Small"/>
    <n v="1853.32"/>
  </r>
  <r>
    <n v="10155"/>
    <n v="44"/>
    <n v="77.11"/>
    <n v="4"/>
    <n v="3392.84"/>
    <d v="2003-10-06T00:00:00"/>
    <s v="Shipped"/>
    <n v="4"/>
    <x v="4"/>
    <n v="2003"/>
    <x v="4"/>
    <n v="68"/>
    <s v="S24_3949"/>
    <s v="Toys of Finland, Co."/>
    <s v="90-224 8555"/>
    <s v="Keskuskatu 45"/>
    <m/>
    <s v="Helsinki"/>
    <m/>
    <n v="21240"/>
    <s v="Finland"/>
    <s v="EMEA"/>
    <s v="Karttunen"/>
    <s v="Matti"/>
    <s v="Medium"/>
    <n v="3392.84"/>
  </r>
  <r>
    <n v="10168"/>
    <n v="27"/>
    <n v="73.02"/>
    <n v="18"/>
    <n v="1971.54"/>
    <d v="2003-10-28T00:00:00"/>
    <s v="Shipped"/>
    <n v="4"/>
    <x v="4"/>
    <n v="2003"/>
    <x v="4"/>
    <n v="68"/>
    <s v="S24_3949"/>
    <s v="Technics Stores Inc."/>
    <n v="6505556809"/>
    <s v="9408 Furth Circle"/>
    <m/>
    <s v="Burlingame"/>
    <s v="CA"/>
    <n v="94217"/>
    <s v="USA"/>
    <s v="NA"/>
    <s v="Hirano"/>
    <s v="Juri"/>
    <s v="Small"/>
    <n v="1971.54"/>
  </r>
  <r>
    <n v="10178"/>
    <n v="30"/>
    <n v="72.33"/>
    <n v="3"/>
    <n v="2169.9"/>
    <d v="2003-11-08T00:00:00"/>
    <s v="Shipped"/>
    <n v="4"/>
    <x v="5"/>
    <n v="2003"/>
    <x v="4"/>
    <n v="68"/>
    <s v="S24_3949"/>
    <s v="Alpha Cognac"/>
    <s v="61.77.6555"/>
    <s v="1 rue Alsace-Lorraine"/>
    <m/>
    <s v="Toulouse"/>
    <m/>
    <n v="31000"/>
    <s v="France"/>
    <s v="EMEA"/>
    <s v="Roulet"/>
    <s v="Annette"/>
    <s v="Small"/>
    <n v="2169.9"/>
  </r>
  <r>
    <n v="10198"/>
    <n v="43"/>
    <n v="66.19"/>
    <n v="3"/>
    <n v="2846.17"/>
    <d v="2003-11-27T00:00:00"/>
    <s v="Shipped"/>
    <n v="4"/>
    <x v="5"/>
    <n v="2003"/>
    <x v="4"/>
    <n v="68"/>
    <s v="S24_3949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2846.17"/>
  </r>
  <r>
    <n v="10210"/>
    <n v="29"/>
    <n v="69.599999999999994"/>
    <n v="16"/>
    <n v="2018.4"/>
    <d v="2004-01-12T00:00:00"/>
    <s v="Shipped"/>
    <n v="1"/>
    <x v="7"/>
    <n v="2004"/>
    <x v="4"/>
    <n v="68"/>
    <s v="S24_3949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2018.3999999999999"/>
  </r>
  <r>
    <n v="10222"/>
    <n v="48"/>
    <n v="56.64"/>
    <n v="3"/>
    <n v="2718.72"/>
    <d v="2004-02-19T00:00:00"/>
    <s v="Shipped"/>
    <n v="1"/>
    <x v="0"/>
    <n v="2004"/>
    <x v="4"/>
    <n v="68"/>
    <s v="S24_3949"/>
    <s v="Collectable Mini Designs Co."/>
    <n v="7605558146"/>
    <s v="361 Furth Circle"/>
    <m/>
    <s v="San Diego"/>
    <s v="CA"/>
    <n v="91217"/>
    <s v="USA"/>
    <s v="NA"/>
    <s v="Thompson"/>
    <s v="Valarie"/>
    <s v="Small"/>
    <n v="2718.7200000000003"/>
  </r>
  <r>
    <n v="10235"/>
    <n v="33"/>
    <n v="60.05"/>
    <n v="12"/>
    <n v="1981.65"/>
    <d v="2004-04-02T00:00:00"/>
    <s v="Shipped"/>
    <n v="2"/>
    <x v="8"/>
    <n v="2004"/>
    <x v="4"/>
    <n v="68"/>
    <s v="S24_394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1981.6499999999999"/>
  </r>
  <r>
    <n v="10250"/>
    <n v="40"/>
    <n v="75.06"/>
    <n v="13"/>
    <n v="3002.4"/>
    <d v="2004-05-11T00:00:00"/>
    <s v="Shipped"/>
    <n v="2"/>
    <x v="1"/>
    <n v="2004"/>
    <x v="4"/>
    <n v="68"/>
    <s v="S24_3949"/>
    <s v="The Sharp Gifts Warehouse"/>
    <n v="4085553659"/>
    <s v="3086 Ingle Ln."/>
    <m/>
    <s v="San Jose"/>
    <s v="CA"/>
    <n v="94217"/>
    <s v="USA"/>
    <s v="NA"/>
    <s v="Frick"/>
    <s v="Sue"/>
    <s v="Medium"/>
    <n v="3002.4"/>
  </r>
  <r>
    <n v="10262"/>
    <n v="48"/>
    <n v="61.42"/>
    <n v="8"/>
    <n v="2948.16"/>
    <d v="2004-06-24T00:00:00"/>
    <s v="Cancelled"/>
    <n v="2"/>
    <x v="9"/>
    <n v="2004"/>
    <x v="4"/>
    <n v="68"/>
    <s v="S24_3949"/>
    <s v="Euro Shopping Channel"/>
    <s v="(91) 555 94 44"/>
    <s v="C/ Moralzarzal, 86"/>
    <m/>
    <s v="Madrid"/>
    <m/>
    <n v="28034"/>
    <s v="Spain"/>
    <s v="EMEA"/>
    <s v="Freyre"/>
    <s v="Diego"/>
    <s v="Small"/>
    <n v="2948.16"/>
  </r>
  <r>
    <n v="10275"/>
    <n v="41"/>
    <n v="81.89"/>
    <n v="18"/>
    <n v="3357.49"/>
    <d v="2004-07-23T00:00:00"/>
    <s v="Shipped"/>
    <n v="3"/>
    <x v="2"/>
    <n v="2004"/>
    <x v="4"/>
    <n v="68"/>
    <s v="S24_3949"/>
    <s v="La Rochelle Gifts"/>
    <s v="40.67.8555"/>
    <s v="67, rue des Cinquante Otages"/>
    <m/>
    <s v="Nantes"/>
    <m/>
    <n v="44000"/>
    <s v="France"/>
    <s v="EMEA"/>
    <s v="Labrune"/>
    <s v="Janine"/>
    <s v="Medium"/>
    <n v="3357.4900000000002"/>
  </r>
  <r>
    <n v="10284"/>
    <n v="21"/>
    <n v="55.96"/>
    <n v="10"/>
    <n v="1175.1600000000001"/>
    <d v="2004-08-21T00:00:00"/>
    <s v="Shipped"/>
    <n v="3"/>
    <x v="3"/>
    <n v="2004"/>
    <x v="4"/>
    <n v="68"/>
    <s v="S24_3949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1175.1600000000001"/>
  </r>
  <r>
    <n v="10296"/>
    <n v="32"/>
    <n v="71.650000000000006"/>
    <n v="6"/>
    <n v="2292.8000000000002"/>
    <d v="2004-09-15T00:00:00"/>
    <s v="Shipped"/>
    <n v="3"/>
    <x v="10"/>
    <n v="2004"/>
    <x v="4"/>
    <n v="68"/>
    <s v="S24_3949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2292.8000000000002"/>
  </r>
  <r>
    <n v="10308"/>
    <n v="43"/>
    <n v="76.430000000000007"/>
    <n v="16"/>
    <n v="3286.49"/>
    <d v="2004-10-15T00:00:00"/>
    <s v="Shipped"/>
    <n v="4"/>
    <x v="4"/>
    <n v="2004"/>
    <x v="4"/>
    <n v="68"/>
    <s v="S24_3949"/>
    <s v="Mini Classics"/>
    <n v="9145554562"/>
    <s v="3758 North Pendale Street"/>
    <m/>
    <s v="White Plains"/>
    <s v="NY"/>
    <n v="24067"/>
    <s v="USA"/>
    <s v="NA"/>
    <s v="Frick"/>
    <s v="Steve"/>
    <s v="Medium"/>
    <n v="3286.4900000000002"/>
  </r>
  <r>
    <n v="10316"/>
    <n v="30"/>
    <n v="77.790000000000006"/>
    <n v="8"/>
    <n v="2333.6999999999998"/>
    <d v="2004-11-01T00:00:00"/>
    <s v="Shipped"/>
    <n v="4"/>
    <x v="5"/>
    <n v="2004"/>
    <x v="4"/>
    <n v="68"/>
    <s v="S24_3949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333.7000000000003"/>
  </r>
  <r>
    <n v="10328"/>
    <n v="35"/>
    <n v="76.430000000000007"/>
    <n v="3"/>
    <n v="2675.05"/>
    <d v="2004-11-12T00:00:00"/>
    <s v="Shipped"/>
    <n v="4"/>
    <x v="5"/>
    <n v="2004"/>
    <x v="4"/>
    <n v="68"/>
    <s v="S24_3949"/>
    <s v="Rovelli Gifts"/>
    <s v="035-640555"/>
    <s v="Via Ludovico il Moro 22"/>
    <m/>
    <s v="Bergamo"/>
    <m/>
    <n v="24100"/>
    <s v="Italy"/>
    <s v="EMEA"/>
    <s v="Rovelli"/>
    <s v="Giovanni"/>
    <s v="Small"/>
    <n v="2675.05"/>
  </r>
  <r>
    <n v="10339"/>
    <n v="45"/>
    <n v="96.92"/>
    <n v="11"/>
    <n v="4361.3999999999996"/>
    <d v="2004-11-23T00:00:00"/>
    <s v="Shipped"/>
    <n v="4"/>
    <x v="5"/>
    <n v="2004"/>
    <x v="4"/>
    <n v="68"/>
    <s v="S24_3949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4361.3999999999996"/>
  </r>
  <r>
    <n v="10351"/>
    <n v="34"/>
    <n v="59.37"/>
    <n v="3"/>
    <n v="2018.58"/>
    <d v="2004-12-03T00:00:00"/>
    <s v="Shipped"/>
    <n v="4"/>
    <x v="6"/>
    <n v="2004"/>
    <x v="4"/>
    <n v="68"/>
    <s v="S24_3949"/>
    <s v="Stylish Desk Decors, Co."/>
    <s v="(171) 555-0297"/>
    <s v="35 King George"/>
    <m/>
    <s v="London"/>
    <m/>
    <s v="WX3 6FW"/>
    <s v="UK"/>
    <s v="EMEA"/>
    <s v="Brown"/>
    <s v="Ann"/>
    <s v="Small"/>
    <n v="2018.58"/>
  </r>
  <r>
    <n v="10361"/>
    <n v="26"/>
    <n v="100"/>
    <n v="7"/>
    <n v="3710.98"/>
    <d v="2004-12-17T00:00:00"/>
    <s v="Shipped"/>
    <n v="4"/>
    <x v="6"/>
    <n v="2004"/>
    <x v="4"/>
    <n v="68"/>
    <s v="S24_3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2600"/>
  </r>
  <r>
    <n v="10373"/>
    <n v="39"/>
    <n v="73"/>
    <n v="13"/>
    <n v="2847"/>
    <d v="2005-01-31T00:00:00"/>
    <s v="Shipped"/>
    <n v="1"/>
    <x v="7"/>
    <n v="2005"/>
    <x v="4"/>
    <n v="68"/>
    <s v="S24_3949"/>
    <s v="Oulu Toy Supplies, Inc."/>
    <s v="981-443655"/>
    <s v="Torikatu 38"/>
    <m/>
    <s v="Oulu"/>
    <m/>
    <n v="90110"/>
    <s v="Finland"/>
    <s v="EMEA"/>
    <s v="Koskitalo"/>
    <s v="Pirkko"/>
    <s v="Small"/>
    <n v="2847"/>
  </r>
  <r>
    <n v="10386"/>
    <n v="41"/>
    <n v="73.319999999999993"/>
    <n v="12"/>
    <n v="3006.12"/>
    <d v="2005-03-01T00:00:00"/>
    <s v="Resolved"/>
    <n v="1"/>
    <x v="11"/>
    <n v="2005"/>
    <x v="4"/>
    <n v="68"/>
    <s v="S24_3949"/>
    <s v="Euro Shopping Channel"/>
    <s v="(91) 555 94 44"/>
    <s v="C/ Moralzarzal, 86"/>
    <m/>
    <s v="Madrid"/>
    <m/>
    <n v="28034"/>
    <s v="Spain"/>
    <s v="EMEA"/>
    <s v="Freyre"/>
    <s v="Diego"/>
    <s v="Medium"/>
    <n v="3006.12"/>
  </r>
  <r>
    <n v="10398"/>
    <n v="41"/>
    <n v="68.239999999999995"/>
    <n v="2"/>
    <n v="2797.84"/>
    <d v="2005-03-30T00:00:00"/>
    <s v="Shipped"/>
    <n v="1"/>
    <x v="11"/>
    <n v="2005"/>
    <x v="4"/>
    <n v="68"/>
    <s v="S24_3949"/>
    <s v="Reims Collectables"/>
    <s v="26.47.1555"/>
    <s v="59 rue de l'Abbaye"/>
    <m/>
    <s v="Reims"/>
    <m/>
    <n v="51100"/>
    <s v="France"/>
    <s v="EMEA"/>
    <s v="Henriot"/>
    <s v="Paul"/>
    <s v="Small"/>
    <n v="2797.8399999999997"/>
  </r>
  <r>
    <n v="10401"/>
    <n v="64"/>
    <n v="60.05"/>
    <n v="12"/>
    <n v="3843.2"/>
    <d v="2005-04-03T00:00:00"/>
    <s v="On Hold"/>
    <n v="2"/>
    <x v="8"/>
    <n v="2005"/>
    <x v="4"/>
    <n v="68"/>
    <s v="S24_3949"/>
    <s v="Tekni Collectables Inc."/>
    <n v="2015559350"/>
    <s v="7476 Moss Rd."/>
    <m/>
    <s v="Newark"/>
    <s v="NJ"/>
    <n v="94019"/>
    <s v="USA"/>
    <s v="NA"/>
    <s v="Brown"/>
    <s v="William"/>
    <s v="Medium"/>
    <n v="3843.2"/>
  </r>
  <r>
    <n v="10416"/>
    <n v="18"/>
    <n v="75.06"/>
    <n v="13"/>
    <n v="1351.08"/>
    <d v="2005-05-10T00:00:00"/>
    <s v="Shipped"/>
    <n v="2"/>
    <x v="1"/>
    <n v="2005"/>
    <x v="4"/>
    <n v="68"/>
    <s v="S24_3949"/>
    <s v="L'ordine Souveniers"/>
    <s v="0522-556555"/>
    <s v="Strada Provinciale 124"/>
    <m/>
    <s v="Reggio Emilia"/>
    <m/>
    <n v="42100"/>
    <s v="Italy"/>
    <s v="EMEA"/>
    <s v="Moroni"/>
    <s v="Maurizio"/>
    <s v="Small"/>
    <n v="1351.08"/>
  </r>
  <r>
    <n v="10100"/>
    <n v="49"/>
    <n v="34.47"/>
    <n v="1"/>
    <n v="1689.03"/>
    <d v="2003-01-06T00:00:00"/>
    <s v="Shipped"/>
    <n v="1"/>
    <x v="7"/>
    <n v="2003"/>
    <x v="3"/>
    <n v="41"/>
    <s v="S24_3969"/>
    <s v="Online Diecast Creations Co."/>
    <n v="6035558647"/>
    <s v="2304 Long Airport Avenue"/>
    <m/>
    <s v="Nashua"/>
    <s v="NH"/>
    <n v="62005"/>
    <s v="USA"/>
    <s v="NA"/>
    <s v="Young"/>
    <s v="Valarie"/>
    <s v="Small"/>
    <n v="1689.03"/>
  </r>
  <r>
    <n v="10110"/>
    <n v="48"/>
    <n v="34.47"/>
    <n v="5"/>
    <n v="1654.56"/>
    <d v="2003-03-18T00:00:00"/>
    <s v="Shipped"/>
    <n v="1"/>
    <x v="11"/>
    <n v="2003"/>
    <x v="3"/>
    <n v="41"/>
    <s v="S24_3969"/>
    <s v="AV Stores, Co."/>
    <s v="(171) 555-1555"/>
    <s v="Fauntleroy Circus"/>
    <m/>
    <s v="Manchester"/>
    <m/>
    <s v="EC2 5NT"/>
    <s v="UK"/>
    <s v="EMEA"/>
    <s v="Ashworth"/>
    <s v="Victoria"/>
    <s v="Small"/>
    <n v="1654.56"/>
  </r>
  <r>
    <n v="10124"/>
    <n v="46"/>
    <n v="33.229999999999997"/>
    <n v="4"/>
    <n v="1528.58"/>
    <d v="2003-05-21T00:00:00"/>
    <s v="Shipped"/>
    <n v="2"/>
    <x v="1"/>
    <n v="2003"/>
    <x v="3"/>
    <n v="41"/>
    <s v="S24_3969"/>
    <s v="Signal Gift Stores"/>
    <n v="7025551838"/>
    <s v="8489 Strong St."/>
    <m/>
    <s v="Las Vegas"/>
    <s v="NV"/>
    <n v="83030"/>
    <s v="USA"/>
    <s v="NA"/>
    <s v="King"/>
    <s v="Sue"/>
    <s v="Small"/>
    <n v="1528.58"/>
  </r>
  <r>
    <n v="10149"/>
    <n v="26"/>
    <n v="38.979999999999997"/>
    <n v="9"/>
    <n v="1013.48"/>
    <d v="2003-09-12T00:00:00"/>
    <s v="Shipped"/>
    <n v="3"/>
    <x v="10"/>
    <n v="2003"/>
    <x v="3"/>
    <n v="41"/>
    <s v="S24_3969"/>
    <s v="Signal Collectibles Ltd."/>
    <n v="4155554312"/>
    <s v="2793 Furth Circle"/>
    <m/>
    <s v="Brisbane"/>
    <s v="CA"/>
    <n v="94217"/>
    <s v="USA"/>
    <s v="NA"/>
    <s v="Taylor"/>
    <s v="Sue"/>
    <s v="Small"/>
    <n v="1013.4799999999999"/>
  </r>
  <r>
    <n v="10162"/>
    <n v="37"/>
    <n v="38.979999999999997"/>
    <n v="7"/>
    <n v="1442.26"/>
    <d v="2003-10-18T00:00:00"/>
    <s v="Shipped"/>
    <n v="4"/>
    <x v="4"/>
    <n v="2003"/>
    <x v="3"/>
    <n v="41"/>
    <s v="S24_3969"/>
    <s v="Corporate Gift Ideas Co."/>
    <n v="6505551386"/>
    <s v="7734 Strong St."/>
    <m/>
    <s v="San Francisco"/>
    <s v="CA"/>
    <m/>
    <s v="USA"/>
    <s v="NA"/>
    <s v="Brown"/>
    <s v="Julie"/>
    <s v="Small"/>
    <n v="1442.26"/>
  </r>
  <r>
    <n v="10173"/>
    <n v="35"/>
    <n v="33.229999999999997"/>
    <n v="11"/>
    <n v="1163.05"/>
    <d v="2003-11-05T00:00:00"/>
    <s v="Shipped"/>
    <n v="4"/>
    <x v="5"/>
    <n v="2003"/>
    <x v="3"/>
    <n v="41"/>
    <s v="S24_3969"/>
    <s v="Rovelli Gifts"/>
    <s v="035-640555"/>
    <s v="Via Ludovico il Moro 22"/>
    <m/>
    <s v="Bergamo"/>
    <m/>
    <n v="24100"/>
    <s v="Italy"/>
    <s v="EMEA"/>
    <s v="Rovelli"/>
    <s v="Giovanni"/>
    <s v="Small"/>
    <n v="1163.05"/>
  </r>
  <r>
    <n v="10182"/>
    <n v="23"/>
    <n v="42.26"/>
    <n v="8"/>
    <n v="971.98"/>
    <d v="2003-11-12T00:00:00"/>
    <s v="Shipped"/>
    <n v="4"/>
    <x v="5"/>
    <n v="2003"/>
    <x v="3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  <n v="971.9799999999999"/>
  </r>
  <r>
    <n v="10193"/>
    <n v="22"/>
    <n v="41.03"/>
    <n v="12"/>
    <n v="902.66"/>
    <d v="2003-11-21T00:00:00"/>
    <s v="Shipped"/>
    <n v="4"/>
    <x v="5"/>
    <n v="2003"/>
    <x v="3"/>
    <n v="41"/>
    <s v="S24_3969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902.66000000000008"/>
  </r>
  <r>
    <n v="10204"/>
    <n v="39"/>
    <n v="33.229999999999997"/>
    <n v="2"/>
    <n v="1295.97"/>
    <d v="2003-12-02T00:00:00"/>
    <s v="Shipped"/>
    <n v="4"/>
    <x v="6"/>
    <n v="2003"/>
    <x v="3"/>
    <n v="41"/>
    <s v="S24_3969"/>
    <s v="Muscle Machine Inc"/>
    <n v="2125557413"/>
    <s v="4092 Furth Circle"/>
    <s v="Suite 400"/>
    <s v="NYC"/>
    <s v="NY"/>
    <n v="10022"/>
    <s v="USA"/>
    <s v="NA"/>
    <s v="Young"/>
    <s v="Jeff"/>
    <s v="Small"/>
    <n v="1295.9699999999998"/>
  </r>
  <r>
    <n v="10214"/>
    <n v="44"/>
    <n v="34.880000000000003"/>
    <n v="5"/>
    <n v="1534.72"/>
    <d v="2004-01-26T00:00:00"/>
    <s v="Shipped"/>
    <n v="1"/>
    <x v="7"/>
    <n v="2004"/>
    <x v="3"/>
    <n v="41"/>
    <s v="S24_3969"/>
    <s v="Corrida Auto Replicas, Ltd"/>
    <s v="(91) 555 22 82"/>
    <s v="C/ Araquil, 67"/>
    <m/>
    <s v="Madrid"/>
    <m/>
    <n v="28023"/>
    <s v="Spain"/>
    <s v="EMEA"/>
    <s v="Sommer"/>
    <s v="Mart¡n"/>
    <s v="Small"/>
    <n v="1534.72"/>
  </r>
  <r>
    <n v="10227"/>
    <n v="27"/>
    <n v="43.9"/>
    <n v="8"/>
    <n v="1185.3"/>
    <d v="2004-03-02T00:00:00"/>
    <s v="Shipped"/>
    <n v="1"/>
    <x v="11"/>
    <n v="2004"/>
    <x v="3"/>
    <n v="41"/>
    <s v="S24_3969"/>
    <s v="Saveley &amp; Henriot, Co."/>
    <s v="78.32.5555"/>
    <s v="2, rue du Commerce"/>
    <m/>
    <s v="Lyon"/>
    <m/>
    <n v="69004"/>
    <s v="France"/>
    <s v="EMEA"/>
    <s v="Saveley"/>
    <s v="Mary"/>
    <s v="Small"/>
    <n v="1185.3"/>
  </r>
  <r>
    <n v="10242"/>
    <n v="46"/>
    <n v="36.93"/>
    <n v="1"/>
    <n v="1698.78"/>
    <d v="2004-04-20T00:00:00"/>
    <s v="Shipped"/>
    <n v="2"/>
    <x v="8"/>
    <n v="2004"/>
    <x v="3"/>
    <n v="41"/>
    <s v="S24_3969"/>
    <s v="Microscale Inc."/>
    <n v="2125551957"/>
    <s v="5290 North Pendale Street"/>
    <s v="Suite 200"/>
    <s v="NYC"/>
    <s v="NY"/>
    <n v="10022"/>
    <s v="USA"/>
    <s v="NA"/>
    <s v="Kuo"/>
    <s v="Kee"/>
    <s v="Small"/>
    <n v="1698.78"/>
  </r>
  <r>
    <n v="10280"/>
    <n v="33"/>
    <n v="41.85"/>
    <n v="14"/>
    <n v="1381.05"/>
    <d v="2004-08-17T00:00:00"/>
    <s v="Shipped"/>
    <n v="3"/>
    <x v="3"/>
    <n v="2004"/>
    <x v="3"/>
    <n v="41"/>
    <s v="S24_3969"/>
    <s v="Amica Models &amp; Co."/>
    <s v="011-4988555"/>
    <s v="Via Monte Bianco 34"/>
    <m/>
    <s v="Torino"/>
    <m/>
    <n v="10100"/>
    <s v="Italy"/>
    <s v="EMEA"/>
    <s v="Accorti"/>
    <s v="Paolo"/>
    <s v="Small"/>
    <n v="1381.05"/>
  </r>
  <r>
    <n v="10288"/>
    <n v="33"/>
    <n v="40.619999999999997"/>
    <n v="3"/>
    <n v="1340.46"/>
    <d v="2004-09-01T00:00:00"/>
    <s v="Shipped"/>
    <n v="3"/>
    <x v="10"/>
    <n v="2004"/>
    <x v="3"/>
    <n v="41"/>
    <s v="S24_396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340.4599999999998"/>
  </r>
  <r>
    <n v="10303"/>
    <n v="24"/>
    <n v="40.21"/>
    <n v="1"/>
    <n v="965.04"/>
    <d v="2004-10-06T00:00:00"/>
    <s v="Shipped"/>
    <n v="4"/>
    <x v="4"/>
    <n v="2004"/>
    <x v="3"/>
    <n v="41"/>
    <s v="S24_3969"/>
    <s v="Iberia Gift Imports, Corp."/>
    <s v="(95) 555 82 82"/>
    <s v="C/ Romero, 33"/>
    <m/>
    <s v="Sevilla"/>
    <m/>
    <n v="41101"/>
    <s v="Spain"/>
    <s v="EMEA"/>
    <s v="Roel"/>
    <s v="Jose Pedro"/>
    <s v="Small"/>
    <n v="965.04"/>
  </r>
  <r>
    <n v="10312"/>
    <n v="31"/>
    <n v="35.29"/>
    <n v="15"/>
    <n v="1093.99"/>
    <d v="2004-10-21T00:00:00"/>
    <s v="Shipped"/>
    <n v="4"/>
    <x v="4"/>
    <n v="2004"/>
    <x v="3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  <n v="1093.99"/>
  </r>
  <r>
    <n v="10332"/>
    <n v="41"/>
    <n v="77.239999999999995"/>
    <n v="14"/>
    <n v="3166.84"/>
    <d v="2004-11-17T00:00:00"/>
    <s v="Shipped"/>
    <n v="4"/>
    <x v="5"/>
    <n v="2004"/>
    <x v="3"/>
    <n v="41"/>
    <s v="S24_3969"/>
    <s v="AV Stores, Co."/>
    <s v="(171) 555-1555"/>
    <s v="Fauntleroy Circus"/>
    <m/>
    <s v="Manchester"/>
    <m/>
    <s v="EC2 5NT"/>
    <s v="UK"/>
    <s v="EMEA"/>
    <s v="Ashworth"/>
    <s v="Victoria"/>
    <s v="Medium"/>
    <n v="3166.8399999999997"/>
  </r>
  <r>
    <n v="10346"/>
    <n v="22"/>
    <n v="97.44"/>
    <n v="4"/>
    <n v="2143.6799999999998"/>
    <d v="2004-11-29T00:00:00"/>
    <s v="Shipped"/>
    <n v="4"/>
    <x v="5"/>
    <n v="2004"/>
    <x v="3"/>
    <n v="41"/>
    <s v="S24_3969"/>
    <s v="Signal Gift Stores"/>
    <n v="7025551838"/>
    <s v="8489 Strong St."/>
    <m/>
    <s v="Las Vegas"/>
    <s v="NV"/>
    <n v="83030"/>
    <s v="USA"/>
    <s v="NA"/>
    <s v="King"/>
    <s v="Sue"/>
    <s v="Small"/>
    <n v="2143.6799999999998"/>
  </r>
  <r>
    <n v="10368"/>
    <n v="46"/>
    <n v="37.340000000000003"/>
    <n v="3"/>
    <n v="1717.64"/>
    <d v="2005-01-19T00:00:00"/>
    <s v="Shipped"/>
    <n v="1"/>
    <x v="7"/>
    <n v="2005"/>
    <x v="3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  <n v="1717.64"/>
  </r>
  <r>
    <n v="10380"/>
    <n v="43"/>
    <n v="95.03"/>
    <n v="12"/>
    <n v="4086.29"/>
    <d v="2005-02-16T00:00:00"/>
    <s v="Shipped"/>
    <n v="1"/>
    <x v="0"/>
    <n v="2005"/>
    <x v="3"/>
    <n v="41"/>
    <s v="S24_3969"/>
    <s v="Euro Shopping Channel"/>
    <s v="(91) 555 94 44"/>
    <s v="C/ Moralzarzal, 86"/>
    <m/>
    <s v="Madrid"/>
    <m/>
    <n v="28034"/>
    <s v="Spain"/>
    <s v="EMEA"/>
    <s v="Freyre"/>
    <s v="Diego"/>
    <s v="Medium"/>
    <n v="4086.29"/>
  </r>
  <r>
    <n v="10408"/>
    <n v="15"/>
    <n v="36.93"/>
    <n v="1"/>
    <n v="553.95000000000005"/>
    <d v="2005-04-22T00:00:00"/>
    <s v="Shipped"/>
    <n v="2"/>
    <x v="8"/>
    <n v="2005"/>
    <x v="3"/>
    <n v="41"/>
    <s v="S24_3969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553.95000000000005"/>
  </r>
  <r>
    <n v="10420"/>
    <n v="15"/>
    <n v="43.49"/>
    <n v="3"/>
    <n v="652.35"/>
    <d v="2005-05-29T00:00:00"/>
    <s v="In Process"/>
    <n v="2"/>
    <x v="1"/>
    <n v="2005"/>
    <x v="3"/>
    <n v="41"/>
    <s v="S24_396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652.35"/>
  </r>
  <r>
    <n v="10104"/>
    <n v="26"/>
    <n v="100"/>
    <n v="5"/>
    <n v="2921.62"/>
    <d v="2003-01-31T00:00:00"/>
    <s v="Shipped"/>
    <n v="1"/>
    <x v="7"/>
    <n v="2003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Small"/>
    <n v="2600"/>
  </r>
  <r>
    <n v="10115"/>
    <n v="44"/>
    <n v="100"/>
    <n v="1"/>
    <n v="5568.64"/>
    <d v="2003-04-04T00:00:00"/>
    <s v="Shipped"/>
    <n v="2"/>
    <x v="8"/>
    <n v="2003"/>
    <x v="1"/>
    <n v="118"/>
    <s v="S24_4048"/>
    <s v="Classic Legends Inc."/>
    <n v="2125558493"/>
    <s v="5905 Pompton St."/>
    <s v="Suite 750"/>
    <s v="NYC"/>
    <s v="NY"/>
    <n v="10022"/>
    <s v="USA"/>
    <s v="NA"/>
    <s v="Hernandez"/>
    <s v="Maria"/>
    <s v="Medium"/>
    <n v="4400"/>
  </r>
  <r>
    <n v="10127"/>
    <n v="20"/>
    <n v="96.99"/>
    <n v="7"/>
    <n v="1939.8"/>
    <d v="2003-06-03T00:00:00"/>
    <s v="Shipped"/>
    <n v="2"/>
    <x v="9"/>
    <n v="2003"/>
    <x v="1"/>
    <n v="118"/>
    <s v="S24_4048"/>
    <s v="Muscle Machine Inc"/>
    <n v="2125557413"/>
    <s v="4092 Furth Circle"/>
    <s v="Suite 400"/>
    <s v="NYC"/>
    <s v="NY"/>
    <n v="10022"/>
    <s v="USA"/>
    <s v="NA"/>
    <s v="Young"/>
    <s v="Jeff"/>
    <s v="Small"/>
    <n v="1939.8"/>
  </r>
  <r>
    <n v="10141"/>
    <n v="40"/>
    <n v="94.62"/>
    <n v="1"/>
    <n v="3784.8"/>
    <d v="2003-08-01T00:00:00"/>
    <s v="Shipped"/>
    <n v="3"/>
    <x v="3"/>
    <n v="2003"/>
    <x v="1"/>
    <n v="118"/>
    <s v="S24_4048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3784.8"/>
  </r>
  <r>
    <n v="10152"/>
    <n v="23"/>
    <n v="100"/>
    <n v="3"/>
    <n v="2802.09"/>
    <d v="2003-09-25T00:00:00"/>
    <s v="Shipped"/>
    <n v="3"/>
    <x v="10"/>
    <n v="2003"/>
    <x v="1"/>
    <n v="118"/>
    <s v="S24_404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  <n v="2300"/>
  </r>
  <r>
    <n v="10165"/>
    <n v="24"/>
    <n v="99.36"/>
    <n v="8"/>
    <n v="2384.64"/>
    <d v="2003-10-22T00:00:00"/>
    <s v="Shipped"/>
    <n v="4"/>
    <x v="4"/>
    <n v="2003"/>
    <x v="1"/>
    <n v="118"/>
    <s v="S24_4048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384.64"/>
  </r>
  <r>
    <n v="10176"/>
    <n v="29"/>
    <n v="100"/>
    <n v="7"/>
    <n v="2915.66"/>
    <d v="2003-11-06T00:00:00"/>
    <s v="Shipped"/>
    <n v="4"/>
    <x v="5"/>
    <n v="2003"/>
    <x v="1"/>
    <n v="118"/>
    <s v="S24_4048"/>
    <s v="L'ordine Souveniers"/>
    <s v="0522-556555"/>
    <s v="Strada Provinciale 124"/>
    <m/>
    <s v="Reggio Emilia"/>
    <m/>
    <n v="42100"/>
    <s v="Italy"/>
    <s v="EMEA"/>
    <s v="Moroni"/>
    <s v="Maurizio"/>
    <s v="Small"/>
    <n v="2900"/>
  </r>
  <r>
    <n v="10184"/>
    <n v="49"/>
    <n v="100"/>
    <n v="2"/>
    <n v="5795.72"/>
    <d v="2003-11-14T00:00:00"/>
    <s v="Shipped"/>
    <n v="4"/>
    <x v="5"/>
    <n v="2003"/>
    <x v="1"/>
    <n v="118"/>
    <s v="S24_4048"/>
    <s v="Iberia Gift Imports, Corp."/>
    <s v="(95) 555 82 82"/>
    <s v="C/ Romero, 33"/>
    <m/>
    <s v="Sevilla"/>
    <m/>
    <n v="41101"/>
    <s v="Spain"/>
    <s v="EMEA"/>
    <s v="Roel"/>
    <s v="Jose Pedro"/>
    <s v="Medium"/>
    <n v="4900"/>
  </r>
  <r>
    <n v="10195"/>
    <n v="34"/>
    <n v="100"/>
    <n v="2"/>
    <n v="3699.88"/>
    <d v="2003-11-25T00:00:00"/>
    <s v="Shipped"/>
    <n v="4"/>
    <x v="5"/>
    <n v="2003"/>
    <x v="1"/>
    <n v="118"/>
    <s v="S24_4048"/>
    <s v="Mini Classics"/>
    <n v="9145554562"/>
    <s v="3758 North Pendale Street"/>
    <m/>
    <s v="White Plains"/>
    <s v="NY"/>
    <n v="24067"/>
    <s v="USA"/>
    <s v="NA"/>
    <s v="Frick"/>
    <s v="Steve"/>
    <s v="Medium"/>
    <n v="3400"/>
  </r>
  <r>
    <n v="10207"/>
    <n v="28"/>
    <n v="100"/>
    <n v="3"/>
    <n v="2980.6"/>
    <d v="2003-12-09T00:00:00"/>
    <s v="Shipped"/>
    <n v="4"/>
    <x v="6"/>
    <n v="2003"/>
    <x v="1"/>
    <n v="118"/>
    <s v="S24_4048"/>
    <s v="Diecast Collectables"/>
    <n v="6175552555"/>
    <s v="6251 Ingle Ln."/>
    <m/>
    <s v="Boston"/>
    <s v="MA"/>
    <n v="51003"/>
    <s v="USA"/>
    <s v="NA"/>
    <s v="Franco"/>
    <s v="Valarie"/>
    <s v="Small"/>
    <n v="2800"/>
  </r>
  <r>
    <n v="10220"/>
    <n v="37"/>
    <n v="100"/>
    <n v="7"/>
    <n v="5032.74"/>
    <d v="2004-02-12T00:00:00"/>
    <s v="Shipped"/>
    <n v="1"/>
    <x v="0"/>
    <n v="2004"/>
    <x v="1"/>
    <n v="118"/>
    <s v="S24_4048"/>
    <s v="Clover Collections, Co."/>
    <s v="+353 1862 1555"/>
    <s v="25 Maiden Lane"/>
    <s v="Floor No. 4"/>
    <s v="Dublin"/>
    <m/>
    <n v="2"/>
    <s v="Ireland"/>
    <s v="EMEA"/>
    <s v="Cassidy"/>
    <s v="Dean"/>
    <s v="Medium"/>
    <n v="3700"/>
  </r>
  <r>
    <n v="10230"/>
    <n v="45"/>
    <n v="100"/>
    <n v="5"/>
    <n v="4737.1499999999996"/>
    <d v="2004-03-15T00:00:00"/>
    <s v="Shipped"/>
    <n v="1"/>
    <x v="11"/>
    <n v="2004"/>
    <x v="1"/>
    <n v="118"/>
    <s v="S24_4048"/>
    <s v="Blauer See Auto, Co."/>
    <s v="+49 69 66 90 2555"/>
    <s v="Lyonerstr. 34"/>
    <m/>
    <s v="Frankfurt"/>
    <m/>
    <n v="60528"/>
    <s v="Germany"/>
    <s v="EMEA"/>
    <s v="Keitel"/>
    <s v="Roland"/>
    <s v="Medium"/>
    <n v="4500"/>
  </r>
  <r>
    <n v="10246"/>
    <n v="46"/>
    <n v="100"/>
    <n v="1"/>
    <n v="6311.2"/>
    <d v="2004-05-05T00:00:00"/>
    <s v="Shipped"/>
    <n v="2"/>
    <x v="1"/>
    <n v="2004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  <n v="4600"/>
  </r>
  <r>
    <n v="10271"/>
    <n v="22"/>
    <n v="100"/>
    <n v="1"/>
    <n v="3070.54"/>
    <d v="2004-07-20T00:00:00"/>
    <s v="Shipped"/>
    <n v="3"/>
    <x v="2"/>
    <n v="2004"/>
    <x v="1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Medium"/>
    <n v="2200"/>
  </r>
  <r>
    <n v="10282"/>
    <n v="39"/>
    <n v="100"/>
    <n v="10"/>
    <n v="4797.3900000000003"/>
    <d v="2004-08-20T00:00:00"/>
    <s v="Shipped"/>
    <n v="3"/>
    <x v="3"/>
    <n v="2004"/>
    <x v="1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Medium"/>
    <n v="3900"/>
  </r>
  <r>
    <n v="10292"/>
    <n v="27"/>
    <n v="100"/>
    <n v="4"/>
    <n v="3832.38"/>
    <d v="2004-09-08T00:00:00"/>
    <s v="Shipped"/>
    <n v="3"/>
    <x v="10"/>
    <n v="2004"/>
    <x v="1"/>
    <n v="118"/>
    <s v="S24_4048"/>
    <s v="Land of Toys Inc."/>
    <n v="2125557818"/>
    <s v="897 Long Airport Avenue"/>
    <m/>
    <s v="NYC"/>
    <s v="NY"/>
    <n v="10022"/>
    <s v="USA"/>
    <s v="NA"/>
    <s v="Yu"/>
    <s v="Kwai"/>
    <s v="Medium"/>
    <n v="2700"/>
  </r>
  <r>
    <n v="10305"/>
    <n v="36"/>
    <n v="100"/>
    <n v="1"/>
    <n v="4641.4799999999996"/>
    <d v="2004-10-13T00:00:00"/>
    <s v="Shipped"/>
    <n v="4"/>
    <x v="4"/>
    <n v="2004"/>
    <x v="1"/>
    <n v="118"/>
    <s v="S24_4048"/>
    <s v="Marta's Replicas Co."/>
    <n v="6175558555"/>
    <s v="39323 Spinnaker Dr."/>
    <m/>
    <s v="Cambridge"/>
    <s v="MA"/>
    <n v="51247"/>
    <s v="USA"/>
    <s v="NA"/>
    <s v="Hernandez"/>
    <s v="Marta"/>
    <s v="Medium"/>
    <n v="3600"/>
  </r>
  <r>
    <n v="10314"/>
    <n v="38"/>
    <n v="100"/>
    <n v="10"/>
    <n v="4000.26"/>
    <d v="2004-10-22T00:00:00"/>
    <s v="Shipped"/>
    <n v="4"/>
    <x v="4"/>
    <n v="2004"/>
    <x v="1"/>
    <n v="118"/>
    <s v="S24_4048"/>
    <s v="Heintze Collectables"/>
    <s v="86 21 3555"/>
    <s v="Smagsloget 45"/>
    <m/>
    <s v="Aaarhus"/>
    <m/>
    <n v="8200"/>
    <s v="Denmark"/>
    <s v="EMEA"/>
    <s v="Ibsen"/>
    <s v="Palle"/>
    <s v="Medium"/>
    <n v="3800"/>
  </r>
  <r>
    <n v="10325"/>
    <n v="44"/>
    <n v="100"/>
    <n v="5"/>
    <n v="5325.76"/>
    <d v="2004-11-05T00:00:00"/>
    <s v="Shipped"/>
    <n v="4"/>
    <x v="5"/>
    <n v="2004"/>
    <x v="1"/>
    <n v="118"/>
    <s v="S24_4048"/>
    <s v="Baane Mini Imports"/>
    <s v="07-98 9555"/>
    <s v="Erling Skakkes gate 78"/>
    <m/>
    <s v="Stavern"/>
    <m/>
    <n v="4110"/>
    <s v="Norway"/>
    <s v="EMEA"/>
    <s v="Bergulfsen"/>
    <s v="Jonas"/>
    <s v="Medium"/>
    <n v="4400"/>
  </r>
  <r>
    <n v="10336"/>
    <n v="31"/>
    <n v="100"/>
    <n v="5"/>
    <n v="4618.6899999999996"/>
    <d v="2004-11-20T00:00:00"/>
    <s v="Shipped"/>
    <n v="4"/>
    <x v="5"/>
    <n v="2004"/>
    <x v="1"/>
    <n v="118"/>
    <s v="S24_4048"/>
    <s v="La Corne D'abondance, Co."/>
    <s v="(1) 42.34.2555"/>
    <s v="265, boulevard Charonne"/>
    <m/>
    <s v="Paris"/>
    <m/>
    <n v="75012"/>
    <s v="France"/>
    <s v="EMEA"/>
    <s v="Bertrand"/>
    <s v="Marie"/>
    <s v="Medium"/>
    <n v="3100"/>
  </r>
  <r>
    <n v="10349"/>
    <n v="23"/>
    <n v="100"/>
    <n v="2"/>
    <n v="3182.97"/>
    <d v="2004-12-01T00:00:00"/>
    <s v="Shipped"/>
    <n v="4"/>
    <x v="6"/>
    <n v="2004"/>
    <x v="1"/>
    <n v="118"/>
    <s v="S24_4048"/>
    <s v="Muscle Machine Inc"/>
    <n v="2125557413"/>
    <s v="4092 Furth Circle"/>
    <s v="Suite 400"/>
    <s v="NYC"/>
    <s v="NY"/>
    <n v="10022"/>
    <s v="USA"/>
    <s v="NA"/>
    <s v="Young"/>
    <s v="Jeff"/>
    <s v="Medium"/>
    <n v="2300"/>
  </r>
  <r>
    <n v="10359"/>
    <n v="22"/>
    <n v="100"/>
    <n v="7"/>
    <n v="2603.04"/>
    <d v="2004-12-15T00:00:00"/>
    <s v="Shipped"/>
    <n v="4"/>
    <x v="6"/>
    <n v="2004"/>
    <x v="1"/>
    <n v="118"/>
    <s v="S24_4048"/>
    <s v="Reims Collectables"/>
    <s v="26.47.1555"/>
    <s v="59 rue de l'Abbaye"/>
    <m/>
    <s v="Reims"/>
    <m/>
    <n v="51100"/>
    <s v="France"/>
    <s v="EMEA"/>
    <s v="Henriot"/>
    <s v="Paul"/>
    <s v="Small"/>
    <n v="2200"/>
  </r>
  <r>
    <n v="10371"/>
    <n v="28"/>
    <n v="50.32"/>
    <n v="9"/>
    <n v="1408.96"/>
    <d v="2005-01-23T00:00:00"/>
    <s v="Shipped"/>
    <n v="1"/>
    <x v="7"/>
    <n v="2005"/>
    <x v="1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Small"/>
    <n v="1408.96"/>
  </r>
  <r>
    <n v="10383"/>
    <n v="21"/>
    <n v="93.91"/>
    <n v="4"/>
    <n v="1972.11"/>
    <d v="2005-02-22T00:00:00"/>
    <s v="Shipped"/>
    <n v="1"/>
    <x v="0"/>
    <n v="2005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Small"/>
    <n v="1972.11"/>
  </r>
  <r>
    <n v="10394"/>
    <n v="37"/>
    <n v="100"/>
    <n v="7"/>
    <n v="5207.75"/>
    <d v="2005-03-15T00:00:00"/>
    <s v="Shipped"/>
    <n v="1"/>
    <x v="11"/>
    <n v="2005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  <n v="3700"/>
  </r>
  <r>
    <n v="10412"/>
    <n v="31"/>
    <n v="100"/>
    <n v="1"/>
    <n v="4253.2"/>
    <d v="2005-05-03T00:00:00"/>
    <s v="Shipped"/>
    <n v="2"/>
    <x v="1"/>
    <n v="2005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  <n v="3100"/>
  </r>
  <r>
    <n v="10103"/>
    <n v="25"/>
    <n v="100"/>
    <n v="15"/>
    <n v="2873"/>
    <d v="2003-01-29T00:00:00"/>
    <s v="Shipped"/>
    <n v="1"/>
    <x v="7"/>
    <n v="2003"/>
    <x v="3"/>
    <n v="97"/>
    <s v="S24_4258"/>
    <s v="Baane Mini Imports"/>
    <s v="07-98 9555"/>
    <s v="Erling Skakkes gate 78"/>
    <m/>
    <s v="Stavern"/>
    <m/>
    <n v="4110"/>
    <s v="Norway"/>
    <s v="EMEA"/>
    <s v="Bergulfsen"/>
    <s v="Jonas"/>
    <s v="Small"/>
    <n v="2500"/>
  </r>
  <r>
    <n v="10111"/>
    <n v="26"/>
    <n v="86.68"/>
    <n v="3"/>
    <n v="2253.6799999999998"/>
    <d v="2003-03-25T00:00:00"/>
    <s v="Shipped"/>
    <n v="1"/>
    <x v="11"/>
    <n v="2003"/>
    <x v="3"/>
    <n v="97"/>
    <s v="S24_4258"/>
    <s v="Mini Wheels Co."/>
    <n v="6505555787"/>
    <s v="5557 North Pendale Street"/>
    <m/>
    <s v="San Francisco"/>
    <s v="CA"/>
    <m/>
    <s v="USA"/>
    <s v="NA"/>
    <s v="Murphy"/>
    <s v="Julie"/>
    <s v="Small"/>
    <n v="2253.6800000000003"/>
  </r>
  <r>
    <n v="10126"/>
    <n v="34"/>
    <n v="100"/>
    <n v="15"/>
    <n v="3576.12"/>
    <d v="2003-05-28T00:00:00"/>
    <s v="Shipped"/>
    <n v="2"/>
    <x v="1"/>
    <n v="2003"/>
    <x v="3"/>
    <n v="97"/>
    <s v="S24_4258"/>
    <s v="Corrida Auto Replicas, Ltd"/>
    <s v="(91) 555 22 82"/>
    <s v="C/ Araquil, 67"/>
    <m/>
    <s v="Madrid"/>
    <m/>
    <n v="28023"/>
    <s v="Spain"/>
    <s v="EMEA"/>
    <s v="Sommer"/>
    <s v="Mart¡n"/>
    <s v="Medium"/>
    <n v="3400"/>
  </r>
  <r>
    <n v="10139"/>
    <n v="29"/>
    <n v="100"/>
    <n v="4"/>
    <n v="3276.13"/>
    <d v="2003-07-16T00:00:00"/>
    <s v="Shipped"/>
    <n v="3"/>
    <x v="2"/>
    <n v="2003"/>
    <x v="3"/>
    <n v="97"/>
    <s v="S24_425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2900"/>
  </r>
  <r>
    <n v="10149"/>
    <n v="20"/>
    <n v="90.57"/>
    <n v="1"/>
    <n v="1811.4"/>
    <d v="2003-09-12T00:00:00"/>
    <s v="Shipped"/>
    <n v="3"/>
    <x v="10"/>
    <n v="2003"/>
    <x v="3"/>
    <n v="97"/>
    <s v="S24_4258"/>
    <s v="Signal Collectibles Ltd."/>
    <n v="4155554312"/>
    <s v="2793 Furth Circle"/>
    <m/>
    <s v="Brisbane"/>
    <s v="CA"/>
    <n v="94217"/>
    <s v="USA"/>
    <s v="NA"/>
    <s v="Taylor"/>
    <s v="Sue"/>
    <s v="Small"/>
    <n v="1811.3999999999999"/>
  </r>
  <r>
    <n v="10163"/>
    <n v="42"/>
    <n v="91.55"/>
    <n v="5"/>
    <n v="3845.1"/>
    <d v="2003-10-20T00:00:00"/>
    <s v="Shipped"/>
    <n v="4"/>
    <x v="4"/>
    <n v="2003"/>
    <x v="3"/>
    <n v="97"/>
    <s v="S24_4258"/>
    <s v="Classic Legends Inc."/>
    <n v="2125558493"/>
    <s v="5905 Pompton St."/>
    <s v="Suite 750"/>
    <s v="NYC"/>
    <s v="NY"/>
    <n v="10022"/>
    <s v="USA"/>
    <s v="NA"/>
    <s v="Hernandez"/>
    <s v="Maria"/>
    <s v="Medium"/>
    <n v="3845.1"/>
  </r>
  <r>
    <n v="10173"/>
    <n v="22"/>
    <n v="100"/>
    <n v="3"/>
    <n v="2571.14"/>
    <d v="2003-11-05T00:00:00"/>
    <s v="Shipped"/>
    <n v="4"/>
    <x v="5"/>
    <n v="2003"/>
    <x v="3"/>
    <n v="97"/>
    <s v="S24_4258"/>
    <s v="Rovelli Gifts"/>
    <s v="035-640555"/>
    <s v="Via Ludovico il Moro 22"/>
    <m/>
    <s v="Bergamo"/>
    <m/>
    <n v="24100"/>
    <s v="Italy"/>
    <s v="EMEA"/>
    <s v="Rovelli"/>
    <s v="Giovanni"/>
    <s v="Small"/>
    <n v="2200"/>
  </r>
  <r>
    <n v="10183"/>
    <n v="47"/>
    <n v="100"/>
    <n v="12"/>
    <n v="5035.1099999999997"/>
    <d v="2003-11-13T00:00:00"/>
    <s v="Shipped"/>
    <n v="4"/>
    <x v="5"/>
    <n v="2003"/>
    <x v="3"/>
    <n v="97"/>
    <s v="S24_4258"/>
    <s v="Classic Gift Ideas, Inc"/>
    <n v="2155554695"/>
    <s v="782 First Street"/>
    <m/>
    <s v="Philadelphia"/>
    <s v="PA"/>
    <n v="71270"/>
    <s v="USA"/>
    <s v="NA"/>
    <s v="Cervantes"/>
    <s v="Francisca"/>
    <s v="Medium"/>
    <n v="4700"/>
  </r>
  <r>
    <n v="10193"/>
    <n v="20"/>
    <n v="100"/>
    <n v="4"/>
    <n v="2279"/>
    <d v="2003-11-21T00:00:00"/>
    <s v="Shipped"/>
    <n v="4"/>
    <x v="5"/>
    <n v="2003"/>
    <x v="3"/>
    <n v="97"/>
    <s v="S24_4258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2000"/>
  </r>
  <r>
    <n v="10206"/>
    <n v="33"/>
    <n v="97.39"/>
    <n v="10"/>
    <n v="3213.87"/>
    <d v="2003-12-05T00:00:00"/>
    <s v="Shipped"/>
    <n v="4"/>
    <x v="6"/>
    <n v="2003"/>
    <x v="3"/>
    <n v="97"/>
    <s v="S24_4258"/>
    <s v="Canadian Gift Exchange Network"/>
    <s v="(604) 555-3392"/>
    <s v="1900 Oak St."/>
    <m/>
    <s v="Vancouver"/>
    <s v="BC"/>
    <s v="V3F 2K1"/>
    <s v="Canada"/>
    <s v="NA"/>
    <s v="Tannamuri"/>
    <s v="Yoshi"/>
    <s v="Medium"/>
    <n v="3213.87"/>
  </r>
  <r>
    <n v="10215"/>
    <n v="39"/>
    <n v="90.57"/>
    <n v="7"/>
    <n v="3532.23"/>
    <d v="2004-01-29T00:00:00"/>
    <s v="Shipped"/>
    <n v="1"/>
    <x v="7"/>
    <n v="2004"/>
    <x v="3"/>
    <n v="97"/>
    <s v="S24_4258"/>
    <s v="West Coast Collectables Co."/>
    <n v="3105553722"/>
    <s v="3675 Furth Circle"/>
    <m/>
    <s v="Burbank"/>
    <s v="CA"/>
    <n v="94019"/>
    <s v="USA"/>
    <s v="NA"/>
    <s v="Thompson"/>
    <s v="Steve"/>
    <s v="Medium"/>
    <n v="3532.2299999999996"/>
  </r>
  <r>
    <n v="10228"/>
    <n v="33"/>
    <n v="100"/>
    <n v="6"/>
    <n v="3406.59"/>
    <d v="2004-03-10T00:00:00"/>
    <s v="Shipped"/>
    <n v="1"/>
    <x v="11"/>
    <n v="2004"/>
    <x v="3"/>
    <n v="97"/>
    <s v="S24_4258"/>
    <s v="Cambridge Collectables Co."/>
    <n v="6175555555"/>
    <s v="4658 Baden Av."/>
    <m/>
    <s v="Cambridge"/>
    <s v="MA"/>
    <n v="51247"/>
    <s v="USA"/>
    <s v="NA"/>
    <s v="Tseng"/>
    <s v="Kyung"/>
    <s v="Medium"/>
    <n v="3300"/>
  </r>
  <r>
    <n v="10244"/>
    <n v="40"/>
    <n v="86.68"/>
    <n v="4"/>
    <n v="3467.2"/>
    <d v="2004-04-29T00:00:00"/>
    <s v="Shipped"/>
    <n v="2"/>
    <x v="8"/>
    <n v="2004"/>
    <x v="3"/>
    <n v="97"/>
    <s v="S24_4258"/>
    <s v="Euro Shopping Channel"/>
    <s v="(91) 555 94 44"/>
    <s v="C/ Moralzarzal, 86"/>
    <m/>
    <s v="Madrid"/>
    <m/>
    <n v="28034"/>
    <s v="Spain"/>
    <s v="EMEA"/>
    <s v="Freyre"/>
    <s v="Diego"/>
    <s v="Medium"/>
    <n v="3467.2000000000003"/>
  </r>
  <r>
    <n v="10257"/>
    <n v="46"/>
    <n v="78.89"/>
    <n v="4"/>
    <n v="3628.94"/>
    <d v="2004-06-14T00:00:00"/>
    <s v="Shipped"/>
    <n v="2"/>
    <x v="9"/>
    <n v="2004"/>
    <x v="3"/>
    <n v="97"/>
    <s v="S24_4258"/>
    <s v="The Sharp Gifts Warehouse"/>
    <n v="4085553659"/>
    <s v="3086 Ingle Ln."/>
    <m/>
    <s v="San Jose"/>
    <s v="CA"/>
    <n v="94217"/>
    <s v="USA"/>
    <s v="NA"/>
    <s v="Frick"/>
    <s v="Sue"/>
    <s v="Medium"/>
    <n v="3628.94"/>
  </r>
  <r>
    <n v="10269"/>
    <n v="48"/>
    <n v="97.39"/>
    <n v="2"/>
    <n v="4674.72"/>
    <d v="2004-07-16T00:00:00"/>
    <s v="Shipped"/>
    <n v="3"/>
    <x v="2"/>
    <n v="2004"/>
    <x v="3"/>
    <n v="97"/>
    <s v="S24_4258"/>
    <s v="Salzburg Collectables"/>
    <s v="6562-9555"/>
    <s v="Geislweg 14"/>
    <m/>
    <s v="Salzburg"/>
    <m/>
    <n v="5020"/>
    <s v="Austria"/>
    <s v="EMEA"/>
    <s v="Pipps"/>
    <s v="Georg"/>
    <s v="Medium"/>
    <n v="4674.72"/>
  </r>
  <r>
    <n v="10280"/>
    <n v="21"/>
    <n v="78.89"/>
    <n v="6"/>
    <n v="1656.69"/>
    <d v="2004-08-17T00:00:00"/>
    <s v="Shipped"/>
    <n v="3"/>
    <x v="3"/>
    <n v="2004"/>
    <x v="3"/>
    <n v="97"/>
    <s v="S24_4258"/>
    <s v="Amica Models &amp; Co."/>
    <s v="011-4988555"/>
    <s v="Via Monte Bianco 34"/>
    <m/>
    <s v="Torino"/>
    <m/>
    <n v="10100"/>
    <s v="Italy"/>
    <s v="EMEA"/>
    <s v="Accorti"/>
    <s v="Paolo"/>
    <s v="Small"/>
    <n v="1656.69"/>
  </r>
  <r>
    <n v="10290"/>
    <n v="45"/>
    <n v="100"/>
    <n v="1"/>
    <n v="5171.3999999999996"/>
    <d v="2004-09-07T00:00:00"/>
    <s v="Shipped"/>
    <n v="3"/>
    <x v="10"/>
    <n v="2004"/>
    <x v="3"/>
    <n v="97"/>
    <s v="S24_4258"/>
    <s v="Auto-Moto Classics Inc."/>
    <n v="6175558428"/>
    <s v="16780 Pompton St."/>
    <m/>
    <s v="Brickhaven"/>
    <s v="MA"/>
    <n v="58339"/>
    <s v="USA"/>
    <s v="NA"/>
    <s v="Taylor"/>
    <s v="Leslie"/>
    <s v="Medium"/>
    <n v="4500"/>
  </r>
  <r>
    <n v="10304"/>
    <n v="33"/>
    <n v="100"/>
    <n v="10"/>
    <n v="3342.57"/>
    <d v="2004-10-11T00:00:00"/>
    <s v="Shipped"/>
    <n v="4"/>
    <x v="4"/>
    <n v="2004"/>
    <x v="3"/>
    <n v="97"/>
    <s v="S24_4258"/>
    <s v="Auto Assoc. &amp; Cie."/>
    <s v="30.59.8555"/>
    <s v="67, avenue de l'Europe"/>
    <m/>
    <s v="Versailles"/>
    <m/>
    <n v="78000"/>
    <s v="France"/>
    <s v="EMEA"/>
    <s v="Tonini"/>
    <s v="Daniel"/>
    <s v="Medium"/>
    <n v="3300"/>
  </r>
  <r>
    <n v="10312"/>
    <n v="44"/>
    <n v="100"/>
    <n v="7"/>
    <n v="4884.88"/>
    <d v="2004-10-21T00:00:00"/>
    <s v="Shipped"/>
    <n v="4"/>
    <x v="4"/>
    <n v="2004"/>
    <x v="3"/>
    <n v="97"/>
    <s v="S24_4258"/>
    <s v="Mini Gifts Distributors Ltd."/>
    <n v="4155551450"/>
    <s v="5677 Strong St."/>
    <m/>
    <s v="San Rafael"/>
    <s v="CA"/>
    <n v="97562"/>
    <s v="USA"/>
    <s v="NA"/>
    <s v="Nelson"/>
    <s v="Valarie"/>
    <s v="Medium"/>
    <n v="4400"/>
  </r>
  <r>
    <n v="10324"/>
    <n v="33"/>
    <n v="100"/>
    <n v="3"/>
    <n v="6267.69"/>
    <d v="2004-11-05T00:00:00"/>
    <s v="Shipped"/>
    <n v="4"/>
    <x v="5"/>
    <n v="2004"/>
    <x v="3"/>
    <n v="97"/>
    <s v="S24_4258"/>
    <s v="Vitachrome Inc."/>
    <n v="2125551500"/>
    <s v="2678 Kingston Rd."/>
    <s v="Suite 101"/>
    <s v="NYC"/>
    <s v="NY"/>
    <n v="10022"/>
    <s v="USA"/>
    <s v="NA"/>
    <s v="Frick"/>
    <s v="Michael"/>
    <s v="Medium"/>
    <n v="3300"/>
  </r>
  <r>
    <n v="10333"/>
    <n v="39"/>
    <n v="100"/>
    <n v="1"/>
    <n v="4424.16"/>
    <d v="2004-11-18T00:00:00"/>
    <s v="Shipped"/>
    <n v="4"/>
    <x v="5"/>
    <n v="2004"/>
    <x v="3"/>
    <n v="97"/>
    <s v="S24_4258"/>
    <s v="Mini Wheels Co."/>
    <n v="6505555787"/>
    <s v="5557 North Pendale Street"/>
    <m/>
    <s v="San Francisco"/>
    <s v="CA"/>
    <m/>
    <s v="USA"/>
    <s v="NA"/>
    <s v="Murphy"/>
    <s v="Julie"/>
    <s v="Medium"/>
    <n v="3900"/>
  </r>
  <r>
    <n v="10348"/>
    <n v="39"/>
    <n v="50.31"/>
    <n v="2"/>
    <n v="1962.09"/>
    <d v="2004-11-01T00:00:00"/>
    <s v="Shipped"/>
    <n v="4"/>
    <x v="5"/>
    <n v="2004"/>
    <x v="3"/>
    <n v="97"/>
    <s v="S24_4258"/>
    <s v="Corrida Auto Replicas, Ltd"/>
    <s v="(91) 555 22 82"/>
    <s v="C/ Araquil, 67"/>
    <m/>
    <s v="Madrid"/>
    <m/>
    <n v="28023"/>
    <s v="Spain"/>
    <s v="EMEA"/>
    <s v="Sommer"/>
    <s v="Mart¡n"/>
    <s v="Small"/>
    <n v="1962.0900000000001"/>
  </r>
  <r>
    <n v="10358"/>
    <n v="41"/>
    <n v="100"/>
    <n v="6"/>
    <n v="6847"/>
    <d v="2004-12-10T00:00:00"/>
    <s v="Shipped"/>
    <n v="4"/>
    <x v="6"/>
    <n v="2004"/>
    <x v="3"/>
    <n v="97"/>
    <s v="S24_4258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369"/>
    <n v="40"/>
    <n v="86.92"/>
    <n v="3"/>
    <n v="3476.8"/>
    <d v="2005-01-20T00:00:00"/>
    <s v="Shipped"/>
    <n v="1"/>
    <x v="7"/>
    <n v="2005"/>
    <x v="3"/>
    <n v="97"/>
    <s v="S24_4258"/>
    <s v="Collectables For Less Inc."/>
    <n v="6175558555"/>
    <s v="7825 Douglas Av."/>
    <m/>
    <s v="Brickhaven"/>
    <s v="MA"/>
    <n v="58339"/>
    <s v="USA"/>
    <s v="NA"/>
    <s v="Nelson"/>
    <s v="Allen"/>
    <s v="Medium"/>
    <n v="3476.8"/>
  </r>
  <r>
    <n v="10382"/>
    <n v="33"/>
    <n v="100"/>
    <n v="4"/>
    <n v="4592.6099999999997"/>
    <d v="2005-02-17T00:00:00"/>
    <s v="Shipped"/>
    <n v="1"/>
    <x v="0"/>
    <n v="2005"/>
    <x v="3"/>
    <n v="97"/>
    <s v="S24_4258"/>
    <s v="Mini Gifts Distributors Ltd."/>
    <n v="4155551450"/>
    <s v="5677 Strong St."/>
    <m/>
    <s v="San Rafael"/>
    <s v="CA"/>
    <n v="97562"/>
    <s v="USA"/>
    <s v="NA"/>
    <s v="Nelson"/>
    <s v="Valarie"/>
    <s v="Medium"/>
    <n v="3300"/>
  </r>
  <r>
    <n v="10423"/>
    <n v="28"/>
    <n v="78.89"/>
    <n v="4"/>
    <n v="2208.92"/>
    <d v="2005-05-30T00:00:00"/>
    <s v="In Process"/>
    <n v="2"/>
    <x v="1"/>
    <n v="2005"/>
    <x v="3"/>
    <n v="97"/>
    <s v="S24_4258"/>
    <s v="Petit Auto"/>
    <s v="(02) 5554 67"/>
    <s v="Rue Joseph-Bens 532"/>
    <m/>
    <s v="Bruxelles"/>
    <m/>
    <s v="B-1180"/>
    <s v="Belgium"/>
    <s v="EMEA"/>
    <s v="Dewey"/>
    <s v="Catherine"/>
    <s v="Small"/>
    <n v="2208.92"/>
  </r>
  <r>
    <n v="10106"/>
    <n v="26"/>
    <n v="63.76"/>
    <n v="3"/>
    <n v="1657.76"/>
    <d v="2003-02-17T00:00:00"/>
    <s v="Shipped"/>
    <n v="1"/>
    <x v="0"/>
    <n v="2003"/>
    <x v="4"/>
    <n v="72"/>
    <s v="S24_4278"/>
    <s v="Rovelli Gifts"/>
    <s v="035-640555"/>
    <s v="Via Ludovico il Moro 22"/>
    <m/>
    <s v="Bergamo"/>
    <m/>
    <n v="24100"/>
    <s v="Italy"/>
    <s v="EMEA"/>
    <s v="Rovelli"/>
    <s v="Giovanni"/>
    <s v="Small"/>
    <n v="1657.76"/>
  </r>
  <r>
    <n v="10120"/>
    <n v="29"/>
    <n v="85.49"/>
    <n v="9"/>
    <n v="2479.21"/>
    <d v="2003-04-29T00:00:00"/>
    <s v="Shipped"/>
    <n v="2"/>
    <x v="8"/>
    <n v="2003"/>
    <x v="4"/>
    <n v="72"/>
    <s v="S24_4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479.21"/>
  </r>
  <r>
    <n v="10133"/>
    <n v="46"/>
    <n v="77.52"/>
    <n v="4"/>
    <n v="3565.92"/>
    <d v="2003-06-27T00:00:00"/>
    <s v="Shipped"/>
    <n v="2"/>
    <x v="9"/>
    <n v="2003"/>
    <x v="4"/>
    <n v="72"/>
    <s v="S24_4278"/>
    <s v="Euro Shopping Channel"/>
    <s v="(91) 555 94 44"/>
    <s v="C/ Moralzarzal, 86"/>
    <m/>
    <s v="Madrid"/>
    <m/>
    <n v="28034"/>
    <s v="Spain"/>
    <s v="EMEA"/>
    <s v="Freyre"/>
    <s v="Diego"/>
    <s v="Medium"/>
    <n v="3565.9199999999996"/>
  </r>
  <r>
    <n v="10145"/>
    <n v="33"/>
    <n v="84.77"/>
    <n v="15"/>
    <n v="2797.41"/>
    <d v="2003-08-25T00:00:00"/>
    <s v="Shipped"/>
    <n v="3"/>
    <x v="3"/>
    <n v="2003"/>
    <x v="4"/>
    <n v="72"/>
    <s v="S24_4278"/>
    <s v="Toys4GrownUps.com"/>
    <n v="6265557265"/>
    <s v="78934 Hillside Dr."/>
    <m/>
    <s v="Pasadena"/>
    <s v="CA"/>
    <n v="90003"/>
    <s v="USA"/>
    <s v="NA"/>
    <s v="Young"/>
    <s v="Julie"/>
    <s v="Small"/>
    <n v="2797.41"/>
  </r>
  <r>
    <n v="10168"/>
    <n v="48"/>
    <n v="78.25"/>
    <n v="10"/>
    <n v="3756"/>
    <d v="2003-10-28T00:00:00"/>
    <s v="Shipped"/>
    <n v="4"/>
    <x v="4"/>
    <n v="2003"/>
    <x v="4"/>
    <n v="72"/>
    <s v="S24_4278"/>
    <s v="Technics Stores Inc."/>
    <n v="6505556809"/>
    <s v="9408 Furth Circle"/>
    <m/>
    <s v="Burlingame"/>
    <s v="CA"/>
    <n v="94217"/>
    <s v="USA"/>
    <s v="NA"/>
    <s v="Hirano"/>
    <s v="Juri"/>
    <s v="Medium"/>
    <n v="3756"/>
  </r>
  <r>
    <n v="10210"/>
    <n v="40"/>
    <n v="71"/>
    <n v="8"/>
    <n v="2840"/>
    <d v="2004-01-12T00:00:00"/>
    <s v="Shipped"/>
    <n v="1"/>
    <x v="7"/>
    <n v="2004"/>
    <x v="4"/>
    <n v="72"/>
    <s v="S24_4278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2840"/>
  </r>
  <r>
    <n v="10223"/>
    <n v="23"/>
    <n v="74.62"/>
    <n v="10"/>
    <n v="1716.26"/>
    <d v="2004-02-20T00:00:00"/>
    <s v="Shipped"/>
    <n v="1"/>
    <x v="0"/>
    <n v="2004"/>
    <x v="4"/>
    <n v="72"/>
    <s v="S24_4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716.2600000000002"/>
  </r>
  <r>
    <n v="10235"/>
    <n v="40"/>
    <n v="81.14"/>
    <n v="4"/>
    <n v="3245.6"/>
    <d v="2004-04-02T00:00:00"/>
    <s v="Shipped"/>
    <n v="2"/>
    <x v="8"/>
    <n v="2004"/>
    <x v="4"/>
    <n v="72"/>
    <s v="S24_4278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3245.6"/>
  </r>
  <r>
    <n v="10250"/>
    <n v="37"/>
    <n v="74.62"/>
    <n v="5"/>
    <n v="2760.94"/>
    <d v="2004-05-11T00:00:00"/>
    <s v="Shipped"/>
    <n v="2"/>
    <x v="1"/>
    <n v="2004"/>
    <x v="4"/>
    <n v="72"/>
    <s v="S24_4278"/>
    <s v="The Sharp Gifts Warehouse"/>
    <n v="4085553659"/>
    <s v="3086 Ingle Ln."/>
    <m/>
    <s v="San Jose"/>
    <s v="CA"/>
    <n v="94217"/>
    <s v="USA"/>
    <s v="NA"/>
    <s v="Frick"/>
    <s v="Sue"/>
    <s v="Small"/>
    <n v="2760.94"/>
  </r>
  <r>
    <n v="10263"/>
    <n v="24"/>
    <n v="75.349999999999994"/>
    <n v="11"/>
    <n v="1808.4"/>
    <d v="2004-06-28T00:00:00"/>
    <s v="Shipped"/>
    <n v="2"/>
    <x v="9"/>
    <n v="2004"/>
    <x v="4"/>
    <n v="72"/>
    <s v="S24_4278"/>
    <s v="Gift Depot Inc."/>
    <n v="2035552570"/>
    <s v="25593 South Bay Ln."/>
    <m/>
    <s v="Bridgewater"/>
    <s v="CT"/>
    <n v="97562"/>
    <s v="USA"/>
    <s v="NA"/>
    <s v="King"/>
    <s v="Julie"/>
    <s v="Small"/>
    <n v="1808.3999999999999"/>
  </r>
  <r>
    <n v="10275"/>
    <n v="27"/>
    <n v="62.31"/>
    <n v="10"/>
    <n v="1682.37"/>
    <d v="2004-07-23T00:00:00"/>
    <s v="Shipped"/>
    <n v="3"/>
    <x v="2"/>
    <n v="2004"/>
    <x v="4"/>
    <n v="72"/>
    <s v="S24_4278"/>
    <s v="La Rochelle Gifts"/>
    <s v="40.67.8555"/>
    <s v="67, rue des Cinquante Otages"/>
    <m/>
    <s v="Nantes"/>
    <m/>
    <n v="44000"/>
    <s v="France"/>
    <s v="EMEA"/>
    <s v="Labrune"/>
    <s v="Janine"/>
    <s v="Small"/>
    <n v="1682.3700000000001"/>
  </r>
  <r>
    <n v="10284"/>
    <n v="21"/>
    <n v="71"/>
    <n v="2"/>
    <n v="1491"/>
    <d v="2004-08-21T00:00:00"/>
    <s v="Shipped"/>
    <n v="3"/>
    <x v="3"/>
    <n v="2004"/>
    <x v="4"/>
    <n v="72"/>
    <s v="S24_4278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1491"/>
  </r>
  <r>
    <n v="10297"/>
    <n v="23"/>
    <n v="72.45"/>
    <n v="5"/>
    <n v="1666.35"/>
    <d v="2004-09-16T00:00:00"/>
    <s v="Shipped"/>
    <n v="3"/>
    <x v="10"/>
    <n v="2004"/>
    <x v="4"/>
    <n v="72"/>
    <s v="S24_4278"/>
    <s v="Clover Collections, Co."/>
    <s v="+353 1862 1555"/>
    <s v="25 Maiden Lane"/>
    <s v="Floor No. 4"/>
    <s v="Dublin"/>
    <m/>
    <n v="2"/>
    <s v="Ireland"/>
    <s v="EMEA"/>
    <s v="Cassidy"/>
    <s v="Dean"/>
    <s v="Small"/>
    <n v="1666.3500000000001"/>
  </r>
  <r>
    <n v="10308"/>
    <n v="44"/>
    <n v="83.32"/>
    <n v="8"/>
    <n v="3666.08"/>
    <d v="2004-10-15T00:00:00"/>
    <s v="Shipped"/>
    <n v="4"/>
    <x v="4"/>
    <n v="2004"/>
    <x v="4"/>
    <n v="72"/>
    <s v="S24_4278"/>
    <s v="Mini Classics"/>
    <n v="9145554562"/>
    <s v="3758 North Pendale Street"/>
    <m/>
    <s v="White Plains"/>
    <s v="NY"/>
    <n v="24067"/>
    <s v="USA"/>
    <s v="NA"/>
    <s v="Frick"/>
    <s v="Steve"/>
    <s v="Medium"/>
    <n v="3666.08"/>
  </r>
  <r>
    <n v="10317"/>
    <n v="35"/>
    <n v="83.32"/>
    <n v="1"/>
    <n v="2916.2"/>
    <d v="2004-11-02T00:00:00"/>
    <s v="Shipped"/>
    <n v="4"/>
    <x v="5"/>
    <n v="2004"/>
    <x v="4"/>
    <n v="72"/>
    <s v="S24_4278"/>
    <s v="Technics Stores Inc."/>
    <n v="6505556809"/>
    <s v="9408 Furth Circle"/>
    <m/>
    <s v="Burlingame"/>
    <s v="CA"/>
    <n v="94217"/>
    <s v="USA"/>
    <s v="NA"/>
    <s v="Hirano"/>
    <s v="Juri"/>
    <s v="Small"/>
    <n v="2916.2"/>
  </r>
  <r>
    <n v="10328"/>
    <n v="43"/>
    <n v="60.86"/>
    <n v="4"/>
    <n v="2616.98"/>
    <d v="2004-11-12T00:00:00"/>
    <s v="Shipped"/>
    <n v="4"/>
    <x v="5"/>
    <n v="2004"/>
    <x v="4"/>
    <n v="72"/>
    <s v="S24_4278"/>
    <s v="Rovelli Gifts"/>
    <s v="035-640555"/>
    <s v="Via Ludovico il Moro 22"/>
    <m/>
    <s v="Bergamo"/>
    <m/>
    <n v="24100"/>
    <s v="Italy"/>
    <s v="EMEA"/>
    <s v="Rovelli"/>
    <s v="Giovanni"/>
    <s v="Small"/>
    <n v="2616.98"/>
  </r>
  <r>
    <n v="10340"/>
    <n v="40"/>
    <n v="84.77"/>
    <n v="1"/>
    <n v="3390.8"/>
    <d v="2004-11-24T00:00:00"/>
    <s v="Shipped"/>
    <n v="4"/>
    <x v="5"/>
    <n v="2004"/>
    <x v="4"/>
    <n v="72"/>
    <s v="S24_4278"/>
    <s v="Enaco Distributors"/>
    <s v="(93) 203 4555"/>
    <s v="Rambla de Catalu¤a, 23"/>
    <m/>
    <s v="Barcelona"/>
    <m/>
    <n v="8022"/>
    <s v="Spain"/>
    <s v="EMEA"/>
    <s v="Saavedra"/>
    <s v="Eduardo"/>
    <s v="Medium"/>
    <n v="3390.7999999999997"/>
  </r>
  <r>
    <n v="10353"/>
    <n v="35"/>
    <n v="89.9"/>
    <n v="3"/>
    <n v="3146.5"/>
    <d v="2004-12-04T00:00:00"/>
    <s v="Shipped"/>
    <n v="4"/>
    <x v="6"/>
    <n v="2004"/>
    <x v="4"/>
    <n v="72"/>
    <s v="S24_4278"/>
    <s v="Gift Ideas Corp."/>
    <n v="2035554407"/>
    <s v="2440 Pompton St."/>
    <m/>
    <s v="Glendale"/>
    <s v="CT"/>
    <n v="97561"/>
    <s v="USA"/>
    <s v="NA"/>
    <s v="Lewis"/>
    <s v="Dan"/>
    <s v="Medium"/>
    <n v="3146.5"/>
  </r>
  <r>
    <n v="10361"/>
    <n v="25"/>
    <n v="62.46"/>
    <n v="1"/>
    <n v="1561.5"/>
    <d v="2004-12-17T00:00:00"/>
    <s v="Shipped"/>
    <n v="4"/>
    <x v="6"/>
    <n v="2004"/>
    <x v="4"/>
    <n v="72"/>
    <s v="S24_427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561.5"/>
  </r>
  <r>
    <n v="10375"/>
    <n v="43"/>
    <n v="100"/>
    <n v="2"/>
    <n v="10039.6"/>
    <d v="2005-02-03T00:00:00"/>
    <s v="Shipped"/>
    <n v="1"/>
    <x v="0"/>
    <n v="2005"/>
    <x v="4"/>
    <n v="72"/>
    <s v="S24_4278"/>
    <s v="La Rochelle Gifts"/>
    <s v="40.67.8555"/>
    <s v="67, rue des Cinquante Otages"/>
    <m/>
    <s v="Nantes"/>
    <m/>
    <n v="44000"/>
    <s v="France"/>
    <s v="EMEA"/>
    <s v="Labrune"/>
    <s v="Janine"/>
    <s v="Large"/>
    <n v="4300"/>
  </r>
  <r>
    <n v="10386"/>
    <n v="50"/>
    <n v="63.34"/>
    <n v="8"/>
    <n v="3167"/>
    <d v="2005-03-01T00:00:00"/>
    <s v="Resolved"/>
    <n v="1"/>
    <x v="11"/>
    <n v="2005"/>
    <x v="4"/>
    <n v="72"/>
    <s v="S24_4278"/>
    <s v="Euro Shopping Channel"/>
    <s v="(91) 555 94 44"/>
    <s v="C/ Moralzarzal, 86"/>
    <m/>
    <s v="Madrid"/>
    <m/>
    <n v="28034"/>
    <s v="Spain"/>
    <s v="EMEA"/>
    <s v="Freyre"/>
    <s v="Diego"/>
    <s v="Medium"/>
    <n v="3167"/>
  </r>
  <r>
    <n v="10398"/>
    <n v="45"/>
    <n v="78.25"/>
    <n v="14"/>
    <n v="3521.25"/>
    <d v="2005-03-30T00:00:00"/>
    <s v="Shipped"/>
    <n v="1"/>
    <x v="11"/>
    <n v="2005"/>
    <x v="4"/>
    <n v="72"/>
    <s v="S24_4278"/>
    <s v="Reims Collectables"/>
    <s v="26.47.1555"/>
    <s v="59 rue de l'Abbaye"/>
    <m/>
    <s v="Reims"/>
    <m/>
    <n v="51100"/>
    <s v="France"/>
    <s v="EMEA"/>
    <s v="Henriot"/>
    <s v="Paul"/>
    <s v="Medium"/>
    <n v="3521.25"/>
  </r>
  <r>
    <n v="10401"/>
    <n v="52"/>
    <n v="81.14"/>
    <n v="4"/>
    <n v="4219.28"/>
    <d v="2005-04-03T00:00:00"/>
    <s v="On Hold"/>
    <n v="2"/>
    <x v="8"/>
    <n v="2005"/>
    <x v="4"/>
    <n v="72"/>
    <s v="S24_4278"/>
    <s v="Tekni Collectables Inc."/>
    <n v="2015559350"/>
    <s v="7476 Moss Rd."/>
    <m/>
    <s v="Newark"/>
    <s v="NJ"/>
    <n v="94019"/>
    <s v="USA"/>
    <s v="NA"/>
    <s v="Brown"/>
    <s v="William"/>
    <s v="Medium"/>
    <n v="4219.28"/>
  </r>
  <r>
    <n v="10416"/>
    <n v="48"/>
    <n v="74.62"/>
    <n v="5"/>
    <n v="3581.76"/>
    <d v="2005-05-10T00:00:00"/>
    <s v="Shipped"/>
    <n v="2"/>
    <x v="1"/>
    <n v="2005"/>
    <x v="4"/>
    <n v="72"/>
    <s v="S24_4278"/>
    <s v="L'ordine Souveniers"/>
    <s v="0522-556555"/>
    <s v="Strada Provinciale 124"/>
    <m/>
    <s v="Reggio Emilia"/>
    <m/>
    <n v="42100"/>
    <s v="Italy"/>
    <s v="EMEA"/>
    <s v="Moroni"/>
    <s v="Maurizio"/>
    <s v="Medium"/>
    <n v="3581.76"/>
  </r>
  <r>
    <n v="10108"/>
    <n v="31"/>
    <n v="68.709999999999994"/>
    <n v="10"/>
    <n v="2130.0100000000002"/>
    <d v="2003-03-03T00:00:00"/>
    <s v="Shipped"/>
    <n v="1"/>
    <x v="11"/>
    <n v="2003"/>
    <x v="1"/>
    <n v="80"/>
    <s v="S24_462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2130.0099999999998"/>
  </r>
  <r>
    <n v="10122"/>
    <n v="29"/>
    <n v="71.14"/>
    <n v="14"/>
    <n v="2063.06"/>
    <d v="2003-05-08T00:00:00"/>
    <s v="Shipped"/>
    <n v="2"/>
    <x v="1"/>
    <n v="2003"/>
    <x v="1"/>
    <n v="80"/>
    <s v="S24_4620"/>
    <s v="Marseille Mini Autos"/>
    <s v="91.24.4555"/>
    <s v="12, rue des Bouchers"/>
    <m/>
    <s v="Marseille"/>
    <m/>
    <n v="13008"/>
    <s v="France"/>
    <s v="EMEA"/>
    <s v="Lebihan"/>
    <s v="Laurence"/>
    <s v="Small"/>
    <n v="2063.06"/>
  </r>
  <r>
    <n v="10135"/>
    <n v="23"/>
    <n v="87.31"/>
    <n v="11"/>
    <n v="2008.13"/>
    <d v="2003-07-02T00:00:00"/>
    <s v="Shipped"/>
    <n v="3"/>
    <x v="2"/>
    <n v="2003"/>
    <x v="1"/>
    <n v="80"/>
    <s v="S24_4620"/>
    <s v="Mini Gifts Distributors Ltd."/>
    <n v="4155551450"/>
    <s v="5677 Strong St."/>
    <m/>
    <s v="San Rafael"/>
    <s v="CA"/>
    <n v="97562"/>
    <s v="USA"/>
    <s v="NA"/>
    <s v="Nelson"/>
    <s v="Valarie"/>
    <s v="Small"/>
    <n v="2008.13"/>
  </r>
  <r>
    <n v="10147"/>
    <n v="31"/>
    <n v="64.67"/>
    <n v="11"/>
    <n v="2004.77"/>
    <d v="2003-09-05T00:00:00"/>
    <s v="Shipped"/>
    <n v="3"/>
    <x v="10"/>
    <n v="2003"/>
    <x v="1"/>
    <n v="80"/>
    <s v="S24_4620"/>
    <s v="Collectables For Less Inc."/>
    <n v="6175558555"/>
    <s v="7825 Douglas Av."/>
    <m/>
    <s v="Brickhaven"/>
    <s v="MA"/>
    <n v="58339"/>
    <s v="USA"/>
    <s v="NA"/>
    <s v="Nelson"/>
    <s v="Allen"/>
    <s v="Small"/>
    <n v="2004.77"/>
  </r>
  <r>
    <n v="10159"/>
    <n v="23"/>
    <n v="67.099999999999994"/>
    <n v="6"/>
    <n v="1543.3"/>
    <d v="2003-10-10T00:00:00"/>
    <s v="Shipped"/>
    <n v="4"/>
    <x v="4"/>
    <n v="2003"/>
    <x v="1"/>
    <n v="80"/>
    <s v="S24_4620"/>
    <s v="Corporate Gift Ideas Co."/>
    <n v="6505551386"/>
    <s v="7734 Strong St."/>
    <m/>
    <s v="San Francisco"/>
    <s v="CA"/>
    <m/>
    <s v="USA"/>
    <s v="NA"/>
    <s v="Brown"/>
    <s v="Julie"/>
    <s v="Small"/>
    <n v="1543.3"/>
  </r>
  <r>
    <n v="10169"/>
    <n v="24"/>
    <n v="94.58"/>
    <n v="6"/>
    <n v="2269.92"/>
    <d v="2003-11-04T00:00:00"/>
    <s v="Shipped"/>
    <n v="4"/>
    <x v="5"/>
    <n v="2003"/>
    <x v="1"/>
    <n v="80"/>
    <s v="S24_462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2269.92"/>
  </r>
  <r>
    <n v="10180"/>
    <n v="28"/>
    <n v="71.14"/>
    <n v="1"/>
    <n v="1991.92"/>
    <d v="2003-11-11T00:00:00"/>
    <s v="Shipped"/>
    <n v="4"/>
    <x v="5"/>
    <n v="2003"/>
    <x v="1"/>
    <n v="80"/>
    <s v="S24_4620"/>
    <s v="Daedalus Designs Imports"/>
    <s v="20.16.1555"/>
    <s v="184, chausse de Tournai"/>
    <m/>
    <s v="Lille"/>
    <m/>
    <n v="59000"/>
    <s v="France"/>
    <s v="EMEA"/>
    <s v="Rance"/>
    <s v="Martine"/>
    <s v="Small"/>
    <n v="1991.92"/>
  </r>
  <r>
    <n v="10191"/>
    <n v="44"/>
    <n v="66.290000000000006"/>
    <n v="7"/>
    <n v="2916.76"/>
    <d v="2003-11-20T00:00:00"/>
    <s v="Shipped"/>
    <n v="4"/>
    <x v="5"/>
    <n v="2003"/>
    <x v="1"/>
    <n v="80"/>
    <s v="S24_4620"/>
    <s v="Toms Spezialitten, Ltd"/>
    <s v="0221-5554327"/>
    <s v="Mehrheimerstr. 369"/>
    <m/>
    <s v="Koln"/>
    <m/>
    <n v="50739"/>
    <s v="Germany"/>
    <s v="EMEA"/>
    <s v="Pfalzheim"/>
    <s v="Henriette"/>
    <s v="Small"/>
    <n v="2916.76"/>
  </r>
  <r>
    <n v="10211"/>
    <n v="22"/>
    <n v="92.16"/>
    <n v="6"/>
    <n v="2027.52"/>
    <d v="2004-01-15T00:00:00"/>
    <s v="Shipped"/>
    <n v="1"/>
    <x v="7"/>
    <n v="2004"/>
    <x v="1"/>
    <n v="80"/>
    <s v="S24_4620"/>
    <s v="Auto Canal Petit"/>
    <s v="(1) 47.55.6555"/>
    <s v="25, rue Lauriston"/>
    <m/>
    <s v="Paris"/>
    <m/>
    <n v="75016"/>
    <s v="France"/>
    <s v="EMEA"/>
    <s v="Perrier"/>
    <s v="Dominique"/>
    <s v="Small"/>
    <n v="2027.52"/>
  </r>
  <r>
    <n v="10225"/>
    <n v="46"/>
    <n v="70.33"/>
    <n v="13"/>
    <n v="3235.18"/>
    <d v="2004-02-22T00:00:00"/>
    <s v="Shipped"/>
    <n v="1"/>
    <x v="0"/>
    <n v="2004"/>
    <x v="1"/>
    <n v="80"/>
    <s v="S24_4620"/>
    <s v="Vida Sport, Ltd"/>
    <s v="0897-034555"/>
    <s v="Grenzacherweg 237"/>
    <m/>
    <s v="Gensve"/>
    <m/>
    <n v="1203"/>
    <s v="Switzerland"/>
    <s v="EMEA"/>
    <s v="Holz"/>
    <s v="Michael"/>
    <s v="Medium"/>
    <n v="3235.18"/>
  </r>
  <r>
    <n v="10238"/>
    <n v="22"/>
    <n v="93.77"/>
    <n v="7"/>
    <n v="2062.94"/>
    <d v="2004-04-09T00:00:00"/>
    <s v="Shipped"/>
    <n v="2"/>
    <x v="8"/>
    <n v="2004"/>
    <x v="1"/>
    <n v="80"/>
    <s v="S24_4620"/>
    <s v="Danish Wholesale Imports"/>
    <s v="31 12 3555"/>
    <s v="Vinb'ltet 34"/>
    <m/>
    <s v="Kobenhavn"/>
    <m/>
    <n v="1734"/>
    <s v="Denmark"/>
    <s v="EMEA"/>
    <s v="Petersen"/>
    <s v="Jytte"/>
    <s v="Small"/>
    <n v="2062.94"/>
  </r>
  <r>
    <n v="10252"/>
    <n v="38"/>
    <n v="87.31"/>
    <n v="3"/>
    <n v="3317.78"/>
    <d v="2004-05-26T00:00:00"/>
    <s v="Shipped"/>
    <n v="2"/>
    <x v="1"/>
    <n v="2004"/>
    <x v="1"/>
    <n v="80"/>
    <s v="S24_4620"/>
    <s v="Auto Canal Petit"/>
    <s v="(1) 47.55.6555"/>
    <s v="25, rue Lauriston"/>
    <m/>
    <s v="Paris"/>
    <m/>
    <n v="75016"/>
    <s v="France"/>
    <s v="EMEA"/>
    <s v="Perrier"/>
    <s v="Dominique"/>
    <s v="Medium"/>
    <n v="3317.78"/>
  </r>
  <r>
    <n v="10264"/>
    <n v="47"/>
    <n v="83.27"/>
    <n v="1"/>
    <n v="3913.69"/>
    <d v="2004-06-30T00:00:00"/>
    <s v="Shipped"/>
    <n v="2"/>
    <x v="9"/>
    <n v="2004"/>
    <x v="1"/>
    <n v="80"/>
    <s v="S24_4620"/>
    <s v="Gifts4AllAges.com"/>
    <n v="6175559555"/>
    <s v="8616 Spinnaker Dr."/>
    <m/>
    <s v="Boston"/>
    <s v="MA"/>
    <n v="51003"/>
    <s v="USA"/>
    <s v="NA"/>
    <s v="Yoshido"/>
    <s v="Juri"/>
    <s v="Medium"/>
    <n v="3913.6899999999996"/>
  </r>
  <r>
    <n v="10276"/>
    <n v="48"/>
    <n v="75.180000000000007"/>
    <n v="7"/>
    <n v="3608.64"/>
    <d v="2004-08-02T00:00:00"/>
    <s v="Shipped"/>
    <n v="3"/>
    <x v="3"/>
    <n v="2004"/>
    <x v="1"/>
    <n v="80"/>
    <s v="S24_4620"/>
    <s v="Online Mini Collectables"/>
    <n v="6175557555"/>
    <s v="7635 Spinnaker Dr."/>
    <m/>
    <s v="Brickhaven"/>
    <s v="MA"/>
    <n v="58339"/>
    <s v="USA"/>
    <s v="NA"/>
    <s v="Barajas"/>
    <s v="Miguel"/>
    <s v="Medium"/>
    <n v="3608.6400000000003"/>
  </r>
  <r>
    <n v="10287"/>
    <n v="40"/>
    <n v="88.12"/>
    <n v="16"/>
    <n v="3524.8"/>
    <d v="2004-08-30T00:00:00"/>
    <s v="Shipped"/>
    <n v="3"/>
    <x v="3"/>
    <n v="2004"/>
    <x v="1"/>
    <n v="80"/>
    <s v="S24_4620"/>
    <s v="Vida Sport, Ltd"/>
    <s v="0897-034555"/>
    <s v="Grenzacherweg 237"/>
    <m/>
    <s v="Gensve"/>
    <m/>
    <n v="1203"/>
    <s v="Switzerland"/>
    <s v="EMEA"/>
    <s v="Holz"/>
    <s v="Michael"/>
    <s v="Medium"/>
    <n v="3524.8"/>
  </r>
  <r>
    <n v="10299"/>
    <n v="32"/>
    <n v="80.84"/>
    <n v="1"/>
    <n v="2586.88"/>
    <d v="2004-09-30T00:00:00"/>
    <s v="Shipped"/>
    <n v="3"/>
    <x v="10"/>
    <n v="2004"/>
    <x v="1"/>
    <n v="80"/>
    <s v="S24_4620"/>
    <s v="Toys of Finland, Co."/>
    <s v="90-224 8555"/>
    <s v="Keskuskatu 45"/>
    <m/>
    <s v="Helsinki"/>
    <m/>
    <n v="21240"/>
    <s v="Finland"/>
    <s v="EMEA"/>
    <s v="Karttunen"/>
    <s v="Matti"/>
    <s v="Small"/>
    <n v="2586.88"/>
  </r>
  <r>
    <n v="10310"/>
    <n v="49"/>
    <n v="97.01"/>
    <n v="14"/>
    <n v="4753.49"/>
    <d v="2004-10-16T00:00:00"/>
    <s v="Shipped"/>
    <n v="4"/>
    <x v="4"/>
    <n v="2004"/>
    <x v="1"/>
    <n v="80"/>
    <s v="S24_4620"/>
    <s v="Toms Spezialitten, Ltd"/>
    <s v="0221-5554327"/>
    <s v="Mehrheimerstr. 369"/>
    <m/>
    <s v="Koln"/>
    <m/>
    <n v="50739"/>
    <s v="Germany"/>
    <s v="EMEA"/>
    <s v="Pfalzheim"/>
    <s v="Henriette"/>
    <s v="Medium"/>
    <n v="4753.4900000000007"/>
  </r>
  <r>
    <n v="10319"/>
    <n v="43"/>
    <n v="85.69"/>
    <n v="2"/>
    <n v="3684.67"/>
    <d v="2004-11-03T00:00:00"/>
    <s v="Shipped"/>
    <n v="4"/>
    <x v="5"/>
    <n v="2004"/>
    <x v="1"/>
    <n v="80"/>
    <s v="S24_4620"/>
    <s v="Microscale Inc."/>
    <n v="2125551957"/>
    <s v="5290 North Pendale Street"/>
    <s v="Suite 200"/>
    <s v="NYC"/>
    <s v="NY"/>
    <n v="10022"/>
    <s v="USA"/>
    <s v="NA"/>
    <s v="Kuo"/>
    <s v="Kee"/>
    <s v="Medium"/>
    <n v="3684.67"/>
  </r>
  <r>
    <n v="10331"/>
    <n v="41"/>
    <n v="100"/>
    <n v="2"/>
    <n v="5715.4"/>
    <d v="2004-11-17T00:00:00"/>
    <s v="Shipped"/>
    <n v="4"/>
    <x v="5"/>
    <n v="2004"/>
    <x v="1"/>
    <n v="80"/>
    <s v="S24_4620"/>
    <s v="Motor Mint Distributors Inc."/>
    <n v="2155559857"/>
    <s v="11328 Douglas Av."/>
    <m/>
    <s v="Philadelphia"/>
    <s v="PA"/>
    <n v="71270"/>
    <s v="USA"/>
    <s v="NA"/>
    <s v="Hernandez"/>
    <s v="Rosa"/>
    <s v="Medium"/>
    <n v="4100"/>
  </r>
  <r>
    <n v="10343"/>
    <n v="30"/>
    <n v="100"/>
    <n v="1"/>
    <n v="3098.7"/>
    <d v="2004-11-24T00:00:00"/>
    <s v="Shipped"/>
    <n v="4"/>
    <x v="5"/>
    <n v="2004"/>
    <x v="1"/>
    <n v="80"/>
    <s v="S24_4620"/>
    <s v="Reims Collectables"/>
    <s v="26.47.1555"/>
    <s v="59 rue de l'Abbaye"/>
    <m/>
    <s v="Reims"/>
    <m/>
    <n v="51100"/>
    <s v="France"/>
    <s v="EMEA"/>
    <s v="Henriot"/>
    <s v="Paul"/>
    <s v="Medium"/>
    <n v="3000"/>
  </r>
  <r>
    <n v="10355"/>
    <n v="28"/>
    <n v="95.39"/>
    <n v="9"/>
    <n v="2670.92"/>
    <d v="2004-12-07T00:00:00"/>
    <s v="Shipped"/>
    <n v="4"/>
    <x v="6"/>
    <n v="2004"/>
    <x v="1"/>
    <n v="80"/>
    <s v="S24_4620"/>
    <s v="Euro Shopping Channel"/>
    <s v="(91) 555 94 44"/>
    <s v="C/ Moralzarzal, 86"/>
    <m/>
    <s v="Madrid"/>
    <m/>
    <n v="28034"/>
    <s v="Spain"/>
    <s v="EMEA"/>
    <s v="Freyre"/>
    <s v="Diego"/>
    <s v="Small"/>
    <n v="2670.92"/>
  </r>
  <r>
    <n v="10363"/>
    <n v="43"/>
    <n v="100"/>
    <n v="9"/>
    <n v="5154.41"/>
    <d v="2005-01-06T00:00:00"/>
    <s v="Shipped"/>
    <n v="1"/>
    <x v="7"/>
    <n v="2005"/>
    <x v="1"/>
    <n v="80"/>
    <s v="S24_4620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4300"/>
  </r>
  <r>
    <n v="10378"/>
    <n v="41"/>
    <n v="100"/>
    <n v="2"/>
    <n v="4894.17"/>
    <d v="2005-02-10T00:00:00"/>
    <s v="Shipped"/>
    <n v="1"/>
    <x v="0"/>
    <n v="2005"/>
    <x v="1"/>
    <n v="80"/>
    <s v="S24_4620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390"/>
    <n v="30"/>
    <n v="82.42"/>
    <n v="10"/>
    <n v="2472.6"/>
    <d v="2005-03-04T00:00:00"/>
    <s v="Shipped"/>
    <n v="1"/>
    <x v="11"/>
    <n v="2005"/>
    <x v="1"/>
    <n v="80"/>
    <s v="S24_4620"/>
    <s v="Mini Gifts Distributors Ltd."/>
    <n v="4155551450"/>
    <s v="5677 Strong St."/>
    <m/>
    <s v="San Rafael"/>
    <s v="CA"/>
    <n v="97562"/>
    <s v="USA"/>
    <s v="NA"/>
    <s v="Nelson"/>
    <s v="Valarie"/>
    <s v="Small"/>
    <n v="2472.6"/>
  </r>
  <r>
    <n v="10103"/>
    <n v="31"/>
    <n v="100"/>
    <n v="3"/>
    <n v="3224.31"/>
    <d v="2003-01-29T00:00:00"/>
    <s v="Shipped"/>
    <n v="1"/>
    <x v="7"/>
    <n v="2003"/>
    <x v="2"/>
    <n v="96"/>
    <s v="S32_1268"/>
    <s v="Baane Mini Imports"/>
    <s v="07-98 9555"/>
    <s v="Erling Skakkes gate 78"/>
    <m/>
    <s v="Stavern"/>
    <m/>
    <n v="4110"/>
    <s v="Norway"/>
    <s v="EMEA"/>
    <s v="Bergulfsen"/>
    <s v="Jonas"/>
    <s v="Medium"/>
    <n v="3100"/>
  </r>
  <r>
    <n v="10114"/>
    <n v="32"/>
    <n v="100"/>
    <n v="7"/>
    <n v="3667.52"/>
    <d v="2003-04-01T00:00:00"/>
    <s v="Shipped"/>
    <n v="2"/>
    <x v="8"/>
    <n v="2003"/>
    <x v="2"/>
    <n v="96"/>
    <s v="S32_1268"/>
    <s v="La Corne D'abondance, Co."/>
    <s v="(1) 42.34.2555"/>
    <s v="265, boulevard Charonne"/>
    <m/>
    <s v="Paris"/>
    <m/>
    <n v="75012"/>
    <s v="France"/>
    <s v="EMEA"/>
    <s v="Bertrand"/>
    <s v="Marie"/>
    <s v="Medium"/>
    <n v="3200"/>
  </r>
  <r>
    <n v="10126"/>
    <n v="43"/>
    <n v="96.31"/>
    <n v="3"/>
    <n v="4141.33"/>
    <d v="2003-05-28T00:00:00"/>
    <s v="Shipped"/>
    <n v="2"/>
    <x v="1"/>
    <n v="2003"/>
    <x v="2"/>
    <n v="96"/>
    <s v="S32_1268"/>
    <s v="Corrida Auto Replicas, Ltd"/>
    <s v="(91) 555 22 82"/>
    <s v="C/ Araquil, 67"/>
    <m/>
    <s v="Madrid"/>
    <m/>
    <n v="28023"/>
    <s v="Spain"/>
    <s v="EMEA"/>
    <s v="Sommer"/>
    <s v="Mart¡n"/>
    <s v="Medium"/>
    <n v="4141.33"/>
  </r>
  <r>
    <n v="10140"/>
    <n v="26"/>
    <n v="100"/>
    <n v="3"/>
    <n v="2829.58"/>
    <d v="2003-07-24T00:00:00"/>
    <s v="Shipped"/>
    <n v="3"/>
    <x v="2"/>
    <n v="2003"/>
    <x v="2"/>
    <n v="96"/>
    <s v="S32_1268"/>
    <s v="Technics Stores Inc."/>
    <n v="6505556809"/>
    <s v="9408 Furth Circle"/>
    <m/>
    <s v="Burlingame"/>
    <s v="CA"/>
    <n v="94217"/>
    <s v="USA"/>
    <s v="NA"/>
    <s v="Hirano"/>
    <s v="Juri"/>
    <s v="Small"/>
    <n v="2600"/>
  </r>
  <r>
    <n v="10151"/>
    <n v="27"/>
    <n v="100"/>
    <n v="10"/>
    <n v="3068.55"/>
    <d v="2003-09-21T00:00:00"/>
    <s v="Shipped"/>
    <n v="3"/>
    <x v="10"/>
    <n v="2003"/>
    <x v="2"/>
    <n v="96"/>
    <s v="S32_1268"/>
    <s v="Oulu Toy Supplies, Inc."/>
    <s v="981-443655"/>
    <s v="Torikatu 38"/>
    <m/>
    <s v="Oulu"/>
    <m/>
    <n v="90110"/>
    <s v="Finland"/>
    <s v="EMEA"/>
    <s v="Koskitalo"/>
    <s v="Pirkko"/>
    <s v="Medium"/>
    <n v="2700"/>
  </r>
  <r>
    <n v="10164"/>
    <n v="24"/>
    <n v="100"/>
    <n v="1"/>
    <n v="2634.96"/>
    <d v="2003-10-21T00:00:00"/>
    <s v="Resolved"/>
    <n v="4"/>
    <x v="4"/>
    <n v="2003"/>
    <x v="2"/>
    <n v="96"/>
    <s v="S32_1268"/>
    <s v="Mini Auto Werke"/>
    <s v="7675-3555"/>
    <s v="Kirchgasse 6"/>
    <m/>
    <s v="Graz"/>
    <m/>
    <n v="8010"/>
    <s v="Austria"/>
    <s v="EMEA"/>
    <s v="Mendel"/>
    <s v="Roland"/>
    <s v="Small"/>
    <n v="2400"/>
  </r>
  <r>
    <n v="10175"/>
    <n v="22"/>
    <n v="100"/>
    <n v="8"/>
    <n v="2436.7199999999998"/>
    <d v="2003-11-06T00:00:00"/>
    <s v="Shipped"/>
    <n v="4"/>
    <x v="5"/>
    <n v="2003"/>
    <x v="2"/>
    <n v="96"/>
    <s v="S32_1268"/>
    <s v="Stylish Desk Decors, Co."/>
    <s v="(171) 555-0297"/>
    <s v="35 King George"/>
    <m/>
    <s v="London"/>
    <m/>
    <s v="WX3 6FW"/>
    <s v="UK"/>
    <s v="EMEA"/>
    <s v="Brown"/>
    <s v="Ann"/>
    <s v="Small"/>
    <n v="2200"/>
  </r>
  <r>
    <n v="10184"/>
    <n v="46"/>
    <n v="100"/>
    <n v="13"/>
    <n v="4607.3599999999997"/>
    <d v="2003-11-14T00:00:00"/>
    <s v="Shipped"/>
    <n v="4"/>
    <x v="5"/>
    <n v="2003"/>
    <x v="2"/>
    <n v="96"/>
    <s v="S32_1268"/>
    <s v="Iberia Gift Imports, Corp."/>
    <s v="(95) 555 82 82"/>
    <s v="C/ Romero, 33"/>
    <m/>
    <s v="Sevilla"/>
    <m/>
    <n v="41101"/>
    <s v="Spain"/>
    <s v="EMEA"/>
    <s v="Roel"/>
    <s v="Jose Pedro"/>
    <s v="Medium"/>
    <n v="4600"/>
  </r>
  <r>
    <n v="10194"/>
    <n v="37"/>
    <n v="97.27"/>
    <n v="3"/>
    <n v="3598.99"/>
    <d v="2003-11-25T00:00:00"/>
    <s v="Shipped"/>
    <n v="4"/>
    <x v="5"/>
    <n v="2003"/>
    <x v="2"/>
    <n v="96"/>
    <s v="S32_1268"/>
    <s v="Saveley &amp; Henriot, Co."/>
    <s v="78.32.5555"/>
    <s v="2, rue du Commerce"/>
    <m/>
    <s v="Lyon"/>
    <m/>
    <n v="69004"/>
    <s v="France"/>
    <s v="EMEA"/>
    <s v="Saveley"/>
    <s v="Mary"/>
    <s v="Medium"/>
    <n v="3598.99"/>
  </r>
  <r>
    <n v="10207"/>
    <n v="49"/>
    <n v="80.900000000000006"/>
    <n v="14"/>
    <n v="3964.1"/>
    <d v="2003-12-09T00:00:00"/>
    <s v="Shipped"/>
    <n v="4"/>
    <x v="6"/>
    <n v="2003"/>
    <x v="2"/>
    <n v="96"/>
    <s v="S32_1268"/>
    <s v="Diecast Collectables"/>
    <n v="6175552555"/>
    <s v="6251 Ingle Ln."/>
    <m/>
    <s v="Boston"/>
    <s v="MA"/>
    <n v="51003"/>
    <s v="USA"/>
    <s v="NA"/>
    <s v="Franco"/>
    <s v="Valarie"/>
    <s v="Medium"/>
    <n v="3964.1000000000004"/>
  </r>
  <r>
    <n v="10217"/>
    <n v="21"/>
    <n v="100"/>
    <n v="3"/>
    <n v="2244.9"/>
    <d v="2004-02-04T00:00:00"/>
    <s v="Shipped"/>
    <n v="1"/>
    <x v="0"/>
    <n v="2004"/>
    <x v="2"/>
    <n v="96"/>
    <s v="S32_126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100"/>
  </r>
  <r>
    <n v="10229"/>
    <n v="25"/>
    <n v="100"/>
    <n v="8"/>
    <n v="2793"/>
    <d v="2004-03-11T00:00:00"/>
    <s v="Shipped"/>
    <n v="1"/>
    <x v="11"/>
    <n v="2004"/>
    <x v="2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Small"/>
    <n v="2500"/>
  </r>
  <r>
    <n v="10245"/>
    <n v="37"/>
    <n v="100"/>
    <n v="1"/>
    <n v="4133.6400000000003"/>
    <d v="2004-05-04T00:00:00"/>
    <s v="Shipped"/>
    <n v="2"/>
    <x v="1"/>
    <n v="2004"/>
    <x v="2"/>
    <n v="96"/>
    <s v="S32_1268"/>
    <s v="Super Scale Inc."/>
    <n v="2035559545"/>
    <s v="567 North Pendale Street"/>
    <m/>
    <s v="New Haven"/>
    <s v="CT"/>
    <n v="97823"/>
    <s v="USA"/>
    <s v="NA"/>
    <s v="Murphy"/>
    <s v="Leslie"/>
    <s v="Medium"/>
    <n v="3700"/>
  </r>
  <r>
    <n v="10259"/>
    <n v="45"/>
    <n v="86.68"/>
    <n v="11"/>
    <n v="3900.6"/>
    <d v="2004-06-15T00:00:00"/>
    <s v="Shipped"/>
    <n v="2"/>
    <x v="9"/>
    <n v="2004"/>
    <x v="2"/>
    <n v="96"/>
    <s v="S32_126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3900.6000000000004"/>
  </r>
  <r>
    <n v="10270"/>
    <n v="32"/>
    <n v="85.72"/>
    <n v="1"/>
    <n v="2743.04"/>
    <d v="2004-07-19T00:00:00"/>
    <s v="Shipped"/>
    <n v="3"/>
    <x v="2"/>
    <n v="2004"/>
    <x v="2"/>
    <n v="96"/>
    <s v="S32_126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743.04"/>
  </r>
  <r>
    <n v="10281"/>
    <n v="29"/>
    <n v="82.83"/>
    <n v="8"/>
    <n v="2402.0700000000002"/>
    <d v="2004-08-19T00:00:00"/>
    <s v="Shipped"/>
    <n v="3"/>
    <x v="3"/>
    <n v="2004"/>
    <x v="2"/>
    <n v="96"/>
    <s v="S32_1268"/>
    <s v="Diecast Classics Inc."/>
    <n v="2155551555"/>
    <s v="7586 Pompton St."/>
    <m/>
    <s v="Allentown"/>
    <s v="PA"/>
    <n v="70267"/>
    <s v="USA"/>
    <s v="NA"/>
    <s v="Yu"/>
    <s v="Kyung"/>
    <s v="Small"/>
    <n v="2402.0700000000002"/>
  </r>
  <r>
    <n v="10291"/>
    <n v="26"/>
    <n v="83.79"/>
    <n v="3"/>
    <n v="2178.54"/>
    <d v="2004-09-08T00:00:00"/>
    <s v="Shipped"/>
    <n v="3"/>
    <x v="10"/>
    <n v="2004"/>
    <x v="2"/>
    <n v="96"/>
    <s v="S32_1268"/>
    <s v="Scandinavian Gift Ideas"/>
    <s v="0695-34 6555"/>
    <s v="?kergatan 24"/>
    <m/>
    <s v="Boras"/>
    <m/>
    <s v="S-844 67"/>
    <s v="Sweden"/>
    <s v="EMEA"/>
    <s v="Larsson"/>
    <s v="Maria"/>
    <s v="Small"/>
    <n v="2178.54"/>
  </r>
  <r>
    <n v="10305"/>
    <n v="28"/>
    <n v="100"/>
    <n v="12"/>
    <n v="3155.04"/>
    <d v="2004-10-13T00:00:00"/>
    <s v="Shipped"/>
    <n v="4"/>
    <x v="4"/>
    <n v="2004"/>
    <x v="2"/>
    <n v="96"/>
    <s v="S32_1268"/>
    <s v="Marta's Replicas Co."/>
    <n v="6175558555"/>
    <s v="39323 Spinnaker Dr."/>
    <m/>
    <s v="Cambridge"/>
    <s v="MA"/>
    <n v="51247"/>
    <s v="USA"/>
    <s v="NA"/>
    <s v="Hernandez"/>
    <s v="Marta"/>
    <s v="Medium"/>
    <n v="2800"/>
  </r>
  <r>
    <n v="10313"/>
    <n v="27"/>
    <n v="87.64"/>
    <n v="6"/>
    <n v="2366.2800000000002"/>
    <d v="2004-10-22T00:00:00"/>
    <s v="Shipped"/>
    <n v="4"/>
    <x v="4"/>
    <n v="2004"/>
    <x v="2"/>
    <n v="96"/>
    <s v="S32_1268"/>
    <s v="Canadian Gift Exchange Network"/>
    <s v="(604) 555-3392"/>
    <s v="1900 Oak St."/>
    <m/>
    <s v="Vancouver"/>
    <s v="BC"/>
    <s v="V3F 2K1"/>
    <s v="Canada"/>
    <s v="NA"/>
    <s v="Tannamuri"/>
    <s v="Yoshi"/>
    <s v="Small"/>
    <n v="2366.2800000000002"/>
  </r>
  <r>
    <n v="10324"/>
    <n v="20"/>
    <n v="98.18"/>
    <n v="11"/>
    <n v="1963.6"/>
    <d v="2004-11-05T00:00:00"/>
    <s v="Shipped"/>
    <n v="4"/>
    <x v="5"/>
    <n v="2004"/>
    <x v="2"/>
    <n v="96"/>
    <s v="S32_1268"/>
    <s v="Vitachrome Inc."/>
    <n v="2125551500"/>
    <s v="2678 Kingston Rd."/>
    <s v="Suite 101"/>
    <s v="NYC"/>
    <s v="NY"/>
    <n v="10022"/>
    <s v="USA"/>
    <s v="NA"/>
    <s v="Frick"/>
    <s v="Michael"/>
    <s v="Small"/>
    <n v="1963.6000000000001"/>
  </r>
  <r>
    <n v="10335"/>
    <n v="44"/>
    <n v="100"/>
    <n v="1"/>
    <n v="4746.28"/>
    <d v="2004-11-19T00:00:00"/>
    <s v="Shipped"/>
    <n v="4"/>
    <x v="5"/>
    <n v="2004"/>
    <x v="2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Medium"/>
    <n v="4400"/>
  </r>
  <r>
    <n v="10348"/>
    <n v="42"/>
    <n v="100"/>
    <n v="3"/>
    <n v="6386.94"/>
    <d v="2004-11-01T00:00:00"/>
    <s v="Shipped"/>
    <n v="4"/>
    <x v="5"/>
    <n v="2004"/>
    <x v="2"/>
    <n v="96"/>
    <s v="S32_1268"/>
    <s v="Corrida Auto Replicas, Ltd"/>
    <s v="(91) 555 22 82"/>
    <s v="C/ Araquil, 67"/>
    <m/>
    <s v="Madrid"/>
    <m/>
    <n v="28023"/>
    <s v="Spain"/>
    <s v="EMEA"/>
    <s v="Sommer"/>
    <s v="Mart¡n"/>
    <s v="Medium"/>
    <n v="4200"/>
  </r>
  <r>
    <n v="10358"/>
    <n v="41"/>
    <n v="100"/>
    <n v="1"/>
    <n v="4428"/>
    <d v="2004-12-10T00:00:00"/>
    <s v="Shipped"/>
    <n v="4"/>
    <x v="6"/>
    <n v="2004"/>
    <x v="2"/>
    <n v="96"/>
    <s v="S32_1268"/>
    <s v="Euro Shopping Channel"/>
    <s v="(91) 555 94 44"/>
    <s v="C/ Moralzarzal, 86"/>
    <m/>
    <s v="Madrid"/>
    <m/>
    <n v="28034"/>
    <s v="Spain"/>
    <s v="EMEA"/>
    <s v="Freyre"/>
    <s v="Diego"/>
    <s v="Medium"/>
    <n v="4100"/>
  </r>
  <r>
    <n v="10371"/>
    <n v="26"/>
    <n v="100"/>
    <n v="1"/>
    <n v="4044.04"/>
    <d v="2005-01-23T00:00:00"/>
    <s v="Shipped"/>
    <n v="1"/>
    <x v="7"/>
    <n v="2005"/>
    <x v="2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Medium"/>
    <n v="2600"/>
  </r>
  <r>
    <n v="10382"/>
    <n v="26"/>
    <n v="100"/>
    <n v="6"/>
    <n v="2708.42"/>
    <d v="2005-02-17T00:00:00"/>
    <s v="Shipped"/>
    <n v="1"/>
    <x v="0"/>
    <n v="2005"/>
    <x v="2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Small"/>
    <n v="2600"/>
  </r>
  <r>
    <n v="10411"/>
    <n v="26"/>
    <n v="100"/>
    <n v="1"/>
    <n v="2904.72"/>
    <d v="2005-05-01T00:00:00"/>
    <s v="Shipped"/>
    <n v="2"/>
    <x v="1"/>
    <n v="2005"/>
    <x v="2"/>
    <n v="96"/>
    <s v="S32_1268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2600"/>
  </r>
  <r>
    <n v="10425"/>
    <n v="41"/>
    <n v="86.68"/>
    <n v="11"/>
    <n v="3553.88"/>
    <d v="2005-05-31T00:00:00"/>
    <s v="In Process"/>
    <n v="2"/>
    <x v="1"/>
    <n v="2005"/>
    <x v="2"/>
    <n v="96"/>
    <s v="S32_1268"/>
    <s v="La Rochelle Gifts"/>
    <s v="40.67.8555"/>
    <s v="67, rue des Cinquante Otages"/>
    <m/>
    <s v="Nantes"/>
    <m/>
    <n v="44000"/>
    <s v="France"/>
    <s v="EMEA"/>
    <s v="Labrune"/>
    <s v="Janine"/>
    <s v="Medium"/>
    <n v="3553.88"/>
  </r>
  <r>
    <n v="10107"/>
    <n v="20"/>
    <n v="92.9"/>
    <n v="8"/>
    <n v="1858"/>
    <d v="2003-02-24T00:00:00"/>
    <s v="Shipped"/>
    <n v="1"/>
    <x v="0"/>
    <n v="2003"/>
    <x v="0"/>
    <n v="99"/>
    <s v="S32_1374"/>
    <s v="Land of Toys Inc."/>
    <n v="2125557818"/>
    <s v="897 Long Airport Avenue"/>
    <m/>
    <s v="NYC"/>
    <s v="NY"/>
    <n v="10022"/>
    <s v="USA"/>
    <s v="NA"/>
    <s v="Yu"/>
    <s v="Kwai"/>
    <s v="Small"/>
    <n v="1858"/>
  </r>
  <r>
    <n v="10120"/>
    <n v="22"/>
    <n v="100"/>
    <n v="6"/>
    <n v="2461.36"/>
    <d v="2003-04-29T00:00:00"/>
    <s v="Shipped"/>
    <n v="2"/>
    <x v="8"/>
    <n v="2003"/>
    <x v="0"/>
    <n v="99"/>
    <s v="S32_1374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200"/>
  </r>
  <r>
    <n v="10133"/>
    <n v="23"/>
    <n v="100"/>
    <n v="1"/>
    <n v="2642.01"/>
    <d v="2003-06-27T00:00:00"/>
    <s v="Shipped"/>
    <n v="2"/>
    <x v="9"/>
    <n v="2003"/>
    <x v="0"/>
    <n v="99"/>
    <s v="S32_1374"/>
    <s v="Euro Shopping Channel"/>
    <s v="(91) 555 94 44"/>
    <s v="C/ Moralzarzal, 86"/>
    <m/>
    <s v="Madrid"/>
    <m/>
    <n v="28034"/>
    <s v="Spain"/>
    <s v="EMEA"/>
    <s v="Freyre"/>
    <s v="Diego"/>
    <s v="Small"/>
    <n v="2300"/>
  </r>
  <r>
    <n v="10145"/>
    <n v="33"/>
    <n v="93.9"/>
    <n v="12"/>
    <n v="3098.7"/>
    <d v="2003-08-25T00:00:00"/>
    <s v="Shipped"/>
    <n v="3"/>
    <x v="3"/>
    <n v="2003"/>
    <x v="0"/>
    <n v="99"/>
    <s v="S32_1374"/>
    <s v="Toys4GrownUps.com"/>
    <n v="6265557265"/>
    <s v="78934 Hillside Dr."/>
    <m/>
    <s v="Pasadena"/>
    <s v="CA"/>
    <n v="90003"/>
    <s v="USA"/>
    <s v="NA"/>
    <s v="Young"/>
    <s v="Julie"/>
    <s v="Medium"/>
    <n v="3098.7000000000003"/>
  </r>
  <r>
    <n v="10168"/>
    <n v="28"/>
    <n v="100"/>
    <n v="7"/>
    <n v="3244.36"/>
    <d v="2003-10-28T00:00:00"/>
    <s v="Shipped"/>
    <n v="4"/>
    <x v="4"/>
    <n v="2003"/>
    <x v="0"/>
    <n v="99"/>
    <s v="S32_1374"/>
    <s v="Technics Stores Inc."/>
    <n v="6505556809"/>
    <s v="9408 Furth Circle"/>
    <m/>
    <s v="Burlingame"/>
    <s v="CA"/>
    <n v="94217"/>
    <s v="USA"/>
    <s v="NA"/>
    <s v="Hirano"/>
    <s v="Juri"/>
    <s v="Medium"/>
    <n v="2800"/>
  </r>
  <r>
    <n v="10188"/>
    <n v="44"/>
    <n v="98.89"/>
    <n v="7"/>
    <n v="4351.16"/>
    <d v="2003-11-18T00:00:00"/>
    <s v="Shipped"/>
    <n v="4"/>
    <x v="5"/>
    <n v="2003"/>
    <x v="0"/>
    <n v="99"/>
    <s v="S32_1374"/>
    <s v="Herkku Gifts"/>
    <s v="+47 2267 3215"/>
    <s v="Drammen 121, PR 744 Sentrum"/>
    <m/>
    <s v="Bergen"/>
    <m/>
    <s v="N 5804"/>
    <s v="Norway"/>
    <s v="EMEA"/>
    <s v="Oeztan"/>
    <s v="Veysel"/>
    <s v="Medium"/>
    <n v="4351.16"/>
  </r>
  <r>
    <n v="10210"/>
    <n v="46"/>
    <n v="79.91"/>
    <n v="5"/>
    <n v="3675.86"/>
    <d v="2004-01-12T00:00:00"/>
    <s v="Shipped"/>
    <n v="1"/>
    <x v="7"/>
    <n v="2004"/>
    <x v="0"/>
    <n v="99"/>
    <s v="S32_1374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  <n v="3675.8599999999997"/>
  </r>
  <r>
    <n v="10223"/>
    <n v="21"/>
    <n v="100"/>
    <n v="7"/>
    <n v="2475.27"/>
    <d v="2004-02-20T00:00:00"/>
    <s v="Shipped"/>
    <n v="1"/>
    <x v="0"/>
    <n v="2004"/>
    <x v="0"/>
    <n v="99"/>
    <s v="S32_1374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100"/>
  </r>
  <r>
    <n v="10235"/>
    <n v="41"/>
    <n v="100"/>
    <n v="1"/>
    <n v="4177.49"/>
    <d v="2004-04-02T00:00:00"/>
    <s v="Shipped"/>
    <n v="2"/>
    <x v="8"/>
    <n v="2004"/>
    <x v="0"/>
    <n v="99"/>
    <s v="S32_1374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4100"/>
  </r>
  <r>
    <n v="10250"/>
    <n v="31"/>
    <n v="100"/>
    <n v="2"/>
    <n v="3282.28"/>
    <d v="2004-05-11T00:00:00"/>
    <s v="Shipped"/>
    <n v="2"/>
    <x v="1"/>
    <n v="2004"/>
    <x v="0"/>
    <n v="99"/>
    <s v="S32_1374"/>
    <s v="The Sharp Gifts Warehouse"/>
    <n v="4085553659"/>
    <s v="3086 Ingle Ln."/>
    <m/>
    <s v="San Jose"/>
    <s v="CA"/>
    <n v="94217"/>
    <s v="USA"/>
    <s v="NA"/>
    <s v="Frick"/>
    <s v="Sue"/>
    <s v="Medium"/>
    <n v="3100"/>
  </r>
  <r>
    <n v="10263"/>
    <n v="31"/>
    <n v="79.91"/>
    <n v="8"/>
    <n v="2477.21"/>
    <d v="2004-06-28T00:00:00"/>
    <s v="Shipped"/>
    <n v="2"/>
    <x v="9"/>
    <n v="2004"/>
    <x v="0"/>
    <n v="99"/>
    <s v="S32_1374"/>
    <s v="Gift Depot Inc."/>
    <n v="2035552570"/>
    <s v="25593 South Bay Ln."/>
    <m/>
    <s v="Bridgewater"/>
    <s v="CT"/>
    <n v="97562"/>
    <s v="USA"/>
    <s v="NA"/>
    <s v="King"/>
    <s v="Julie"/>
    <s v="Small"/>
    <n v="2477.21"/>
  </r>
  <r>
    <n v="10275"/>
    <n v="23"/>
    <n v="81.91"/>
    <n v="7"/>
    <n v="1883.93"/>
    <d v="2004-07-23T00:00:00"/>
    <s v="Shipped"/>
    <n v="3"/>
    <x v="2"/>
    <n v="2004"/>
    <x v="0"/>
    <n v="99"/>
    <s v="S32_1374"/>
    <s v="La Rochelle Gifts"/>
    <s v="40.67.8555"/>
    <s v="67, rue des Cinquante Otages"/>
    <m/>
    <s v="Nantes"/>
    <m/>
    <n v="44000"/>
    <s v="France"/>
    <s v="EMEA"/>
    <s v="Labrune"/>
    <s v="Janine"/>
    <s v="Small"/>
    <n v="1883.9299999999998"/>
  </r>
  <r>
    <n v="10285"/>
    <n v="37"/>
    <n v="98.89"/>
    <n v="12"/>
    <n v="3658.93"/>
    <d v="2004-08-27T00:00:00"/>
    <s v="Shipped"/>
    <n v="3"/>
    <x v="3"/>
    <n v="2004"/>
    <x v="0"/>
    <n v="99"/>
    <s v="S32_1374"/>
    <s v="Marta's Replicas Co."/>
    <n v="6175558555"/>
    <s v="39323 Spinnaker Dr."/>
    <m/>
    <s v="Cambridge"/>
    <s v="MA"/>
    <n v="51247"/>
    <s v="USA"/>
    <s v="NA"/>
    <s v="Hernandez"/>
    <s v="Marta"/>
    <s v="Medium"/>
    <n v="3658.93"/>
  </r>
  <r>
    <n v="10297"/>
    <n v="26"/>
    <n v="100"/>
    <n v="2"/>
    <n v="2856.88"/>
    <d v="2004-09-16T00:00:00"/>
    <s v="Shipped"/>
    <n v="3"/>
    <x v="10"/>
    <n v="2004"/>
    <x v="0"/>
    <n v="99"/>
    <s v="S32_1374"/>
    <s v="Clover Collections, Co."/>
    <s v="+353 1862 1555"/>
    <s v="25 Maiden Lane"/>
    <s v="Floor No. 4"/>
    <s v="Dublin"/>
    <m/>
    <n v="2"/>
    <s v="Ireland"/>
    <s v="EMEA"/>
    <s v="Cassidy"/>
    <s v="Dean"/>
    <s v="Small"/>
    <n v="2600"/>
  </r>
  <r>
    <n v="10308"/>
    <n v="24"/>
    <n v="79.91"/>
    <n v="5"/>
    <n v="1917.84"/>
    <d v="2004-10-15T00:00:00"/>
    <s v="Shipped"/>
    <n v="4"/>
    <x v="4"/>
    <n v="2004"/>
    <x v="0"/>
    <n v="99"/>
    <s v="S32_1374"/>
    <s v="Mini Classics"/>
    <n v="9145554562"/>
    <s v="3758 North Pendale Street"/>
    <m/>
    <s v="White Plains"/>
    <s v="NY"/>
    <n v="24067"/>
    <s v="USA"/>
    <s v="NA"/>
    <s v="Frick"/>
    <s v="Steve"/>
    <s v="Small"/>
    <n v="1917.84"/>
  </r>
  <r>
    <n v="10318"/>
    <n v="47"/>
    <n v="100"/>
    <n v="7"/>
    <n v="5305.36"/>
    <d v="2004-11-02T00:00:00"/>
    <s v="Shipped"/>
    <n v="4"/>
    <x v="5"/>
    <n v="2004"/>
    <x v="0"/>
    <n v="99"/>
    <s v="S32_1374"/>
    <s v="Diecast Classics Inc."/>
    <n v="2155551555"/>
    <s v="7586 Pompton St."/>
    <m/>
    <s v="Allentown"/>
    <s v="PA"/>
    <n v="70267"/>
    <s v="USA"/>
    <s v="NA"/>
    <s v="Yu"/>
    <s v="Kyung"/>
    <s v="Medium"/>
    <n v="4700"/>
  </r>
  <r>
    <n v="10329"/>
    <n v="45"/>
    <n v="63.91"/>
    <n v="11"/>
    <n v="2875.95"/>
    <d v="2004-11-15T00:00:00"/>
    <s v="Shipped"/>
    <n v="4"/>
    <x v="5"/>
    <n v="2004"/>
    <x v="0"/>
    <n v="99"/>
    <s v="S32_1374"/>
    <s v="Land of Toys Inc."/>
    <n v="2125557818"/>
    <s v="897 Long Airport Avenue"/>
    <m/>
    <s v="NYC"/>
    <s v="NY"/>
    <n v="10022"/>
    <s v="USA"/>
    <s v="NA"/>
    <s v="Yu"/>
    <s v="Kwai"/>
    <s v="Small"/>
    <n v="2875.95"/>
  </r>
  <r>
    <n v="10340"/>
    <n v="55"/>
    <n v="100"/>
    <n v="2"/>
    <n v="6482.85"/>
    <d v="2004-11-24T00:00:00"/>
    <s v="Shipped"/>
    <n v="4"/>
    <x v="5"/>
    <n v="2004"/>
    <x v="0"/>
    <n v="99"/>
    <s v="S32_1374"/>
    <s v="Enaco Distributors"/>
    <s v="(93) 203 4555"/>
    <s v="Rambla de Catalu¤a, 23"/>
    <m/>
    <s v="Barcelona"/>
    <m/>
    <n v="8022"/>
    <s v="Spain"/>
    <s v="EMEA"/>
    <s v="Saavedra"/>
    <s v="Eduardo"/>
    <s v="Medium"/>
    <n v="5500"/>
  </r>
  <r>
    <n v="10353"/>
    <n v="46"/>
    <n v="81.17"/>
    <n v="5"/>
    <n v="3733.82"/>
    <d v="2004-12-04T00:00:00"/>
    <s v="Shipped"/>
    <n v="4"/>
    <x v="6"/>
    <n v="2004"/>
    <x v="0"/>
    <n v="99"/>
    <s v="S32_1374"/>
    <s v="Gift Ideas Corp."/>
    <n v="2035554407"/>
    <s v="2440 Pompton St."/>
    <m/>
    <s v="Glendale"/>
    <s v="CT"/>
    <n v="97561"/>
    <s v="USA"/>
    <s v="NA"/>
    <s v="Lewis"/>
    <s v="Dan"/>
    <s v="Medium"/>
    <n v="3733.82"/>
  </r>
  <r>
    <n v="10363"/>
    <n v="50"/>
    <n v="100"/>
    <n v="2"/>
    <n v="6576.5"/>
    <d v="2005-01-06T00:00:00"/>
    <s v="Shipped"/>
    <n v="1"/>
    <x v="7"/>
    <n v="2005"/>
    <x v="0"/>
    <n v="99"/>
    <s v="S32_1374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5000"/>
  </r>
  <r>
    <n v="10375"/>
    <n v="37"/>
    <n v="100"/>
    <n v="3"/>
    <n v="6353.27"/>
    <d v="2005-02-03T00:00:00"/>
    <s v="Shipped"/>
    <n v="1"/>
    <x v="0"/>
    <n v="2005"/>
    <x v="0"/>
    <n v="99"/>
    <s v="S32_1374"/>
    <s v="La Rochelle Gifts"/>
    <s v="40.67.8555"/>
    <s v="67, rue des Cinquante Otages"/>
    <m/>
    <s v="Nantes"/>
    <m/>
    <n v="44000"/>
    <s v="France"/>
    <s v="EMEA"/>
    <s v="Labrune"/>
    <s v="Janine"/>
    <s v="Medium"/>
    <n v="3700"/>
  </r>
  <r>
    <n v="10387"/>
    <n v="44"/>
    <n v="94.9"/>
    <n v="1"/>
    <n v="4175.6000000000004"/>
    <d v="2005-03-02T00:00:00"/>
    <s v="Shipped"/>
    <n v="1"/>
    <x v="11"/>
    <n v="2005"/>
    <x v="0"/>
    <n v="99"/>
    <s v="S32_1374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4175.6000000000004"/>
  </r>
  <r>
    <n v="10401"/>
    <n v="49"/>
    <n v="100"/>
    <n v="1"/>
    <n v="4992.6099999999997"/>
    <d v="2005-04-03T00:00:00"/>
    <s v="On Hold"/>
    <n v="2"/>
    <x v="8"/>
    <n v="2005"/>
    <x v="0"/>
    <n v="99"/>
    <s v="S32_1374"/>
    <s v="Tekni Collectables Inc."/>
    <n v="2015559350"/>
    <s v="7476 Moss Rd."/>
    <m/>
    <s v="Newark"/>
    <s v="NJ"/>
    <n v="94019"/>
    <s v="USA"/>
    <s v="NA"/>
    <s v="Brown"/>
    <s v="William"/>
    <s v="Medium"/>
    <n v="4900"/>
  </r>
  <r>
    <n v="10416"/>
    <n v="45"/>
    <n v="100"/>
    <n v="2"/>
    <n v="4764.6000000000004"/>
    <d v="2005-05-10T00:00:00"/>
    <s v="Shipped"/>
    <n v="2"/>
    <x v="1"/>
    <n v="2005"/>
    <x v="0"/>
    <n v="99"/>
    <s v="S32_1374"/>
    <s v="L'ordine Souveniers"/>
    <s v="0522-556555"/>
    <s v="Strada Provinciale 124"/>
    <m/>
    <s v="Reggio Emilia"/>
    <m/>
    <n v="42100"/>
    <s v="Italy"/>
    <s v="EMEA"/>
    <s v="Moroni"/>
    <s v="Maurizio"/>
    <s v="Medium"/>
    <n v="4500"/>
  </r>
  <r>
    <n v="10108"/>
    <n v="27"/>
    <n v="43.45"/>
    <n v="13"/>
    <n v="1173.1500000000001"/>
    <d v="2003-03-03T00:00:00"/>
    <s v="Shipped"/>
    <n v="1"/>
    <x v="11"/>
    <n v="2003"/>
    <x v="0"/>
    <n v="40"/>
    <s v="S32_2206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1173.1500000000001"/>
  </r>
  <r>
    <n v="10122"/>
    <n v="31"/>
    <n v="44.66"/>
    <n v="17"/>
    <n v="1384.46"/>
    <d v="2003-05-08T00:00:00"/>
    <s v="Shipped"/>
    <n v="2"/>
    <x v="1"/>
    <n v="2003"/>
    <x v="0"/>
    <n v="40"/>
    <s v="S32_2206"/>
    <s v="Marseille Mini Autos"/>
    <s v="91.24.4555"/>
    <s v="12, rue des Bouchers"/>
    <m/>
    <s v="Marseille"/>
    <m/>
    <n v="13008"/>
    <s v="France"/>
    <s v="EMEA"/>
    <s v="Lebihan"/>
    <s v="Laurence"/>
    <s v="Small"/>
    <n v="1384.4599999999998"/>
  </r>
  <r>
    <n v="10135"/>
    <n v="33"/>
    <n v="40.229999999999997"/>
    <n v="14"/>
    <n v="1327.59"/>
    <d v="2003-07-02T00:00:00"/>
    <s v="Shipped"/>
    <n v="3"/>
    <x v="2"/>
    <n v="2003"/>
    <x v="0"/>
    <n v="40"/>
    <s v="S32_2206"/>
    <s v="Mini Gifts Distributors Ltd."/>
    <n v="4155551450"/>
    <s v="5677 Strong St."/>
    <m/>
    <s v="San Rafael"/>
    <s v="CA"/>
    <n v="97562"/>
    <s v="USA"/>
    <s v="NA"/>
    <s v="Nelson"/>
    <s v="Valarie"/>
    <s v="Small"/>
    <n v="1327.59"/>
  </r>
  <r>
    <n v="10145"/>
    <n v="31"/>
    <n v="35.799999999999997"/>
    <n v="1"/>
    <n v="1109.8"/>
    <d v="2003-08-25T00:00:00"/>
    <s v="Shipped"/>
    <n v="3"/>
    <x v="3"/>
    <n v="2003"/>
    <x v="0"/>
    <n v="40"/>
    <s v="S32_2206"/>
    <s v="Toys4GrownUps.com"/>
    <n v="6265557265"/>
    <s v="78934 Hillside Dr."/>
    <m/>
    <s v="Pasadena"/>
    <s v="CA"/>
    <n v="90003"/>
    <s v="USA"/>
    <s v="NA"/>
    <s v="Young"/>
    <s v="Julie"/>
    <s v="Small"/>
    <n v="1109.8"/>
  </r>
  <r>
    <n v="10159"/>
    <n v="35"/>
    <n v="35.4"/>
    <n v="9"/>
    <n v="1239"/>
    <d v="2003-10-10T00:00:00"/>
    <s v="Shipped"/>
    <n v="4"/>
    <x v="4"/>
    <n v="2003"/>
    <x v="0"/>
    <n v="40"/>
    <s v="S32_2206"/>
    <s v="Corporate Gift Ideas Co."/>
    <n v="6505551386"/>
    <s v="7734 Strong St."/>
    <m/>
    <s v="San Francisco"/>
    <s v="CA"/>
    <m/>
    <s v="USA"/>
    <s v="NA"/>
    <s v="Brown"/>
    <s v="Julie"/>
    <s v="Small"/>
    <n v="1239"/>
  </r>
  <r>
    <n v="10169"/>
    <n v="26"/>
    <n v="39.83"/>
    <n v="9"/>
    <n v="1035.58"/>
    <d v="2003-11-04T00:00:00"/>
    <s v="Shipped"/>
    <n v="4"/>
    <x v="5"/>
    <n v="2003"/>
    <x v="0"/>
    <n v="40"/>
    <s v="S32_220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  <n v="1035.58"/>
  </r>
  <r>
    <n v="10180"/>
    <n v="34"/>
    <n v="45.46"/>
    <n v="4"/>
    <n v="1545.64"/>
    <d v="2003-11-11T00:00:00"/>
    <s v="Shipped"/>
    <n v="4"/>
    <x v="5"/>
    <n v="2003"/>
    <x v="0"/>
    <n v="40"/>
    <s v="S32_2206"/>
    <s v="Daedalus Designs Imports"/>
    <s v="20.16.1555"/>
    <s v="184, chausse de Tournai"/>
    <m/>
    <s v="Lille"/>
    <m/>
    <n v="59000"/>
    <s v="France"/>
    <s v="EMEA"/>
    <s v="Rance"/>
    <s v="Martine"/>
    <s v="Small"/>
    <n v="1545.64"/>
  </r>
  <r>
    <n v="10190"/>
    <n v="46"/>
    <n v="32.99"/>
    <n v="1"/>
    <n v="1517.54"/>
    <d v="2003-11-19T00:00:00"/>
    <s v="Shipped"/>
    <n v="4"/>
    <x v="5"/>
    <n v="2003"/>
    <x v="0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Small"/>
    <n v="1517.5400000000002"/>
  </r>
  <r>
    <n v="10211"/>
    <n v="41"/>
    <n v="42.24"/>
    <n v="9"/>
    <n v="1731.84"/>
    <d v="2004-01-15T00:00:00"/>
    <s v="Shipped"/>
    <n v="1"/>
    <x v="7"/>
    <n v="2004"/>
    <x v="0"/>
    <n v="40"/>
    <s v="S32_2206"/>
    <s v="Auto Canal Petit"/>
    <s v="(1) 47.55.6555"/>
    <s v="25, rue Lauriston"/>
    <m/>
    <s v="Paris"/>
    <m/>
    <n v="75016"/>
    <s v="France"/>
    <s v="EMEA"/>
    <s v="Perrier"/>
    <s v="Dominique"/>
    <s v="Small"/>
    <n v="1731.8400000000001"/>
  </r>
  <r>
    <n v="10224"/>
    <n v="43"/>
    <n v="39.43"/>
    <n v="2"/>
    <n v="1695.49"/>
    <d v="2004-02-21T00:00:00"/>
    <s v="Shipped"/>
    <n v="1"/>
    <x v="0"/>
    <n v="2004"/>
    <x v="0"/>
    <n v="40"/>
    <s v="S32_2206"/>
    <s v="Daedalus Designs Imports"/>
    <s v="20.16.1555"/>
    <s v="184, chausse de Tournai"/>
    <m/>
    <s v="Lille"/>
    <m/>
    <n v="59000"/>
    <s v="France"/>
    <s v="EMEA"/>
    <s v="Rance"/>
    <s v="Martine"/>
    <s v="Small"/>
    <n v="1695.49"/>
  </r>
  <r>
    <n v="10237"/>
    <n v="26"/>
    <n v="40.229999999999997"/>
    <n v="2"/>
    <n v="1045.98"/>
    <d v="2004-04-05T00:00:00"/>
    <s v="Shipped"/>
    <n v="2"/>
    <x v="8"/>
    <n v="2004"/>
    <x v="0"/>
    <n v="40"/>
    <s v="S32_2206"/>
    <s v="Vitachrome Inc."/>
    <n v="2125551500"/>
    <s v="2678 Kingston Rd."/>
    <s v="Suite 101"/>
    <s v="NYC"/>
    <s v="NY"/>
    <n v="10022"/>
    <s v="USA"/>
    <s v="NA"/>
    <s v="Frick"/>
    <s v="Michael"/>
    <s v="Small"/>
    <n v="1045.98"/>
  </r>
  <r>
    <n v="10252"/>
    <n v="36"/>
    <n v="48.28"/>
    <n v="6"/>
    <n v="1738.08"/>
    <d v="2004-05-26T00:00:00"/>
    <s v="Shipped"/>
    <n v="2"/>
    <x v="1"/>
    <n v="2004"/>
    <x v="0"/>
    <n v="40"/>
    <s v="S32_2206"/>
    <s v="Auto Canal Petit"/>
    <s v="(1) 47.55.6555"/>
    <s v="25, rue Lauriston"/>
    <m/>
    <s v="Paris"/>
    <m/>
    <n v="75016"/>
    <s v="France"/>
    <s v="EMEA"/>
    <s v="Perrier"/>
    <s v="Dominique"/>
    <s v="Small"/>
    <n v="1738.08"/>
  </r>
  <r>
    <n v="10264"/>
    <n v="20"/>
    <n v="32.590000000000003"/>
    <n v="4"/>
    <n v="651.79999999999995"/>
    <d v="2004-06-30T00:00:00"/>
    <s v="Shipped"/>
    <n v="2"/>
    <x v="9"/>
    <n v="2004"/>
    <x v="0"/>
    <n v="40"/>
    <s v="S32_2206"/>
    <s v="Gifts4AllAges.com"/>
    <n v="6175559555"/>
    <s v="8616 Spinnaker Dr."/>
    <m/>
    <s v="Boston"/>
    <s v="MA"/>
    <n v="51003"/>
    <s v="USA"/>
    <s v="NA"/>
    <s v="Yoshido"/>
    <s v="Juri"/>
    <s v="Small"/>
    <n v="651.80000000000007"/>
  </r>
  <r>
    <n v="10276"/>
    <n v="27"/>
    <n v="36.61"/>
    <n v="10"/>
    <n v="988.47"/>
    <d v="2004-08-02T00:00:00"/>
    <s v="Shipped"/>
    <n v="3"/>
    <x v="3"/>
    <n v="2004"/>
    <x v="0"/>
    <n v="40"/>
    <s v="S32_2206"/>
    <s v="Online Mini Collectables"/>
    <n v="6175557555"/>
    <s v="7635 Spinnaker Dr."/>
    <m/>
    <s v="Brickhaven"/>
    <s v="MA"/>
    <n v="58339"/>
    <s v="USA"/>
    <s v="NA"/>
    <s v="Barajas"/>
    <s v="Miguel"/>
    <s v="Small"/>
    <n v="988.47"/>
  </r>
  <r>
    <n v="10285"/>
    <n v="37"/>
    <n v="41.03"/>
    <n v="1"/>
    <n v="1518.11"/>
    <d v="2004-08-27T00:00:00"/>
    <s v="Shipped"/>
    <n v="3"/>
    <x v="3"/>
    <n v="2004"/>
    <x v="0"/>
    <n v="40"/>
    <s v="S32_2206"/>
    <s v="Marta's Replicas Co."/>
    <n v="6175558555"/>
    <s v="39323 Spinnaker Dr."/>
    <m/>
    <s v="Cambridge"/>
    <s v="MA"/>
    <n v="51247"/>
    <s v="USA"/>
    <s v="NA"/>
    <s v="Hernandez"/>
    <s v="Marta"/>
    <s v="Small"/>
    <n v="1518.1100000000001"/>
  </r>
  <r>
    <n v="10299"/>
    <n v="24"/>
    <n v="42.24"/>
    <n v="4"/>
    <n v="1013.76"/>
    <d v="2004-09-30T00:00:00"/>
    <s v="Shipped"/>
    <n v="3"/>
    <x v="10"/>
    <n v="2004"/>
    <x v="0"/>
    <n v="40"/>
    <s v="S32_2206"/>
    <s v="Toys of Finland, Co."/>
    <s v="90-224 8555"/>
    <s v="Keskuskatu 45"/>
    <m/>
    <s v="Helsinki"/>
    <m/>
    <n v="21240"/>
    <s v="Finland"/>
    <s v="EMEA"/>
    <s v="Karttunen"/>
    <s v="Matti"/>
    <s v="Small"/>
    <n v="1013.76"/>
  </r>
  <r>
    <n v="10310"/>
    <n v="36"/>
    <n v="43.05"/>
    <n v="17"/>
    <n v="1549.8"/>
    <d v="2004-10-16T00:00:00"/>
    <s v="Shipped"/>
    <n v="4"/>
    <x v="4"/>
    <n v="2004"/>
    <x v="0"/>
    <n v="40"/>
    <s v="S32_2206"/>
    <s v="Toms Spezialitten, Ltd"/>
    <s v="0221-5554327"/>
    <s v="Mehrheimerstr. 369"/>
    <m/>
    <s v="Koln"/>
    <m/>
    <n v="50739"/>
    <s v="Germany"/>
    <s v="EMEA"/>
    <s v="Pfalzheim"/>
    <s v="Henriette"/>
    <s v="Small"/>
    <n v="1549.8"/>
  </r>
  <r>
    <n v="10319"/>
    <n v="29"/>
    <n v="38.22"/>
    <n v="5"/>
    <n v="1108.3800000000001"/>
    <d v="2004-11-03T00:00:00"/>
    <s v="Shipped"/>
    <n v="4"/>
    <x v="5"/>
    <n v="2004"/>
    <x v="0"/>
    <n v="40"/>
    <s v="S32_2206"/>
    <s v="Microscale Inc."/>
    <n v="2125551957"/>
    <s v="5290 North Pendale Street"/>
    <s v="Suite 200"/>
    <s v="NYC"/>
    <s v="NY"/>
    <n v="10022"/>
    <s v="USA"/>
    <s v="NA"/>
    <s v="Kuo"/>
    <s v="Kee"/>
    <s v="Small"/>
    <n v="1108.3799999999999"/>
  </r>
  <r>
    <n v="10331"/>
    <n v="28"/>
    <n v="100"/>
    <n v="3"/>
    <n v="4102.5600000000004"/>
    <d v="2004-11-17T00:00:00"/>
    <s v="Shipped"/>
    <n v="4"/>
    <x v="5"/>
    <n v="2004"/>
    <x v="0"/>
    <n v="40"/>
    <s v="S32_2206"/>
    <s v="Motor Mint Distributors Inc."/>
    <n v="2155559857"/>
    <s v="11328 Douglas Av."/>
    <m/>
    <s v="Philadelphia"/>
    <s v="PA"/>
    <n v="71270"/>
    <s v="USA"/>
    <s v="NA"/>
    <s v="Hernandez"/>
    <s v="Rosa"/>
    <s v="Medium"/>
    <n v="2800"/>
  </r>
  <r>
    <n v="10343"/>
    <n v="29"/>
    <n v="100"/>
    <n v="5"/>
    <n v="3713.16"/>
    <d v="2004-11-24T00:00:00"/>
    <s v="Shipped"/>
    <n v="4"/>
    <x v="5"/>
    <n v="2004"/>
    <x v="0"/>
    <n v="40"/>
    <s v="S32_2206"/>
    <s v="Reims Collectables"/>
    <s v="26.47.1555"/>
    <s v="59 rue de l'Abbaye"/>
    <m/>
    <s v="Reims"/>
    <m/>
    <n v="51100"/>
    <s v="France"/>
    <s v="EMEA"/>
    <s v="Henriot"/>
    <s v="Paul"/>
    <s v="Medium"/>
    <n v="2900"/>
  </r>
  <r>
    <n v="10355"/>
    <n v="38"/>
    <n v="39.83"/>
    <n v="10"/>
    <n v="1513.54"/>
    <d v="2004-12-07T00:00:00"/>
    <s v="Shipped"/>
    <n v="4"/>
    <x v="6"/>
    <n v="2004"/>
    <x v="0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Small"/>
    <n v="1513.54"/>
  </r>
  <r>
    <n v="10364"/>
    <n v="48"/>
    <n v="48.28"/>
    <n v="1"/>
    <n v="2317.44"/>
    <d v="2005-01-06T00:00:00"/>
    <s v="Shipped"/>
    <n v="1"/>
    <x v="7"/>
    <n v="2005"/>
    <x v="0"/>
    <n v="40"/>
    <s v="S32_2206"/>
    <s v="Marseille Mini Autos"/>
    <s v="91.24.4555"/>
    <s v="12, rue des Bouchers"/>
    <m/>
    <s v="Marseille"/>
    <m/>
    <n v="13008"/>
    <s v="France"/>
    <s v="EMEA"/>
    <s v="Lebihan"/>
    <s v="Laurence"/>
    <s v="Small"/>
    <n v="2317.44"/>
  </r>
  <r>
    <n v="10378"/>
    <n v="40"/>
    <n v="82.46"/>
    <n v="1"/>
    <n v="3298.4"/>
    <d v="2005-02-10T00:00:00"/>
    <s v="Shipped"/>
    <n v="1"/>
    <x v="0"/>
    <n v="2005"/>
    <x v="0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Medium"/>
    <n v="3298.3999999999996"/>
  </r>
  <r>
    <n v="10390"/>
    <n v="41"/>
    <n v="44.56"/>
    <n v="11"/>
    <n v="1826.96"/>
    <d v="2005-03-04T00:00:00"/>
    <s v="Shipped"/>
    <n v="1"/>
    <x v="11"/>
    <n v="2005"/>
    <x v="0"/>
    <n v="40"/>
    <s v="S32_2206"/>
    <s v="Mini Gifts Distributors Ltd."/>
    <n v="4155551450"/>
    <s v="5677 Strong St."/>
    <m/>
    <s v="San Rafael"/>
    <s v="CA"/>
    <n v="97562"/>
    <s v="USA"/>
    <s v="NA"/>
    <s v="Nelson"/>
    <s v="Valarie"/>
    <s v="Small"/>
    <n v="1826.96"/>
  </r>
  <r>
    <n v="10403"/>
    <n v="30"/>
    <n v="40.229999999999997"/>
    <n v="2"/>
    <n v="1206.9000000000001"/>
    <d v="2005-04-08T00:00:00"/>
    <s v="Shipped"/>
    <n v="2"/>
    <x v="8"/>
    <n v="2005"/>
    <x v="0"/>
    <n v="40"/>
    <s v="S32_2206"/>
    <s v="UK Collectables, Ltd."/>
    <s v="(171) 555-2282"/>
    <s v="Berkeley Gardens 12  Brewery"/>
    <m/>
    <s v="Liverpool"/>
    <m/>
    <s v="WX1 6LT"/>
    <s v="UK"/>
    <s v="EMEA"/>
    <s v="Devon"/>
    <s v="Elizabeth"/>
    <s v="Small"/>
    <n v="1206.8999999999999"/>
  </r>
  <r>
    <n v="10104"/>
    <n v="35"/>
    <n v="47.62"/>
    <n v="11"/>
    <n v="1666.7"/>
    <d v="2003-01-31T00:00:00"/>
    <s v="Shipped"/>
    <n v="1"/>
    <x v="7"/>
    <n v="2003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  <n v="1666.6999999999998"/>
  </r>
  <r>
    <n v="10114"/>
    <n v="28"/>
    <n v="55.73"/>
    <n v="2"/>
    <n v="1560.44"/>
    <d v="2003-04-01T00:00:00"/>
    <s v="Shipped"/>
    <n v="2"/>
    <x v="8"/>
    <n v="2003"/>
    <x v="2"/>
    <n v="54"/>
    <s v="S32_2509"/>
    <s v="La Corne D'abondance, Co."/>
    <s v="(1) 42.34.2555"/>
    <s v="265, boulevard Charonne"/>
    <m/>
    <s v="Paris"/>
    <m/>
    <n v="75012"/>
    <s v="France"/>
    <s v="EMEA"/>
    <s v="Bertrand"/>
    <s v="Marie"/>
    <s v="Small"/>
    <n v="1560.4399999999998"/>
  </r>
  <r>
    <n v="10127"/>
    <n v="45"/>
    <n v="51.95"/>
    <n v="13"/>
    <n v="2337.75"/>
    <d v="2003-06-03T00:00:00"/>
    <s v="Shipped"/>
    <n v="2"/>
    <x v="9"/>
    <n v="2003"/>
    <x v="2"/>
    <n v="54"/>
    <s v="S32_2509"/>
    <s v="Muscle Machine Inc"/>
    <n v="2125557413"/>
    <s v="4092 Furth Circle"/>
    <s v="Suite 400"/>
    <s v="NYC"/>
    <s v="NY"/>
    <n v="10022"/>
    <s v="USA"/>
    <s v="NA"/>
    <s v="Young"/>
    <s v="Jeff"/>
    <s v="Small"/>
    <n v="2337.75"/>
  </r>
  <r>
    <n v="10141"/>
    <n v="24"/>
    <n v="45.99"/>
    <n v="7"/>
    <n v="1103.76"/>
    <d v="2003-08-01T00:00:00"/>
    <s v="Shipped"/>
    <n v="3"/>
    <x v="3"/>
    <n v="2003"/>
    <x v="2"/>
    <n v="54"/>
    <s v="S32_2509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1103.76"/>
  </r>
  <r>
    <n v="10151"/>
    <n v="41"/>
    <n v="63.85"/>
    <n v="5"/>
    <n v="2617.85"/>
    <d v="2003-09-21T00:00:00"/>
    <s v="Shipped"/>
    <n v="3"/>
    <x v="10"/>
    <n v="2003"/>
    <x v="2"/>
    <n v="54"/>
    <s v="S32_2509"/>
    <s v="Oulu Toy Supplies, Inc."/>
    <s v="981-443655"/>
    <s v="Torikatu 38"/>
    <m/>
    <s v="Oulu"/>
    <m/>
    <n v="90110"/>
    <s v="Finland"/>
    <s v="EMEA"/>
    <s v="Koskitalo"/>
    <s v="Pirkko"/>
    <s v="Small"/>
    <n v="2617.85"/>
  </r>
  <r>
    <n v="10165"/>
    <n v="48"/>
    <n v="45.99"/>
    <n v="14"/>
    <n v="2207.52"/>
    <d v="2003-10-22T00:00:00"/>
    <s v="Shipped"/>
    <n v="4"/>
    <x v="4"/>
    <n v="2003"/>
    <x v="2"/>
    <n v="54"/>
    <s v="S32_2509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207.52"/>
  </r>
  <r>
    <n v="10175"/>
    <n v="50"/>
    <n v="63.31"/>
    <n v="3"/>
    <n v="3165.5"/>
    <d v="2003-11-06T00:00:00"/>
    <s v="Shipped"/>
    <n v="4"/>
    <x v="5"/>
    <n v="2003"/>
    <x v="2"/>
    <n v="54"/>
    <s v="S32_2509"/>
    <s v="Stylish Desk Decors, Co."/>
    <s v="(171) 555-0297"/>
    <s v="35 King George"/>
    <m/>
    <s v="London"/>
    <m/>
    <s v="WX3 6FW"/>
    <s v="UK"/>
    <s v="EMEA"/>
    <s v="Brown"/>
    <s v="Ann"/>
    <s v="Medium"/>
    <n v="3165.5"/>
  </r>
  <r>
    <n v="10184"/>
    <n v="33"/>
    <n v="62.77"/>
    <n v="8"/>
    <n v="2071.41"/>
    <d v="2003-11-14T00:00:00"/>
    <s v="Shipped"/>
    <n v="4"/>
    <x v="5"/>
    <n v="2003"/>
    <x v="2"/>
    <n v="54"/>
    <s v="S32_2509"/>
    <s v="Iberia Gift Imports, Corp."/>
    <s v="(95) 555 82 82"/>
    <s v="C/ Romero, 33"/>
    <m/>
    <s v="Sevilla"/>
    <m/>
    <n v="41101"/>
    <s v="Spain"/>
    <s v="EMEA"/>
    <s v="Roel"/>
    <s v="Jose Pedro"/>
    <s v="Small"/>
    <n v="2071.4100000000003"/>
  </r>
  <r>
    <n v="10195"/>
    <n v="32"/>
    <n v="43.29"/>
    <n v="8"/>
    <n v="1385.28"/>
    <d v="2003-11-25T00:00:00"/>
    <s v="Shipped"/>
    <n v="4"/>
    <x v="5"/>
    <n v="2003"/>
    <x v="2"/>
    <n v="54"/>
    <s v="S32_2509"/>
    <s v="Mini Classics"/>
    <n v="9145554562"/>
    <s v="3758 North Pendale Street"/>
    <m/>
    <s v="White Plains"/>
    <s v="NY"/>
    <n v="24067"/>
    <s v="USA"/>
    <s v="NA"/>
    <s v="Frick"/>
    <s v="Steve"/>
    <s v="Small"/>
    <n v="1385.28"/>
  </r>
  <r>
    <n v="10207"/>
    <n v="27"/>
    <n v="60.06"/>
    <n v="9"/>
    <n v="1621.62"/>
    <d v="2003-12-09T00:00:00"/>
    <s v="Shipped"/>
    <n v="4"/>
    <x v="6"/>
    <n v="2003"/>
    <x v="2"/>
    <n v="54"/>
    <s v="S32_2509"/>
    <s v="Diecast Collectables"/>
    <n v="6175552555"/>
    <s v="6251 Ingle Ln."/>
    <m/>
    <s v="Boston"/>
    <s v="MA"/>
    <n v="51003"/>
    <s v="USA"/>
    <s v="NA"/>
    <s v="Franco"/>
    <s v="Valarie"/>
    <s v="Small"/>
    <n v="1621.6200000000001"/>
  </r>
  <r>
    <n v="10219"/>
    <n v="35"/>
    <n v="55.19"/>
    <n v="4"/>
    <n v="1931.65"/>
    <d v="2004-02-10T00:00:00"/>
    <s v="Shipped"/>
    <n v="1"/>
    <x v="0"/>
    <n v="2004"/>
    <x v="2"/>
    <n v="54"/>
    <s v="S32_2509"/>
    <s v="Signal Collectibles Ltd."/>
    <n v="4155554312"/>
    <s v="2793 Furth Circle"/>
    <m/>
    <s v="Brisbane"/>
    <s v="CA"/>
    <n v="94217"/>
    <s v="USA"/>
    <s v="NA"/>
    <s v="Taylor"/>
    <s v="Sue"/>
    <s v="Small"/>
    <n v="1931.6499999999999"/>
  </r>
  <r>
    <n v="10229"/>
    <n v="23"/>
    <n v="54.11"/>
    <n v="3"/>
    <n v="1244.53"/>
    <d v="2004-03-11T00:00:00"/>
    <s v="Shipped"/>
    <n v="1"/>
    <x v="11"/>
    <n v="2004"/>
    <x v="2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  <n v="1244.53"/>
  </r>
  <r>
    <n v="10246"/>
    <n v="35"/>
    <n v="48.7"/>
    <n v="7"/>
    <n v="1704.5"/>
    <d v="2004-05-05T00:00:00"/>
    <s v="Shipped"/>
    <n v="2"/>
    <x v="1"/>
    <n v="2004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  <n v="1704.5"/>
  </r>
  <r>
    <n v="10259"/>
    <n v="40"/>
    <n v="43.83"/>
    <n v="6"/>
    <n v="1753.2"/>
    <d v="2004-06-15T00:00:00"/>
    <s v="Shipped"/>
    <n v="2"/>
    <x v="9"/>
    <n v="2004"/>
    <x v="2"/>
    <n v="54"/>
    <s v="S32_250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1753.1999999999998"/>
  </r>
  <r>
    <n v="10271"/>
    <n v="35"/>
    <n v="47.62"/>
    <n v="7"/>
    <n v="1666.7"/>
    <d v="2004-07-20T00:00:00"/>
    <s v="Shipped"/>
    <n v="3"/>
    <x v="2"/>
    <n v="2004"/>
    <x v="2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  <n v="1666.6999999999998"/>
  </r>
  <r>
    <n v="10281"/>
    <n v="31"/>
    <n v="55.19"/>
    <n v="3"/>
    <n v="1710.89"/>
    <d v="2004-08-19T00:00:00"/>
    <s v="Shipped"/>
    <n v="3"/>
    <x v="3"/>
    <n v="2004"/>
    <x v="2"/>
    <n v="54"/>
    <s v="S32_2509"/>
    <s v="Diecast Classics Inc."/>
    <n v="2155551555"/>
    <s v="7586 Pompton St."/>
    <m/>
    <s v="Allentown"/>
    <s v="PA"/>
    <n v="70267"/>
    <s v="USA"/>
    <s v="NA"/>
    <s v="Yu"/>
    <s v="Kyung"/>
    <s v="Small"/>
    <n v="1710.8899999999999"/>
  </r>
  <r>
    <n v="10292"/>
    <n v="50"/>
    <n v="46.53"/>
    <n v="10"/>
    <n v="2326.5"/>
    <d v="2004-09-08T00:00:00"/>
    <s v="Shipped"/>
    <n v="3"/>
    <x v="10"/>
    <n v="2004"/>
    <x v="2"/>
    <n v="54"/>
    <s v="S32_2509"/>
    <s v="Land of Toys Inc."/>
    <n v="2125557818"/>
    <s v="897 Long Airport Avenue"/>
    <m/>
    <s v="NYC"/>
    <s v="NY"/>
    <n v="10022"/>
    <s v="USA"/>
    <s v="NA"/>
    <s v="Yu"/>
    <s v="Kwai"/>
    <s v="Small"/>
    <n v="2326.5"/>
  </r>
  <r>
    <n v="10305"/>
    <n v="40"/>
    <n v="57.9"/>
    <n v="7"/>
    <n v="2316"/>
    <d v="2004-10-13T00:00:00"/>
    <s v="Shipped"/>
    <n v="4"/>
    <x v="4"/>
    <n v="2004"/>
    <x v="2"/>
    <n v="54"/>
    <s v="S32_2509"/>
    <s v="Marta's Replicas Co."/>
    <n v="6175558555"/>
    <s v="39323 Spinnaker Dr."/>
    <m/>
    <s v="Cambridge"/>
    <s v="MA"/>
    <n v="51247"/>
    <s v="USA"/>
    <s v="NA"/>
    <s v="Hernandez"/>
    <s v="Marta"/>
    <s v="Small"/>
    <n v="2316"/>
  </r>
  <r>
    <n v="10313"/>
    <n v="38"/>
    <n v="45.45"/>
    <n v="1"/>
    <n v="1727.1"/>
    <d v="2004-10-22T00:00:00"/>
    <s v="Shipped"/>
    <n v="4"/>
    <x v="4"/>
    <n v="2004"/>
    <x v="2"/>
    <n v="54"/>
    <s v="S32_2509"/>
    <s v="Canadian Gift Exchange Network"/>
    <s v="(604) 555-3392"/>
    <s v="1900 Oak St."/>
    <m/>
    <s v="Vancouver"/>
    <s v="BC"/>
    <s v="V3F 2K1"/>
    <s v="Canada"/>
    <s v="NA"/>
    <s v="Tannamuri"/>
    <s v="Yoshi"/>
    <s v="Small"/>
    <n v="1727.1000000000001"/>
  </r>
  <r>
    <n v="10325"/>
    <n v="38"/>
    <n v="100"/>
    <n v="3"/>
    <n v="8844.1200000000008"/>
    <d v="2004-11-05T00:00:00"/>
    <s v="Shipped"/>
    <n v="4"/>
    <x v="5"/>
    <n v="2004"/>
    <x v="2"/>
    <n v="54"/>
    <s v="S32_2509"/>
    <s v="Baane Mini Imports"/>
    <s v="07-98 9555"/>
    <s v="Erling Skakkes gate 78"/>
    <m/>
    <s v="Stavern"/>
    <m/>
    <n v="4110"/>
    <s v="Norway"/>
    <s v="EMEA"/>
    <s v="Bergulfsen"/>
    <s v="Jonas"/>
    <s v="Large"/>
    <n v="3800"/>
  </r>
  <r>
    <n v="10335"/>
    <n v="40"/>
    <n v="60.6"/>
    <n v="3"/>
    <n v="2424"/>
    <d v="2004-11-19T00:00:00"/>
    <s v="Shipped"/>
    <n v="4"/>
    <x v="5"/>
    <n v="2004"/>
    <x v="2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  <n v="2424"/>
  </r>
  <r>
    <n v="10349"/>
    <n v="33"/>
    <n v="46.53"/>
    <n v="1"/>
    <n v="1535.49"/>
    <d v="2004-12-01T00:00:00"/>
    <s v="Shipped"/>
    <n v="4"/>
    <x v="6"/>
    <n v="2004"/>
    <x v="2"/>
    <n v="54"/>
    <s v="S32_2509"/>
    <s v="Muscle Machine Inc"/>
    <n v="2125557413"/>
    <s v="4092 Furth Circle"/>
    <s v="Suite 400"/>
    <s v="NYC"/>
    <s v="NY"/>
    <n v="10022"/>
    <s v="USA"/>
    <s v="NA"/>
    <s v="Young"/>
    <s v="Jeff"/>
    <s v="Small"/>
    <n v="1535.49"/>
  </r>
  <r>
    <n v="10359"/>
    <n v="36"/>
    <n v="100"/>
    <n v="3"/>
    <n v="6358.68"/>
    <d v="2004-12-15T00:00:00"/>
    <s v="Shipped"/>
    <n v="4"/>
    <x v="6"/>
    <n v="2004"/>
    <x v="2"/>
    <n v="54"/>
    <s v="S32_2509"/>
    <s v="Reims Collectables"/>
    <s v="26.47.1555"/>
    <s v="59 rue de l'Abbaye"/>
    <m/>
    <s v="Reims"/>
    <m/>
    <n v="51100"/>
    <s v="France"/>
    <s v="EMEA"/>
    <s v="Henriot"/>
    <s v="Paul"/>
    <s v="Medium"/>
    <n v="3600"/>
  </r>
  <r>
    <n v="10371"/>
    <n v="20"/>
    <n v="66.47"/>
    <n v="2"/>
    <n v="1329.4"/>
    <d v="2005-01-23T00:00:00"/>
    <s v="Shipped"/>
    <n v="1"/>
    <x v="7"/>
    <n v="2005"/>
    <x v="2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  <n v="1329.4"/>
  </r>
  <r>
    <n v="10383"/>
    <n v="32"/>
    <n v="53.18"/>
    <n v="5"/>
    <n v="1701.76"/>
    <d v="2005-02-22T00:00:00"/>
    <s v="Shipped"/>
    <n v="1"/>
    <x v="0"/>
    <n v="2005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  <n v="1701.76"/>
  </r>
  <r>
    <n v="10394"/>
    <n v="36"/>
    <n v="62.77"/>
    <n v="3"/>
    <n v="2259.7199999999998"/>
    <d v="2005-03-15T00:00:00"/>
    <s v="Shipped"/>
    <n v="1"/>
    <x v="11"/>
    <n v="2005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  <n v="2259.7200000000003"/>
  </r>
  <r>
    <n v="10412"/>
    <n v="19"/>
    <n v="48.7"/>
    <n v="7"/>
    <n v="925.3"/>
    <d v="2005-05-03T00:00:00"/>
    <s v="Shipped"/>
    <n v="2"/>
    <x v="1"/>
    <n v="2005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  <n v="925.30000000000007"/>
  </r>
  <r>
    <n v="10425"/>
    <n v="11"/>
    <n v="43.83"/>
    <n v="6"/>
    <n v="482.13"/>
    <d v="2005-05-31T00:00:00"/>
    <s v="In Process"/>
    <n v="2"/>
    <x v="1"/>
    <n v="2005"/>
    <x v="2"/>
    <n v="54"/>
    <s v="S32_2509"/>
    <s v="La Rochelle Gifts"/>
    <s v="40.67.8555"/>
    <s v="67, rue des Cinquante Otages"/>
    <m/>
    <s v="Nantes"/>
    <m/>
    <n v="44000"/>
    <s v="France"/>
    <s v="EMEA"/>
    <s v="Labrune"/>
    <s v="Janine"/>
    <s v="Small"/>
    <n v="482.13"/>
  </r>
  <r>
    <n v="10104"/>
    <n v="49"/>
    <n v="65.87"/>
    <n v="4"/>
    <n v="3227.63"/>
    <d v="2003-01-31T00:00:00"/>
    <s v="Shipped"/>
    <n v="1"/>
    <x v="7"/>
    <n v="2003"/>
    <x v="6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Medium"/>
    <n v="3227.63"/>
  </r>
  <r>
    <n v="10116"/>
    <n v="27"/>
    <n v="63.38"/>
    <n v="1"/>
    <n v="1711.26"/>
    <d v="2003-04-11T00:00:00"/>
    <s v="Shipped"/>
    <n v="2"/>
    <x v="8"/>
    <n v="2003"/>
    <x v="6"/>
    <n v="62"/>
    <s v="S32_3207"/>
    <s v="Royale Belge"/>
    <s v="(071) 23 67 2555"/>
    <s v="Boulevard Tirou, 255"/>
    <m/>
    <s v="Charleroi"/>
    <m/>
    <s v="B-6000"/>
    <s v="Belgium"/>
    <s v="EMEA"/>
    <s v="Cartrain"/>
    <s v="Pascale"/>
    <s v="Small"/>
    <n v="1711.26"/>
  </r>
  <r>
    <n v="10127"/>
    <n v="29"/>
    <n v="70.84"/>
    <n v="6"/>
    <n v="2054.36"/>
    <d v="2003-06-03T00:00:00"/>
    <s v="Shipped"/>
    <n v="2"/>
    <x v="9"/>
    <n v="2003"/>
    <x v="6"/>
    <n v="62"/>
    <s v="S32_3207"/>
    <s v="Muscle Machine Inc"/>
    <n v="2125557413"/>
    <s v="4092 Furth Circle"/>
    <s v="Suite 400"/>
    <s v="NYC"/>
    <s v="NY"/>
    <n v="10022"/>
    <s v="USA"/>
    <s v="NA"/>
    <s v="Young"/>
    <s v="Jeff"/>
    <s v="Small"/>
    <n v="2054.36"/>
  </r>
  <r>
    <n v="10142"/>
    <n v="42"/>
    <n v="74.569999999999993"/>
    <n v="16"/>
    <n v="3131.94"/>
    <d v="2003-08-08T00:00:00"/>
    <s v="Shipped"/>
    <n v="3"/>
    <x v="3"/>
    <n v="2003"/>
    <x v="6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Medium"/>
    <n v="3131.9399999999996"/>
  </r>
  <r>
    <n v="10152"/>
    <n v="33"/>
    <n v="50.95"/>
    <n v="2"/>
    <n v="1681.35"/>
    <d v="2003-09-25T00:00:00"/>
    <s v="Shipped"/>
    <n v="3"/>
    <x v="10"/>
    <n v="2003"/>
    <x v="6"/>
    <n v="62"/>
    <s v="S32_320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  <n v="1681.3500000000001"/>
  </r>
  <r>
    <n v="10165"/>
    <n v="44"/>
    <n v="53.44"/>
    <n v="7"/>
    <n v="2351.36"/>
    <d v="2003-10-22T00:00:00"/>
    <s v="Shipped"/>
    <n v="4"/>
    <x v="4"/>
    <n v="2003"/>
    <x v="6"/>
    <n v="62"/>
    <s v="S32_320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351.3599999999997"/>
  </r>
  <r>
    <n v="10176"/>
    <n v="22"/>
    <n v="64"/>
    <n v="6"/>
    <n v="1408"/>
    <d v="2003-11-06T00:00:00"/>
    <s v="Shipped"/>
    <n v="4"/>
    <x v="5"/>
    <n v="2003"/>
    <x v="6"/>
    <n v="62"/>
    <s v="S32_3207"/>
    <s v="L'ordine Souveniers"/>
    <s v="0522-556555"/>
    <s v="Strada Provinciale 124"/>
    <m/>
    <s v="Reggio Emilia"/>
    <m/>
    <n v="42100"/>
    <s v="Italy"/>
    <s v="EMEA"/>
    <s v="Moroni"/>
    <s v="Maurizio"/>
    <s v="Small"/>
    <n v="1408"/>
  </r>
  <r>
    <n v="10184"/>
    <n v="48"/>
    <n v="50.95"/>
    <n v="1"/>
    <n v="2445.6"/>
    <d v="2003-11-14T00:00:00"/>
    <s v="Shipped"/>
    <n v="4"/>
    <x v="5"/>
    <n v="2003"/>
    <x v="6"/>
    <n v="62"/>
    <s v="S32_3207"/>
    <s v="Iberia Gift Imports, Corp."/>
    <s v="(95) 555 82 82"/>
    <s v="C/ Romero, 33"/>
    <m/>
    <s v="Sevilla"/>
    <m/>
    <n v="41101"/>
    <s v="Spain"/>
    <s v="EMEA"/>
    <s v="Roel"/>
    <s v="Jose Pedro"/>
    <s v="Small"/>
    <n v="2445.6000000000004"/>
  </r>
  <r>
    <n v="10195"/>
    <n v="33"/>
    <n v="54.68"/>
    <n v="1"/>
    <n v="1804.44"/>
    <d v="2003-11-25T00:00:00"/>
    <s v="Shipped"/>
    <n v="4"/>
    <x v="5"/>
    <n v="2003"/>
    <x v="6"/>
    <n v="62"/>
    <s v="S32_3207"/>
    <s v="Mini Classics"/>
    <n v="9145554562"/>
    <s v="3758 North Pendale Street"/>
    <m/>
    <s v="White Plains"/>
    <s v="NY"/>
    <n v="24067"/>
    <s v="USA"/>
    <s v="NA"/>
    <s v="Frick"/>
    <s v="Steve"/>
    <s v="Small"/>
    <n v="1804.44"/>
  </r>
  <r>
    <n v="10207"/>
    <n v="45"/>
    <n v="56.55"/>
    <n v="2"/>
    <n v="2544.75"/>
    <d v="2003-12-09T00:00:00"/>
    <s v="Shipped"/>
    <n v="4"/>
    <x v="6"/>
    <n v="2003"/>
    <x v="6"/>
    <n v="62"/>
    <s v="S32_3207"/>
    <s v="Diecast Collectables"/>
    <n v="6175552555"/>
    <s v="6251 Ingle Ln."/>
    <m/>
    <s v="Boston"/>
    <s v="MA"/>
    <n v="51003"/>
    <s v="USA"/>
    <s v="NA"/>
    <s v="Franco"/>
    <s v="Valarie"/>
    <s v="Small"/>
    <n v="2544.75"/>
  </r>
  <r>
    <n v="10220"/>
    <n v="20"/>
    <n v="52.82"/>
    <n v="6"/>
    <n v="1056.4000000000001"/>
    <d v="2004-02-12T00:00:00"/>
    <s v="Shipped"/>
    <n v="1"/>
    <x v="0"/>
    <n v="2004"/>
    <x v="6"/>
    <n v="62"/>
    <s v="S32_3207"/>
    <s v="Clover Collections, Co."/>
    <s v="+353 1862 1555"/>
    <s v="25 Maiden Lane"/>
    <s v="Floor No. 4"/>
    <s v="Dublin"/>
    <m/>
    <n v="2"/>
    <s v="Ireland"/>
    <s v="EMEA"/>
    <s v="Cassidy"/>
    <s v="Dean"/>
    <s v="Small"/>
    <n v="1056.4000000000001"/>
  </r>
  <r>
    <n v="10230"/>
    <n v="46"/>
    <n v="60.9"/>
    <n v="4"/>
    <n v="2801.4"/>
    <d v="2004-03-15T00:00:00"/>
    <s v="Shipped"/>
    <n v="1"/>
    <x v="11"/>
    <n v="2004"/>
    <x v="6"/>
    <n v="62"/>
    <s v="S32_3207"/>
    <s v="Blauer See Auto, Co."/>
    <s v="+49 69 66 90 2555"/>
    <s v="Lyonerstr. 34"/>
    <m/>
    <s v="Frankfurt"/>
    <m/>
    <n v="60528"/>
    <s v="Germany"/>
    <s v="EMEA"/>
    <s v="Keitel"/>
    <s v="Roland"/>
    <s v="Small"/>
    <n v="2801.4"/>
  </r>
  <r>
    <n v="10247"/>
    <n v="40"/>
    <n v="49.71"/>
    <n v="6"/>
    <n v="1988.4"/>
    <d v="2004-05-05T00:00:00"/>
    <s v="Shipped"/>
    <n v="2"/>
    <x v="1"/>
    <n v="2004"/>
    <x v="6"/>
    <n v="62"/>
    <s v="S32_3207"/>
    <s v="Suominen Souveniers"/>
    <s v="+358 9 8045 555"/>
    <s v="Software Engineering Center, SEC Oy"/>
    <m/>
    <s v="Espoo"/>
    <m/>
    <s v="FIN-02271"/>
    <s v="Finland"/>
    <s v="EMEA"/>
    <s v="Suominen"/>
    <s v="Kalle"/>
    <s v="Small"/>
    <n v="1988.4"/>
  </r>
  <r>
    <n v="10272"/>
    <n v="45"/>
    <n v="64.63"/>
    <n v="6"/>
    <n v="2908.35"/>
    <d v="2004-07-20T00:00:00"/>
    <s v="Shipped"/>
    <n v="3"/>
    <x v="2"/>
    <n v="2004"/>
    <x v="6"/>
    <n v="62"/>
    <s v="S32_3207"/>
    <s v="Diecast Classics Inc."/>
    <n v="2155551555"/>
    <s v="7586 Pompton St."/>
    <m/>
    <s v="Allentown"/>
    <s v="PA"/>
    <n v="70267"/>
    <s v="USA"/>
    <s v="NA"/>
    <s v="Yu"/>
    <s v="Kyung"/>
    <s v="Small"/>
    <n v="2908.35"/>
  </r>
  <r>
    <n v="10282"/>
    <n v="36"/>
    <n v="59.65"/>
    <n v="9"/>
    <n v="2147.4"/>
    <d v="2004-08-20T00:00:00"/>
    <s v="Shipped"/>
    <n v="3"/>
    <x v="3"/>
    <n v="2004"/>
    <x v="6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Small"/>
    <n v="2147.4"/>
  </r>
  <r>
    <n v="10292"/>
    <n v="31"/>
    <n v="67.73"/>
    <n v="3"/>
    <n v="2099.63"/>
    <d v="2004-09-08T00:00:00"/>
    <s v="Shipped"/>
    <n v="3"/>
    <x v="10"/>
    <n v="2004"/>
    <x v="6"/>
    <n v="62"/>
    <s v="S32_3207"/>
    <s v="Land of Toys Inc."/>
    <n v="2125557818"/>
    <s v="897 Long Airport Avenue"/>
    <m/>
    <s v="NYC"/>
    <s v="NY"/>
    <n v="10022"/>
    <s v="USA"/>
    <s v="NA"/>
    <s v="Yu"/>
    <s v="Kwai"/>
    <s v="Small"/>
    <n v="2099.63"/>
  </r>
  <r>
    <n v="10306"/>
    <n v="46"/>
    <n v="50.33"/>
    <n v="17"/>
    <n v="2315.1799999999998"/>
    <d v="2004-10-14T00:00:00"/>
    <s v="Shipped"/>
    <n v="4"/>
    <x v="4"/>
    <n v="2004"/>
    <x v="6"/>
    <n v="62"/>
    <s v="S32_3207"/>
    <s v="AV Stores, Co."/>
    <s v="(171) 555-1555"/>
    <s v="Fauntleroy Circus"/>
    <m/>
    <s v="Manchester"/>
    <m/>
    <s v="EC2 5NT"/>
    <s v="UK"/>
    <s v="EMEA"/>
    <s v="Ashworth"/>
    <s v="Victoria"/>
    <s v="Small"/>
    <n v="2315.1799999999998"/>
  </r>
  <r>
    <n v="10314"/>
    <n v="35"/>
    <n v="66.489999999999995"/>
    <n v="9"/>
    <n v="2327.15"/>
    <d v="2004-10-22T00:00:00"/>
    <s v="Shipped"/>
    <n v="4"/>
    <x v="4"/>
    <n v="2004"/>
    <x v="6"/>
    <n v="62"/>
    <s v="S32_3207"/>
    <s v="Heintze Collectables"/>
    <s v="86 21 3555"/>
    <s v="Smagsloget 45"/>
    <m/>
    <s v="Aaarhus"/>
    <m/>
    <n v="8200"/>
    <s v="Denmark"/>
    <s v="EMEA"/>
    <s v="Ibsen"/>
    <s v="Palle"/>
    <s v="Small"/>
    <n v="2327.1499999999996"/>
  </r>
  <r>
    <n v="10325"/>
    <n v="28"/>
    <n v="100"/>
    <n v="2"/>
    <n v="5377.4"/>
    <d v="2004-11-05T00:00:00"/>
    <s v="Shipped"/>
    <n v="4"/>
    <x v="5"/>
    <n v="2004"/>
    <x v="6"/>
    <n v="62"/>
    <s v="S32_3207"/>
    <s v="Baane Mini Imports"/>
    <s v="07-98 9555"/>
    <s v="Erling Skakkes gate 78"/>
    <m/>
    <s v="Stavern"/>
    <m/>
    <n v="4110"/>
    <s v="Norway"/>
    <s v="EMEA"/>
    <s v="Bergulfsen"/>
    <s v="Jonas"/>
    <s v="Medium"/>
    <n v="2800"/>
  </r>
  <r>
    <n v="10336"/>
    <n v="31"/>
    <n v="84.71"/>
    <n v="9"/>
    <n v="2626.01"/>
    <d v="2004-11-20T00:00:00"/>
    <s v="Shipped"/>
    <n v="4"/>
    <x v="5"/>
    <n v="2004"/>
    <x v="6"/>
    <n v="62"/>
    <s v="S32_3207"/>
    <s v="La Corne D'abondance, Co."/>
    <s v="(1) 42.34.2555"/>
    <s v="265, boulevard Charonne"/>
    <m/>
    <s v="Paris"/>
    <m/>
    <n v="75012"/>
    <s v="France"/>
    <s v="EMEA"/>
    <s v="Bertrand"/>
    <s v="Marie"/>
    <s v="Small"/>
    <n v="2626.0099999999998"/>
  </r>
  <r>
    <n v="10350"/>
    <n v="27"/>
    <n v="100"/>
    <n v="14"/>
    <n v="4406.3999999999996"/>
    <d v="2004-12-02T00:00:00"/>
    <s v="Shipped"/>
    <n v="4"/>
    <x v="6"/>
    <n v="2004"/>
    <x v="6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Medium"/>
    <n v="2700"/>
  </r>
  <r>
    <n v="10359"/>
    <n v="22"/>
    <n v="100"/>
    <n v="1"/>
    <n v="4301.22"/>
    <d v="2004-12-15T00:00:00"/>
    <s v="Shipped"/>
    <n v="4"/>
    <x v="6"/>
    <n v="2004"/>
    <x v="6"/>
    <n v="62"/>
    <s v="S32_3207"/>
    <s v="Reims Collectables"/>
    <s v="26.47.1555"/>
    <s v="59 rue de l'Abbaye"/>
    <m/>
    <s v="Reims"/>
    <m/>
    <n v="51100"/>
    <s v="France"/>
    <s v="EMEA"/>
    <s v="Henriot"/>
    <s v="Paul"/>
    <s v="Medium"/>
    <n v="2200"/>
  </r>
  <r>
    <n v="10371"/>
    <n v="30"/>
    <n v="99.55"/>
    <n v="11"/>
    <n v="2986.5"/>
    <d v="2005-01-23T00:00:00"/>
    <s v="Shipped"/>
    <n v="1"/>
    <x v="7"/>
    <n v="2005"/>
    <x v="6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Small"/>
    <n v="2986.5"/>
  </r>
  <r>
    <n v="10383"/>
    <n v="44"/>
    <n v="36.07"/>
    <n v="8"/>
    <n v="1587.08"/>
    <d v="2005-02-22T00:00:00"/>
    <s v="Shipped"/>
    <n v="1"/>
    <x v="0"/>
    <n v="2005"/>
    <x v="6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Small"/>
    <n v="1587.08"/>
  </r>
  <r>
    <n v="10394"/>
    <n v="30"/>
    <n v="60.28"/>
    <n v="4"/>
    <n v="1808.4"/>
    <d v="2005-03-15T00:00:00"/>
    <s v="Shipped"/>
    <n v="1"/>
    <x v="11"/>
    <n v="2005"/>
    <x v="6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Small"/>
    <n v="1808.4"/>
  </r>
  <r>
    <n v="10413"/>
    <n v="24"/>
    <n v="49.71"/>
    <n v="6"/>
    <n v="1193.04"/>
    <d v="2005-05-05T00:00:00"/>
    <s v="Shipped"/>
    <n v="2"/>
    <x v="1"/>
    <n v="2005"/>
    <x v="6"/>
    <n v="62"/>
    <s v="S32_3207"/>
    <s v="Gift Depot Inc."/>
    <n v="2035552570"/>
    <s v="25593 South Bay Ln."/>
    <m/>
    <s v="Bridgewater"/>
    <s v="CT"/>
    <n v="97562"/>
    <s v="USA"/>
    <s v="NA"/>
    <s v="King"/>
    <s v="Julie"/>
    <s v="Small"/>
    <n v="1193.04"/>
  </r>
  <r>
    <n v="10103"/>
    <n v="45"/>
    <n v="75.63"/>
    <n v="7"/>
    <n v="3403.35"/>
    <d v="2003-01-29T00:00:00"/>
    <s v="Shipped"/>
    <n v="1"/>
    <x v="7"/>
    <n v="2003"/>
    <x v="2"/>
    <n v="64"/>
    <s v="S32_3522"/>
    <s v="Baane Mini Imports"/>
    <s v="07-98 9555"/>
    <s v="Erling Skakkes gate 78"/>
    <m/>
    <s v="Stavern"/>
    <m/>
    <n v="4110"/>
    <s v="Norway"/>
    <s v="EMEA"/>
    <s v="Bergulfsen"/>
    <s v="Jonas"/>
    <s v="Medium"/>
    <n v="3403.35"/>
  </r>
  <r>
    <n v="10113"/>
    <n v="23"/>
    <n v="68.52"/>
    <n v="1"/>
    <n v="1575.96"/>
    <d v="2003-03-26T00:00:00"/>
    <s v="Shipped"/>
    <n v="1"/>
    <x v="11"/>
    <n v="2003"/>
    <x v="2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Small"/>
    <n v="1575.9599999999998"/>
  </r>
  <r>
    <n v="10126"/>
    <n v="26"/>
    <n v="62.7"/>
    <n v="7"/>
    <n v="1630.2"/>
    <d v="2003-05-28T00:00:00"/>
    <s v="Shipped"/>
    <n v="2"/>
    <x v="1"/>
    <n v="2003"/>
    <x v="2"/>
    <n v="64"/>
    <s v="S32_3522"/>
    <s v="Corrida Auto Replicas, Ltd"/>
    <s v="(91) 555 22 82"/>
    <s v="C/ Araquil, 67"/>
    <m/>
    <s v="Madrid"/>
    <m/>
    <n v="28023"/>
    <s v="Spain"/>
    <s v="EMEA"/>
    <s v="Sommer"/>
    <s v="Mart¡n"/>
    <s v="Small"/>
    <n v="1630.2"/>
  </r>
  <r>
    <n v="10140"/>
    <n v="28"/>
    <n v="60.76"/>
    <n v="7"/>
    <n v="1701.28"/>
    <d v="2003-07-24T00:00:00"/>
    <s v="Shipped"/>
    <n v="3"/>
    <x v="2"/>
    <n v="2003"/>
    <x v="2"/>
    <n v="64"/>
    <s v="S32_3522"/>
    <s v="Technics Stores Inc."/>
    <n v="6505556809"/>
    <s v="9408 Furth Circle"/>
    <m/>
    <s v="Burlingame"/>
    <s v="CA"/>
    <n v="94217"/>
    <s v="USA"/>
    <s v="NA"/>
    <s v="Hirano"/>
    <s v="Juri"/>
    <s v="Small"/>
    <n v="1701.28"/>
  </r>
  <r>
    <n v="10150"/>
    <n v="49"/>
    <n v="58.18"/>
    <n v="4"/>
    <n v="2850.82"/>
    <d v="2003-09-19T00:00:00"/>
    <s v="Shipped"/>
    <n v="3"/>
    <x v="10"/>
    <n v="2003"/>
    <x v="2"/>
    <n v="64"/>
    <s v="S32_352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850.82"/>
  </r>
  <r>
    <n v="10164"/>
    <n v="49"/>
    <n v="54.94"/>
    <n v="5"/>
    <n v="2692.06"/>
    <d v="2003-10-21T00:00:00"/>
    <s v="Resolved"/>
    <n v="4"/>
    <x v="4"/>
    <n v="2003"/>
    <x v="2"/>
    <n v="64"/>
    <s v="S32_3522"/>
    <s v="Mini Auto Werke"/>
    <s v="7675-3555"/>
    <s v="Kirchgasse 6"/>
    <m/>
    <s v="Graz"/>
    <m/>
    <n v="8010"/>
    <s v="Austria"/>
    <s v="EMEA"/>
    <s v="Mendel"/>
    <s v="Roland"/>
    <s v="Small"/>
    <n v="2692.06"/>
  </r>
  <r>
    <n v="10175"/>
    <n v="29"/>
    <n v="74.98"/>
    <n v="12"/>
    <n v="2174.42"/>
    <d v="2003-11-06T00:00:00"/>
    <s v="Shipped"/>
    <n v="4"/>
    <x v="5"/>
    <n v="2003"/>
    <x v="2"/>
    <n v="64"/>
    <s v="S32_3522"/>
    <s v="Stylish Desk Decors, Co."/>
    <s v="(171) 555-0297"/>
    <s v="35 King George"/>
    <m/>
    <s v="London"/>
    <m/>
    <s v="WX3 6FW"/>
    <s v="UK"/>
    <s v="EMEA"/>
    <s v="Brown"/>
    <s v="Ann"/>
    <s v="Small"/>
    <n v="2174.42"/>
  </r>
  <r>
    <n v="10183"/>
    <n v="49"/>
    <n v="64.64"/>
    <n v="4"/>
    <n v="3167.36"/>
    <d v="2003-11-13T00:00:00"/>
    <s v="Shipped"/>
    <n v="4"/>
    <x v="5"/>
    <n v="2003"/>
    <x v="2"/>
    <n v="64"/>
    <s v="S32_3522"/>
    <s v="Classic Gift Ideas, Inc"/>
    <n v="2155554695"/>
    <s v="782 First Street"/>
    <m/>
    <s v="Philadelphia"/>
    <s v="PA"/>
    <n v="71270"/>
    <s v="USA"/>
    <s v="NA"/>
    <s v="Cervantes"/>
    <s v="Francisca"/>
    <s v="Medium"/>
    <n v="3167.36"/>
  </r>
  <r>
    <n v="10194"/>
    <n v="39"/>
    <n v="54.94"/>
    <n v="7"/>
    <n v="2142.66"/>
    <d v="2003-11-25T00:00:00"/>
    <s v="Shipped"/>
    <n v="4"/>
    <x v="5"/>
    <n v="2003"/>
    <x v="2"/>
    <n v="64"/>
    <s v="S32_3522"/>
    <s v="Saveley &amp; Henriot, Co."/>
    <s v="78.32.5555"/>
    <s v="2, rue du Commerce"/>
    <m/>
    <s v="Lyon"/>
    <m/>
    <n v="69004"/>
    <s v="France"/>
    <s v="EMEA"/>
    <s v="Saveley"/>
    <s v="Mary"/>
    <s v="Small"/>
    <n v="2142.66"/>
  </r>
  <r>
    <n v="10206"/>
    <n v="36"/>
    <n v="58.82"/>
    <n v="2"/>
    <n v="2117.52"/>
    <d v="2003-12-05T00:00:00"/>
    <s v="Shipped"/>
    <n v="4"/>
    <x v="6"/>
    <n v="2003"/>
    <x v="2"/>
    <n v="64"/>
    <s v="S32_3522"/>
    <s v="Canadian Gift Exchange Network"/>
    <s v="(604) 555-3392"/>
    <s v="1900 Oak St."/>
    <m/>
    <s v="Vancouver"/>
    <s v="BC"/>
    <s v="V3F 2K1"/>
    <s v="Canada"/>
    <s v="NA"/>
    <s v="Tannamuri"/>
    <s v="Yoshi"/>
    <s v="Small"/>
    <n v="2117.52"/>
  </r>
  <r>
    <n v="10217"/>
    <n v="39"/>
    <n v="62.05"/>
    <n v="7"/>
    <n v="2419.9499999999998"/>
    <d v="2004-02-04T00:00:00"/>
    <s v="Shipped"/>
    <n v="1"/>
    <x v="0"/>
    <n v="2004"/>
    <x v="2"/>
    <n v="64"/>
    <s v="S32_352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419.9499999999998"/>
  </r>
  <r>
    <n v="10229"/>
    <n v="30"/>
    <n v="73.040000000000006"/>
    <n v="12"/>
    <n v="2191.1999999999998"/>
    <d v="2004-03-11T00:00:00"/>
    <s v="Shipped"/>
    <n v="1"/>
    <x v="11"/>
    <n v="2004"/>
    <x v="2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Small"/>
    <n v="2191.2000000000003"/>
  </r>
  <r>
    <n v="10245"/>
    <n v="44"/>
    <n v="69.16"/>
    <n v="5"/>
    <n v="3043.04"/>
    <d v="2004-05-04T00:00:00"/>
    <s v="Shipped"/>
    <n v="2"/>
    <x v="1"/>
    <n v="2004"/>
    <x v="2"/>
    <n v="64"/>
    <s v="S32_3522"/>
    <s v="Super Scale Inc."/>
    <n v="2035559545"/>
    <s v="567 North Pendale Street"/>
    <m/>
    <s v="New Haven"/>
    <s v="CT"/>
    <n v="97823"/>
    <s v="USA"/>
    <s v="NA"/>
    <s v="Murphy"/>
    <s v="Leslie"/>
    <s v="Medium"/>
    <n v="3043.04"/>
  </r>
  <r>
    <n v="10258"/>
    <n v="20"/>
    <n v="61.41"/>
    <n v="2"/>
    <n v="1228.2"/>
    <d v="2004-06-15T00:00:00"/>
    <s v="Shipped"/>
    <n v="2"/>
    <x v="9"/>
    <n v="2004"/>
    <x v="2"/>
    <n v="64"/>
    <s v="S32_3522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1228.1999999999998"/>
  </r>
  <r>
    <n v="10270"/>
    <n v="21"/>
    <n v="63.35"/>
    <n v="5"/>
    <n v="1330.35"/>
    <d v="2004-07-19T00:00:00"/>
    <s v="Shipped"/>
    <n v="3"/>
    <x v="2"/>
    <n v="2004"/>
    <x v="2"/>
    <n v="64"/>
    <s v="S32_352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330.3500000000001"/>
  </r>
  <r>
    <n v="10281"/>
    <n v="36"/>
    <n v="77.569999999999993"/>
    <n v="12"/>
    <n v="2792.52"/>
    <d v="2004-08-19T00:00:00"/>
    <s v="Shipped"/>
    <n v="3"/>
    <x v="3"/>
    <n v="2004"/>
    <x v="2"/>
    <n v="64"/>
    <s v="S32_3522"/>
    <s v="Diecast Classics Inc."/>
    <n v="2155551555"/>
    <s v="7586 Pompton St."/>
    <m/>
    <s v="Allentown"/>
    <s v="PA"/>
    <n v="70267"/>
    <s v="USA"/>
    <s v="NA"/>
    <s v="Yu"/>
    <s v="Kyung"/>
    <s v="Small"/>
    <n v="2792.5199999999995"/>
  </r>
  <r>
    <n v="10291"/>
    <n v="32"/>
    <n v="71.75"/>
    <n v="7"/>
    <n v="2296"/>
    <d v="2004-09-08T00:00:00"/>
    <s v="Shipped"/>
    <n v="3"/>
    <x v="10"/>
    <n v="2004"/>
    <x v="2"/>
    <n v="64"/>
    <s v="S32_3522"/>
    <s v="Scandinavian Gift Ideas"/>
    <s v="0695-34 6555"/>
    <s v="?kergatan 24"/>
    <m/>
    <s v="Boras"/>
    <m/>
    <s v="S-844 67"/>
    <s v="Sweden"/>
    <s v="EMEA"/>
    <s v="Larsson"/>
    <s v="Maria"/>
    <s v="Small"/>
    <n v="2296"/>
  </r>
  <r>
    <n v="10304"/>
    <n v="36"/>
    <n v="73.040000000000006"/>
    <n v="2"/>
    <n v="2629.44"/>
    <d v="2004-10-11T00:00:00"/>
    <s v="Shipped"/>
    <n v="4"/>
    <x v="4"/>
    <n v="2004"/>
    <x v="2"/>
    <n v="64"/>
    <s v="S32_3522"/>
    <s v="Auto Assoc. &amp; Cie."/>
    <s v="30.59.8555"/>
    <s v="67, avenue de l'Europe"/>
    <m/>
    <s v="Versailles"/>
    <m/>
    <n v="78000"/>
    <s v="France"/>
    <s v="EMEA"/>
    <s v="Tonini"/>
    <s v="Daniel"/>
    <s v="Small"/>
    <n v="2629.44"/>
  </r>
  <r>
    <n v="10313"/>
    <n v="34"/>
    <n v="56.24"/>
    <n v="10"/>
    <n v="1912.16"/>
    <d v="2004-10-22T00:00:00"/>
    <s v="Shipped"/>
    <n v="4"/>
    <x v="4"/>
    <n v="2004"/>
    <x v="2"/>
    <n v="64"/>
    <s v="S32_3522"/>
    <s v="Canadian Gift Exchange Network"/>
    <s v="(604) 555-3392"/>
    <s v="1900 Oak St."/>
    <m/>
    <s v="Vancouver"/>
    <s v="BC"/>
    <s v="V3F 2K1"/>
    <s v="Canada"/>
    <s v="NA"/>
    <s v="Tannamuri"/>
    <s v="Yoshi"/>
    <s v="Small"/>
    <n v="1912.16"/>
  </r>
  <r>
    <n v="10324"/>
    <n v="48"/>
    <n v="100"/>
    <n v="4"/>
    <n v="8209.44"/>
    <d v="2004-11-05T00:00:00"/>
    <s v="Shipped"/>
    <n v="4"/>
    <x v="5"/>
    <n v="2004"/>
    <x v="2"/>
    <n v="64"/>
    <s v="S32_3522"/>
    <s v="Vitachrome Inc."/>
    <n v="2125551500"/>
    <s v="2678 Kingston Rd."/>
    <s v="Suite 101"/>
    <s v="NYC"/>
    <s v="NY"/>
    <n v="10022"/>
    <s v="USA"/>
    <s v="NA"/>
    <s v="Frick"/>
    <s v="Michael"/>
    <s v="Large"/>
    <n v="4800"/>
  </r>
  <r>
    <n v="10333"/>
    <n v="33"/>
    <n v="73.69"/>
    <n v="4"/>
    <n v="2431.77"/>
    <d v="2004-11-18T00:00:00"/>
    <s v="Shipped"/>
    <n v="4"/>
    <x v="5"/>
    <n v="2004"/>
    <x v="2"/>
    <n v="64"/>
    <s v="S32_3522"/>
    <s v="Mini Wheels Co."/>
    <n v="6505555787"/>
    <s v="5557 North Pendale Street"/>
    <m/>
    <s v="San Francisco"/>
    <s v="CA"/>
    <m/>
    <s v="USA"/>
    <s v="NA"/>
    <s v="Murphy"/>
    <s v="Julie"/>
    <s v="Small"/>
    <n v="2431.77"/>
  </r>
  <r>
    <n v="10348"/>
    <n v="31"/>
    <n v="100"/>
    <n v="5"/>
    <n v="3139.99"/>
    <d v="2004-11-01T00:00:00"/>
    <s v="Shipped"/>
    <n v="4"/>
    <x v="5"/>
    <n v="2004"/>
    <x v="2"/>
    <n v="64"/>
    <s v="S32_3522"/>
    <s v="Corrida Auto Replicas, Ltd"/>
    <s v="(91) 555 22 82"/>
    <s v="C/ Araquil, 67"/>
    <m/>
    <s v="Madrid"/>
    <m/>
    <n v="28023"/>
    <s v="Spain"/>
    <s v="EMEA"/>
    <s v="Sommer"/>
    <s v="Mart¡n"/>
    <s v="Medium"/>
    <n v="3100"/>
  </r>
  <r>
    <n v="10358"/>
    <n v="36"/>
    <n v="100"/>
    <n v="2"/>
    <n v="5669.64"/>
    <d v="2004-12-10T00:00:00"/>
    <s v="Shipped"/>
    <n v="4"/>
    <x v="6"/>
    <n v="2004"/>
    <x v="2"/>
    <n v="64"/>
    <s v="S32_3522"/>
    <s v="Euro Shopping Channel"/>
    <s v="(91) 555 94 44"/>
    <s v="C/ Moralzarzal, 86"/>
    <m/>
    <s v="Madrid"/>
    <m/>
    <n v="28034"/>
    <s v="Spain"/>
    <s v="EMEA"/>
    <s v="Freyre"/>
    <s v="Diego"/>
    <s v="Medium"/>
    <n v="3600"/>
  </r>
  <r>
    <n v="10370"/>
    <n v="25"/>
    <n v="100"/>
    <n v="3"/>
    <n v="3160.25"/>
    <d v="2005-01-20T00:00:00"/>
    <s v="Shipped"/>
    <n v="1"/>
    <x v="7"/>
    <n v="2005"/>
    <x v="2"/>
    <n v="64"/>
    <s v="S32_352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2500"/>
  </r>
  <r>
    <n v="10382"/>
    <n v="48"/>
    <n v="100"/>
    <n v="8"/>
    <n v="6799.68"/>
    <d v="2005-02-17T00:00:00"/>
    <s v="Shipped"/>
    <n v="1"/>
    <x v="0"/>
    <n v="2005"/>
    <x v="2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Medium"/>
    <n v="4800"/>
  </r>
  <r>
    <n v="10411"/>
    <n v="27"/>
    <n v="69.16"/>
    <n v="5"/>
    <n v="1867.32"/>
    <d v="2005-05-01T00:00:00"/>
    <s v="Shipped"/>
    <n v="2"/>
    <x v="1"/>
    <n v="2005"/>
    <x v="2"/>
    <n v="64"/>
    <s v="S32_3522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1867.32"/>
  </r>
  <r>
    <n v="10424"/>
    <n v="44"/>
    <n v="61.41"/>
    <n v="2"/>
    <n v="2702.04"/>
    <d v="2005-05-31T00:00:00"/>
    <s v="In Process"/>
    <n v="2"/>
    <x v="1"/>
    <n v="2005"/>
    <x v="2"/>
    <n v="64"/>
    <s v="S32_3522"/>
    <s v="Euro Shopping Channel"/>
    <s v="(91) 555 94 44"/>
    <s v="C/ Moralzarzal, 86"/>
    <m/>
    <s v="Madrid"/>
    <m/>
    <n v="28034"/>
    <s v="Spain"/>
    <s v="EMEA"/>
    <s v="Freyre"/>
    <s v="Diego"/>
    <s v="Small"/>
    <n v="2702.04"/>
  </r>
  <r>
    <n v="10106"/>
    <n v="33"/>
    <n v="72.92"/>
    <n v="5"/>
    <n v="2406.36"/>
    <d v="2003-02-17T00:00:00"/>
    <s v="Shipped"/>
    <n v="1"/>
    <x v="0"/>
    <n v="2003"/>
    <x v="3"/>
    <n v="68"/>
    <s v="S32_4289"/>
    <s v="Rovelli Gifts"/>
    <s v="035-640555"/>
    <s v="Via Ludovico il Moro 22"/>
    <m/>
    <s v="Bergamo"/>
    <m/>
    <n v="24100"/>
    <s v="Italy"/>
    <s v="EMEA"/>
    <s v="Rovelli"/>
    <s v="Giovanni"/>
    <s v="Small"/>
    <n v="2406.36"/>
  </r>
  <r>
    <n v="10120"/>
    <n v="29"/>
    <n v="72.23"/>
    <n v="11"/>
    <n v="2094.67"/>
    <d v="2003-04-29T00:00:00"/>
    <s v="Shipped"/>
    <n v="2"/>
    <x v="8"/>
    <n v="2003"/>
    <x v="3"/>
    <n v="68"/>
    <s v="S32_4289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094.67"/>
  </r>
  <r>
    <n v="10133"/>
    <n v="49"/>
    <n v="57.1"/>
    <n v="6"/>
    <n v="2797.9"/>
    <d v="2003-06-27T00:00:00"/>
    <s v="Shipped"/>
    <n v="2"/>
    <x v="9"/>
    <n v="2003"/>
    <x v="3"/>
    <n v="68"/>
    <s v="S32_4289"/>
    <s v="Euro Shopping Channel"/>
    <s v="(91) 555 94 44"/>
    <s v="C/ Moralzarzal, 86"/>
    <m/>
    <s v="Madrid"/>
    <m/>
    <n v="28034"/>
    <s v="Spain"/>
    <s v="EMEA"/>
    <s v="Freyre"/>
    <s v="Diego"/>
    <s v="Small"/>
    <n v="2797.9"/>
  </r>
  <r>
    <n v="10144"/>
    <n v="20"/>
    <n v="81.86"/>
    <n v="1"/>
    <n v="1637.2"/>
    <d v="2003-08-13T00:00:00"/>
    <s v="Shipped"/>
    <n v="3"/>
    <x v="3"/>
    <n v="2003"/>
    <x v="3"/>
    <n v="68"/>
    <s v="S32_4289"/>
    <s v="Royale Belge"/>
    <s v="(071) 23 67 2555"/>
    <s v="Boulevard Tirou, 255"/>
    <m/>
    <s v="Charleroi"/>
    <m/>
    <s v="B-6000"/>
    <s v="Belgium"/>
    <s v="EMEA"/>
    <s v="Cartrain"/>
    <s v="Pascale"/>
    <s v="Small"/>
    <n v="1637.2"/>
  </r>
  <r>
    <n v="10168"/>
    <n v="31"/>
    <n v="73.61"/>
    <n v="12"/>
    <n v="2281.91"/>
    <d v="2003-10-28T00:00:00"/>
    <s v="Shipped"/>
    <n v="4"/>
    <x v="4"/>
    <n v="2003"/>
    <x v="3"/>
    <n v="68"/>
    <s v="S32_4289"/>
    <s v="Technics Stores Inc."/>
    <n v="6505556809"/>
    <s v="9408 Furth Circle"/>
    <m/>
    <s v="Burlingame"/>
    <s v="CA"/>
    <n v="94217"/>
    <s v="USA"/>
    <s v="NA"/>
    <s v="Hirano"/>
    <s v="Juri"/>
    <s v="Small"/>
    <n v="2281.91"/>
  </r>
  <r>
    <n v="10210"/>
    <n v="39"/>
    <n v="59.16"/>
    <n v="10"/>
    <n v="2307.2399999999998"/>
    <d v="2004-01-12T00:00:00"/>
    <s v="Shipped"/>
    <n v="1"/>
    <x v="7"/>
    <n v="2004"/>
    <x v="3"/>
    <n v="68"/>
    <s v="S32_4289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2307.2399999999998"/>
  </r>
  <r>
    <n v="10223"/>
    <n v="20"/>
    <n v="66.040000000000006"/>
    <n v="12"/>
    <n v="1320.8"/>
    <d v="2004-02-20T00:00:00"/>
    <s v="Shipped"/>
    <n v="1"/>
    <x v="0"/>
    <n v="2004"/>
    <x v="3"/>
    <n v="68"/>
    <s v="S32_4289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320.8000000000002"/>
  </r>
  <r>
    <n v="10235"/>
    <n v="34"/>
    <n v="77.73"/>
    <n v="6"/>
    <n v="2642.82"/>
    <d v="2004-04-02T00:00:00"/>
    <s v="Shipped"/>
    <n v="2"/>
    <x v="8"/>
    <n v="2004"/>
    <x v="3"/>
    <n v="68"/>
    <s v="S32_428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642.82"/>
  </r>
  <r>
    <n v="10250"/>
    <n v="50"/>
    <n v="61.22"/>
    <n v="7"/>
    <n v="3061"/>
    <d v="2004-05-11T00:00:00"/>
    <s v="Shipped"/>
    <n v="2"/>
    <x v="1"/>
    <n v="2004"/>
    <x v="3"/>
    <n v="68"/>
    <s v="S32_4289"/>
    <s v="The Sharp Gifts Warehouse"/>
    <n v="4085553659"/>
    <s v="3086 Ingle Ln."/>
    <m/>
    <s v="San Jose"/>
    <s v="CA"/>
    <n v="94217"/>
    <s v="USA"/>
    <s v="NA"/>
    <s v="Frick"/>
    <s v="Sue"/>
    <s v="Medium"/>
    <n v="3061"/>
  </r>
  <r>
    <n v="10262"/>
    <n v="40"/>
    <n v="79.11"/>
    <n v="2"/>
    <n v="3164.4"/>
    <d v="2004-06-24T00:00:00"/>
    <s v="Cancelled"/>
    <n v="2"/>
    <x v="9"/>
    <n v="2004"/>
    <x v="3"/>
    <n v="68"/>
    <s v="S32_4289"/>
    <s v="Euro Shopping Channel"/>
    <s v="(91) 555 94 44"/>
    <s v="C/ Moralzarzal, 86"/>
    <m/>
    <s v="Madrid"/>
    <m/>
    <n v="28034"/>
    <s v="Spain"/>
    <s v="EMEA"/>
    <s v="Freyre"/>
    <s v="Diego"/>
    <s v="Medium"/>
    <n v="3164.4"/>
  </r>
  <r>
    <n v="10275"/>
    <n v="28"/>
    <n v="63.97"/>
    <n v="12"/>
    <n v="1791.16"/>
    <d v="2004-07-23T00:00:00"/>
    <s v="Shipped"/>
    <n v="3"/>
    <x v="2"/>
    <n v="2004"/>
    <x v="3"/>
    <n v="68"/>
    <s v="S32_4289"/>
    <s v="La Rochelle Gifts"/>
    <s v="40.67.8555"/>
    <s v="67, rue des Cinquante Otages"/>
    <m/>
    <s v="Nantes"/>
    <m/>
    <n v="44000"/>
    <s v="France"/>
    <s v="EMEA"/>
    <s v="Labrune"/>
    <s v="Janine"/>
    <s v="Small"/>
    <n v="1791.1599999999999"/>
  </r>
  <r>
    <n v="10284"/>
    <n v="50"/>
    <n v="81.86"/>
    <n v="4"/>
    <n v="4093"/>
    <d v="2004-08-21T00:00:00"/>
    <s v="Shipped"/>
    <n v="3"/>
    <x v="3"/>
    <n v="2004"/>
    <x v="3"/>
    <n v="68"/>
    <s v="S32_4289"/>
    <s v="Norway Gifts By Mail, Co."/>
    <s v="+47 2212 1555"/>
    <s v="Drammensveien 126 A, PB 744 Sentrum"/>
    <m/>
    <s v="Oslo"/>
    <m/>
    <s v="N 0106"/>
    <s v="Norway"/>
    <s v="EMEA"/>
    <s v="Klaeboe"/>
    <s v="Jan"/>
    <s v="Medium"/>
    <n v="4093"/>
  </r>
  <r>
    <n v="10297"/>
    <n v="28"/>
    <n v="79.8"/>
    <n v="7"/>
    <n v="2234.4"/>
    <d v="2004-09-16T00:00:00"/>
    <s v="Shipped"/>
    <n v="3"/>
    <x v="10"/>
    <n v="2004"/>
    <x v="3"/>
    <n v="68"/>
    <s v="S32_4289"/>
    <s v="Clover Collections, Co."/>
    <s v="+353 1862 1555"/>
    <s v="25 Maiden Lane"/>
    <s v="Floor No. 4"/>
    <s v="Dublin"/>
    <m/>
    <n v="2"/>
    <s v="Ireland"/>
    <s v="EMEA"/>
    <s v="Cassidy"/>
    <s v="Dean"/>
    <s v="Small"/>
    <n v="2234.4"/>
  </r>
  <r>
    <n v="10308"/>
    <n v="46"/>
    <n v="66.040000000000006"/>
    <n v="10"/>
    <n v="3037.84"/>
    <d v="2004-10-15T00:00:00"/>
    <s v="Shipped"/>
    <n v="4"/>
    <x v="4"/>
    <n v="2004"/>
    <x v="3"/>
    <n v="68"/>
    <s v="S32_4289"/>
    <s v="Mini Classics"/>
    <n v="9145554562"/>
    <s v="3758 North Pendale Street"/>
    <m/>
    <s v="White Plains"/>
    <s v="NY"/>
    <n v="24067"/>
    <s v="USA"/>
    <s v="NA"/>
    <s v="Frick"/>
    <s v="Steve"/>
    <s v="Medium"/>
    <n v="3037.84"/>
  </r>
  <r>
    <n v="10316"/>
    <n v="24"/>
    <n v="59.16"/>
    <n v="2"/>
    <n v="1419.84"/>
    <d v="2004-11-01T00:00:00"/>
    <s v="Shipped"/>
    <n v="4"/>
    <x v="5"/>
    <n v="2004"/>
    <x v="3"/>
    <n v="68"/>
    <s v="S32_4289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1419.84"/>
  </r>
  <r>
    <n v="10328"/>
    <n v="24"/>
    <n v="81.17"/>
    <n v="5"/>
    <n v="1948.08"/>
    <d v="2004-11-12T00:00:00"/>
    <s v="Shipped"/>
    <n v="4"/>
    <x v="5"/>
    <n v="2004"/>
    <x v="3"/>
    <n v="68"/>
    <s v="S32_4289"/>
    <s v="Rovelli Gifts"/>
    <s v="035-640555"/>
    <s v="Via Ludovico il Moro 22"/>
    <m/>
    <s v="Bergamo"/>
    <m/>
    <n v="24100"/>
    <s v="Italy"/>
    <s v="EMEA"/>
    <s v="Rovelli"/>
    <s v="Giovanni"/>
    <s v="Small"/>
    <n v="1948.08"/>
  </r>
  <r>
    <n v="10340"/>
    <n v="39"/>
    <n v="59.16"/>
    <n v="3"/>
    <n v="2307.2399999999998"/>
    <d v="2004-11-24T00:00:00"/>
    <s v="Shipped"/>
    <n v="4"/>
    <x v="5"/>
    <n v="2004"/>
    <x v="3"/>
    <n v="68"/>
    <s v="S32_4289"/>
    <s v="Enaco Distributors"/>
    <s v="(93) 203 4555"/>
    <s v="Rambla de Catalu¤a, 23"/>
    <m/>
    <s v="Barcelona"/>
    <m/>
    <n v="8022"/>
    <s v="Spain"/>
    <s v="EMEA"/>
    <s v="Saavedra"/>
    <s v="Eduardo"/>
    <s v="Small"/>
    <n v="2307.2399999999998"/>
  </r>
  <r>
    <n v="10353"/>
    <n v="40"/>
    <n v="44.51"/>
    <n v="7"/>
    <n v="1780.4"/>
    <d v="2004-12-04T00:00:00"/>
    <s v="Shipped"/>
    <n v="4"/>
    <x v="6"/>
    <n v="2004"/>
    <x v="3"/>
    <n v="68"/>
    <s v="S32_4289"/>
    <s v="Gift Ideas Corp."/>
    <n v="2035554407"/>
    <s v="2440 Pompton St."/>
    <m/>
    <s v="Glendale"/>
    <s v="CT"/>
    <n v="97561"/>
    <s v="USA"/>
    <s v="NA"/>
    <s v="Lewis"/>
    <s v="Dan"/>
    <s v="Small"/>
    <n v="1780.3999999999999"/>
  </r>
  <r>
    <n v="10361"/>
    <n v="49"/>
    <n v="72.33"/>
    <n v="2"/>
    <n v="3544.17"/>
    <d v="2004-12-17T00:00:00"/>
    <s v="Shipped"/>
    <n v="4"/>
    <x v="6"/>
    <n v="2004"/>
    <x v="3"/>
    <n v="68"/>
    <s v="S32_428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544.17"/>
  </r>
  <r>
    <n v="10375"/>
    <n v="44"/>
    <n v="82.26"/>
    <n v="4"/>
    <n v="3619.44"/>
    <d v="2005-02-03T00:00:00"/>
    <s v="Shipped"/>
    <n v="1"/>
    <x v="0"/>
    <n v="2005"/>
    <x v="3"/>
    <n v="68"/>
    <s v="S32_4289"/>
    <s v="La Rochelle Gifts"/>
    <s v="40.67.8555"/>
    <s v="67, rue des Cinquante Otages"/>
    <m/>
    <s v="Nantes"/>
    <m/>
    <n v="44000"/>
    <s v="France"/>
    <s v="EMEA"/>
    <s v="Labrune"/>
    <s v="Janine"/>
    <s v="Medium"/>
    <n v="3619.44"/>
  </r>
  <r>
    <n v="10388"/>
    <n v="35"/>
    <n v="100"/>
    <n v="8"/>
    <n v="3918.95"/>
    <d v="2005-03-03T00:00:00"/>
    <s v="Shipped"/>
    <n v="1"/>
    <x v="11"/>
    <n v="2005"/>
    <x v="3"/>
    <n v="68"/>
    <s v="S32_4289"/>
    <s v="FunGiftIdeas.com"/>
    <n v="5085552555"/>
    <s v="1785 First Street"/>
    <m/>
    <s v="New Bedford"/>
    <s v="MA"/>
    <n v="50553"/>
    <s v="USA"/>
    <s v="NA"/>
    <s v="Benitez"/>
    <s v="Violeta"/>
    <s v="Medium"/>
    <n v="3500"/>
  </r>
  <r>
    <n v="10398"/>
    <n v="22"/>
    <n v="67.41"/>
    <n v="4"/>
    <n v="1483.02"/>
    <d v="2005-03-30T00:00:00"/>
    <s v="Shipped"/>
    <n v="1"/>
    <x v="11"/>
    <n v="2005"/>
    <x v="3"/>
    <n v="68"/>
    <s v="S32_4289"/>
    <s v="Reims Collectables"/>
    <s v="26.47.1555"/>
    <s v="59 rue de l'Abbaye"/>
    <m/>
    <s v="Reims"/>
    <m/>
    <n v="51100"/>
    <s v="France"/>
    <s v="EMEA"/>
    <s v="Henriot"/>
    <s v="Paul"/>
    <s v="Small"/>
    <n v="1483.02"/>
  </r>
  <r>
    <n v="10401"/>
    <n v="62"/>
    <n v="77.73"/>
    <n v="6"/>
    <n v="4819.26"/>
    <d v="2005-04-03T00:00:00"/>
    <s v="On Hold"/>
    <n v="2"/>
    <x v="8"/>
    <n v="2005"/>
    <x v="3"/>
    <n v="68"/>
    <s v="S32_4289"/>
    <s v="Tekni Collectables Inc."/>
    <n v="2015559350"/>
    <s v="7476 Moss Rd."/>
    <m/>
    <s v="Newark"/>
    <s v="NJ"/>
    <n v="94019"/>
    <s v="USA"/>
    <s v="NA"/>
    <s v="Brown"/>
    <s v="William"/>
    <s v="Medium"/>
    <n v="4819.26"/>
  </r>
  <r>
    <n v="10416"/>
    <n v="26"/>
    <n v="61.22"/>
    <n v="7"/>
    <n v="1591.72"/>
    <d v="2005-05-10T00:00:00"/>
    <s v="Shipped"/>
    <n v="2"/>
    <x v="1"/>
    <n v="2005"/>
    <x v="3"/>
    <n v="68"/>
    <s v="S32_4289"/>
    <s v="L'ordine Souveniers"/>
    <s v="0522-556555"/>
    <s v="Strada Provinciale 124"/>
    <m/>
    <s v="Reggio Emilia"/>
    <m/>
    <n v="42100"/>
    <s v="Italy"/>
    <s v="EMEA"/>
    <s v="Moroni"/>
    <s v="Maurizio"/>
    <s v="Small"/>
    <n v="1591.72"/>
  </r>
  <r>
    <n v="10108"/>
    <n v="31"/>
    <n v="100"/>
    <n v="16"/>
    <n v="3669.78"/>
    <d v="2003-03-03T00:00:00"/>
    <s v="Shipped"/>
    <n v="1"/>
    <x v="11"/>
    <n v="2003"/>
    <x v="0"/>
    <n v="102"/>
    <s v="S32_4485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3100"/>
  </r>
  <r>
    <n v="10121"/>
    <n v="25"/>
    <n v="86.74"/>
    <n v="3"/>
    <n v="2168.5"/>
    <d v="2003-05-07T00:00:00"/>
    <s v="Shipped"/>
    <n v="2"/>
    <x v="1"/>
    <n v="2003"/>
    <x v="0"/>
    <n v="102"/>
    <s v="S32_4485"/>
    <s v="Reims Collectables"/>
    <s v="26.47.1555"/>
    <s v="59 rue de l'Abbaye"/>
    <m/>
    <s v="Reims"/>
    <m/>
    <n v="51100"/>
    <s v="France"/>
    <s v="EMEA"/>
    <s v="Henriot"/>
    <s v="Paul"/>
    <s v="Small"/>
    <n v="2168.5"/>
  </r>
  <r>
    <n v="10135"/>
    <n v="30"/>
    <n v="89.8"/>
    <n v="17"/>
    <n v="2694"/>
    <d v="2003-07-02T00:00:00"/>
    <s v="Shipped"/>
    <n v="3"/>
    <x v="2"/>
    <n v="2003"/>
    <x v="0"/>
    <n v="102"/>
    <s v="S32_4485"/>
    <s v="Mini Gifts Distributors Ltd."/>
    <n v="4155551450"/>
    <s v="5677 Strong St."/>
    <m/>
    <s v="San Rafael"/>
    <s v="CA"/>
    <n v="97562"/>
    <s v="USA"/>
    <s v="NA"/>
    <s v="Nelson"/>
    <s v="Valarie"/>
    <s v="Small"/>
    <n v="2694"/>
  </r>
  <r>
    <n v="10145"/>
    <n v="27"/>
    <n v="100"/>
    <n v="4"/>
    <n v="3251.34"/>
    <d v="2003-08-25T00:00:00"/>
    <s v="Shipped"/>
    <n v="3"/>
    <x v="3"/>
    <n v="2003"/>
    <x v="0"/>
    <n v="102"/>
    <s v="S32_4485"/>
    <s v="Toys4GrownUps.com"/>
    <n v="6265557265"/>
    <s v="78934 Hillside Dr."/>
    <m/>
    <s v="Pasadena"/>
    <s v="CA"/>
    <n v="90003"/>
    <s v="USA"/>
    <s v="NA"/>
    <s v="Young"/>
    <s v="Julie"/>
    <s v="Medium"/>
    <n v="2700"/>
  </r>
  <r>
    <n v="10159"/>
    <n v="23"/>
    <n v="100"/>
    <n v="12"/>
    <n v="2347.15"/>
    <d v="2003-10-10T00:00:00"/>
    <s v="Shipped"/>
    <n v="4"/>
    <x v="4"/>
    <n v="2003"/>
    <x v="0"/>
    <n v="102"/>
    <s v="S32_4485"/>
    <s v="Corporate Gift Ideas Co."/>
    <n v="6505551386"/>
    <s v="7734 Strong St."/>
    <m/>
    <s v="San Francisco"/>
    <s v="CA"/>
    <m/>
    <s v="USA"/>
    <s v="NA"/>
    <s v="Brown"/>
    <s v="Julie"/>
    <s v="Small"/>
    <n v="2300"/>
  </r>
  <r>
    <n v="10169"/>
    <n v="34"/>
    <n v="100"/>
    <n v="12"/>
    <n v="3920.88"/>
    <d v="2003-11-04T00:00:00"/>
    <s v="Shipped"/>
    <n v="4"/>
    <x v="5"/>
    <n v="2003"/>
    <x v="0"/>
    <n v="102"/>
    <s v="S32_4485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400"/>
  </r>
  <r>
    <n v="10180"/>
    <n v="22"/>
    <n v="100"/>
    <n v="7"/>
    <n v="2514.6"/>
    <d v="2003-11-11T00:00:00"/>
    <s v="Shipped"/>
    <n v="4"/>
    <x v="5"/>
    <n v="2003"/>
    <x v="0"/>
    <n v="102"/>
    <s v="S32_4485"/>
    <s v="Daedalus Designs Imports"/>
    <s v="20.16.1555"/>
    <s v="184, chausse de Tournai"/>
    <m/>
    <s v="Lille"/>
    <m/>
    <n v="59000"/>
    <s v="France"/>
    <s v="EMEA"/>
    <s v="Rance"/>
    <s v="Martine"/>
    <s v="Small"/>
    <n v="2200"/>
  </r>
  <r>
    <n v="10190"/>
    <n v="42"/>
    <n v="85.72"/>
    <n v="4"/>
    <n v="3600.24"/>
    <d v="2003-11-19T00:00:00"/>
    <s v="Shipped"/>
    <n v="4"/>
    <x v="5"/>
    <n v="2003"/>
    <x v="0"/>
    <n v="102"/>
    <s v="S32_4485"/>
    <s v="Euro Shopping Channel"/>
    <s v="(91) 555 94 44"/>
    <s v="C/ Moralzarzal, 86"/>
    <m/>
    <s v="Madrid"/>
    <m/>
    <n v="28034"/>
    <s v="Spain"/>
    <s v="EMEA"/>
    <s v="Freyre"/>
    <s v="Diego"/>
    <s v="Medium"/>
    <n v="3600.24"/>
  </r>
  <r>
    <n v="10211"/>
    <n v="37"/>
    <n v="100"/>
    <n v="12"/>
    <n v="4040.03"/>
    <d v="2004-01-15T00:00:00"/>
    <s v="Shipped"/>
    <n v="1"/>
    <x v="7"/>
    <n v="2004"/>
    <x v="0"/>
    <n v="102"/>
    <s v="S32_4485"/>
    <s v="Auto Canal Petit"/>
    <s v="(1) 47.55.6555"/>
    <s v="25, rue Lauriston"/>
    <m/>
    <s v="Paris"/>
    <m/>
    <n v="75016"/>
    <s v="France"/>
    <s v="EMEA"/>
    <s v="Perrier"/>
    <s v="Dominique"/>
    <s v="Medium"/>
    <n v="3700"/>
  </r>
  <r>
    <n v="10224"/>
    <n v="30"/>
    <n v="100"/>
    <n v="5"/>
    <n v="3336.9"/>
    <d v="2004-02-21T00:00:00"/>
    <s v="Shipped"/>
    <n v="1"/>
    <x v="0"/>
    <n v="2004"/>
    <x v="0"/>
    <n v="102"/>
    <s v="S32_4485"/>
    <s v="Daedalus Designs Imports"/>
    <s v="20.16.1555"/>
    <s v="184, chausse de Tournai"/>
    <m/>
    <s v="Lille"/>
    <m/>
    <n v="59000"/>
    <s v="France"/>
    <s v="EMEA"/>
    <s v="Rance"/>
    <s v="Martine"/>
    <s v="Medium"/>
    <n v="3000"/>
  </r>
  <r>
    <n v="10237"/>
    <n v="27"/>
    <n v="100"/>
    <n v="5"/>
    <n v="3113.64"/>
    <d v="2004-04-05T00:00:00"/>
    <s v="Shipped"/>
    <n v="2"/>
    <x v="8"/>
    <n v="2004"/>
    <x v="0"/>
    <n v="102"/>
    <s v="S32_4485"/>
    <s v="Vitachrome Inc."/>
    <n v="2125551500"/>
    <s v="2678 Kingston Rd."/>
    <s v="Suite 101"/>
    <s v="NYC"/>
    <s v="NY"/>
    <n v="10022"/>
    <s v="USA"/>
    <s v="NA"/>
    <s v="Frick"/>
    <s v="Michael"/>
    <s v="Medium"/>
    <n v="2700"/>
  </r>
  <r>
    <n v="10252"/>
    <n v="25"/>
    <n v="100"/>
    <n v="9"/>
    <n v="2832"/>
    <d v="2004-05-26T00:00:00"/>
    <s v="Shipped"/>
    <n v="2"/>
    <x v="1"/>
    <n v="2004"/>
    <x v="0"/>
    <n v="102"/>
    <s v="S32_4485"/>
    <s v="Auto Canal Petit"/>
    <s v="(1) 47.55.6555"/>
    <s v="25, rue Lauriston"/>
    <m/>
    <s v="Paris"/>
    <m/>
    <n v="75016"/>
    <s v="France"/>
    <s v="EMEA"/>
    <s v="Perrier"/>
    <s v="Dominique"/>
    <s v="Small"/>
    <n v="2500"/>
  </r>
  <r>
    <n v="10264"/>
    <n v="34"/>
    <n v="97.97"/>
    <n v="7"/>
    <n v="3330.98"/>
    <d v="2004-06-30T00:00:00"/>
    <s v="Shipped"/>
    <n v="2"/>
    <x v="9"/>
    <n v="2004"/>
    <x v="0"/>
    <n v="102"/>
    <s v="S32_4485"/>
    <s v="Gifts4AllAges.com"/>
    <n v="6175559555"/>
    <s v="8616 Spinnaker Dr."/>
    <m/>
    <s v="Boston"/>
    <s v="MA"/>
    <n v="51003"/>
    <s v="USA"/>
    <s v="NA"/>
    <s v="Yoshido"/>
    <s v="Juri"/>
    <s v="Medium"/>
    <n v="3330.98"/>
  </r>
  <r>
    <n v="10276"/>
    <n v="38"/>
    <n v="100"/>
    <n v="13"/>
    <n v="4304.6400000000003"/>
    <d v="2004-08-02T00:00:00"/>
    <s v="Shipped"/>
    <n v="3"/>
    <x v="3"/>
    <n v="2004"/>
    <x v="0"/>
    <n v="102"/>
    <s v="S32_4485"/>
    <s v="Online Mini Collectables"/>
    <n v="6175557555"/>
    <s v="7635 Spinnaker Dr."/>
    <m/>
    <s v="Brickhaven"/>
    <s v="MA"/>
    <n v="58339"/>
    <s v="USA"/>
    <s v="NA"/>
    <s v="Barajas"/>
    <s v="Miguel"/>
    <s v="Medium"/>
    <n v="3800"/>
  </r>
  <r>
    <n v="10285"/>
    <n v="26"/>
    <n v="100"/>
    <n v="4"/>
    <n v="2600.2600000000002"/>
    <d v="2004-08-27T00:00:00"/>
    <s v="Shipped"/>
    <n v="3"/>
    <x v="3"/>
    <n v="2004"/>
    <x v="0"/>
    <n v="102"/>
    <s v="S32_4485"/>
    <s v="Marta's Replicas Co."/>
    <n v="6175558555"/>
    <s v="39323 Spinnaker Dr."/>
    <m/>
    <s v="Cambridge"/>
    <s v="MA"/>
    <n v="51247"/>
    <s v="USA"/>
    <s v="NA"/>
    <s v="Hernandez"/>
    <s v="Marta"/>
    <s v="Small"/>
    <n v="2600"/>
  </r>
  <r>
    <n v="10299"/>
    <n v="38"/>
    <n v="100"/>
    <n v="7"/>
    <n v="4382.16"/>
    <d v="2004-09-30T00:00:00"/>
    <s v="Shipped"/>
    <n v="3"/>
    <x v="10"/>
    <n v="2004"/>
    <x v="0"/>
    <n v="102"/>
    <s v="S32_4485"/>
    <s v="Toys of Finland, Co."/>
    <s v="90-224 8555"/>
    <s v="Keskuskatu 45"/>
    <m/>
    <s v="Helsinki"/>
    <m/>
    <n v="21240"/>
    <s v="Finland"/>
    <s v="EMEA"/>
    <s v="Karttunen"/>
    <s v="Matti"/>
    <s v="Medium"/>
    <n v="3800"/>
  </r>
  <r>
    <n v="10309"/>
    <n v="50"/>
    <n v="84.7"/>
    <n v="3"/>
    <n v="4235"/>
    <d v="2004-10-15T00:00:00"/>
    <s v="Shipped"/>
    <n v="4"/>
    <x v="4"/>
    <n v="2004"/>
    <x v="0"/>
    <n v="102"/>
    <s v="S32_4485"/>
    <s v="Baane Mini Imports"/>
    <s v="07-98 9555"/>
    <s v="Erling Skakkes gate 78"/>
    <m/>
    <s v="Stavern"/>
    <m/>
    <n v="4110"/>
    <s v="Norway"/>
    <s v="EMEA"/>
    <s v="Bergulfsen"/>
    <s v="Jonas"/>
    <s v="Medium"/>
    <n v="4235"/>
  </r>
  <r>
    <n v="10319"/>
    <n v="22"/>
    <n v="100"/>
    <n v="8"/>
    <n v="2626.8"/>
    <d v="2004-11-03T00:00:00"/>
    <s v="Shipped"/>
    <n v="4"/>
    <x v="5"/>
    <n v="2004"/>
    <x v="0"/>
    <n v="102"/>
    <s v="S32_4485"/>
    <s v="Microscale Inc."/>
    <n v="2125551957"/>
    <s v="5290 North Pendale Street"/>
    <s v="Suite 200"/>
    <s v="NYC"/>
    <s v="NY"/>
    <n v="10022"/>
    <s v="USA"/>
    <s v="NA"/>
    <s v="Kuo"/>
    <s v="Kee"/>
    <s v="Small"/>
    <n v="2200"/>
  </r>
  <r>
    <n v="10331"/>
    <n v="32"/>
    <n v="100"/>
    <n v="4"/>
    <n v="5026.5600000000004"/>
    <d v="2004-11-17T00:00:00"/>
    <s v="Shipped"/>
    <n v="4"/>
    <x v="5"/>
    <n v="2004"/>
    <x v="0"/>
    <n v="102"/>
    <s v="S32_4485"/>
    <s v="Motor Mint Distributors Inc."/>
    <n v="2155559857"/>
    <s v="11328 Douglas Av."/>
    <m/>
    <s v="Philadelphia"/>
    <s v="PA"/>
    <n v="71270"/>
    <s v="USA"/>
    <s v="NA"/>
    <s v="Hernandez"/>
    <s v="Rosa"/>
    <s v="Medium"/>
    <n v="3200"/>
  </r>
  <r>
    <n v="10341"/>
    <n v="31"/>
    <n v="71.02"/>
    <n v="4"/>
    <n v="2201.62"/>
    <d v="2004-11-24T00:00:00"/>
    <s v="Shipped"/>
    <n v="4"/>
    <x v="5"/>
    <n v="2004"/>
    <x v="0"/>
    <n v="102"/>
    <s v="S32_4485"/>
    <s v="Salzburg Collectables"/>
    <s v="6562-9555"/>
    <s v="Geislweg 14"/>
    <m/>
    <s v="Salzburg"/>
    <m/>
    <n v="5020"/>
    <s v="Austria"/>
    <s v="EMEA"/>
    <s v="Pipps"/>
    <s v="Georg"/>
    <s v="Small"/>
    <n v="2201.62"/>
  </r>
  <r>
    <n v="10355"/>
    <n v="40"/>
    <n v="100"/>
    <n v="5"/>
    <n v="4326.8"/>
    <d v="2004-12-07T00:00:00"/>
    <s v="Shipped"/>
    <n v="4"/>
    <x v="6"/>
    <n v="2004"/>
    <x v="0"/>
    <n v="102"/>
    <s v="S32_4485"/>
    <s v="Euro Shopping Channel"/>
    <s v="(91) 555 94 44"/>
    <s v="C/ Moralzarzal, 86"/>
    <m/>
    <s v="Madrid"/>
    <m/>
    <n v="28034"/>
    <s v="Spain"/>
    <s v="EMEA"/>
    <s v="Freyre"/>
    <s v="Diego"/>
    <s v="Medium"/>
    <n v="4000"/>
  </r>
  <r>
    <n v="10365"/>
    <n v="22"/>
    <n v="100"/>
    <n v="3"/>
    <n v="3425.18"/>
    <d v="2005-01-07T00:00:00"/>
    <s v="Shipped"/>
    <n v="1"/>
    <x v="7"/>
    <n v="2005"/>
    <x v="0"/>
    <n v="102"/>
    <s v="S32_4485"/>
    <s v="Mini Creations Ltd."/>
    <n v="5085559555"/>
    <s v="4575 Hillside Dr."/>
    <m/>
    <s v="New Bedford"/>
    <s v="MA"/>
    <n v="50553"/>
    <s v="USA"/>
    <s v="NA"/>
    <s v="Tam"/>
    <s v="Wing C"/>
    <s v="Medium"/>
    <n v="2200"/>
  </r>
  <r>
    <n v="10375"/>
    <n v="41"/>
    <n v="100"/>
    <n v="15"/>
    <n v="4701.88"/>
    <d v="2005-02-03T00:00:00"/>
    <s v="Shipped"/>
    <n v="1"/>
    <x v="0"/>
    <n v="2005"/>
    <x v="0"/>
    <n v="102"/>
    <s v="S32_4485"/>
    <s v="La Rochelle Gifts"/>
    <s v="40.67.8555"/>
    <s v="67, rue des Cinquante Otages"/>
    <m/>
    <s v="Nantes"/>
    <m/>
    <n v="44000"/>
    <s v="France"/>
    <s v="EMEA"/>
    <s v="Labrune"/>
    <s v="Janine"/>
    <s v="Medium"/>
    <n v="4100"/>
  </r>
  <r>
    <n v="10390"/>
    <n v="45"/>
    <n v="48.98"/>
    <n v="12"/>
    <n v="2204.1"/>
    <d v="2005-03-04T00:00:00"/>
    <s v="Shipped"/>
    <n v="1"/>
    <x v="11"/>
    <n v="2005"/>
    <x v="0"/>
    <n v="102"/>
    <s v="S32_4485"/>
    <s v="Mini Gifts Distributors Ltd."/>
    <n v="4155551450"/>
    <s v="5677 Strong St."/>
    <m/>
    <s v="San Rafael"/>
    <s v="CA"/>
    <n v="97562"/>
    <s v="USA"/>
    <s v="NA"/>
    <s v="Nelson"/>
    <s v="Valarie"/>
    <s v="Small"/>
    <n v="2204.1"/>
  </r>
  <r>
    <n v="10403"/>
    <n v="45"/>
    <n v="100"/>
    <n v="5"/>
    <n v="5189.3999999999996"/>
    <d v="2005-04-08T00:00:00"/>
    <s v="Shipped"/>
    <n v="2"/>
    <x v="8"/>
    <n v="2005"/>
    <x v="0"/>
    <n v="102"/>
    <s v="S32_4485"/>
    <s v="UK Collectables, Ltd."/>
    <s v="(171) 555-2282"/>
    <s v="Berkeley Gardens 12  Brewery"/>
    <m/>
    <s v="Liverpool"/>
    <m/>
    <s v="WX1 6LT"/>
    <s v="UK"/>
    <s v="EMEA"/>
    <s v="Devon"/>
    <s v="Elizabeth"/>
    <s v="Medium"/>
    <n v="4500"/>
  </r>
  <r>
    <n v="10106"/>
    <n v="39"/>
    <n v="40.15"/>
    <n v="6"/>
    <n v="1565.85"/>
    <d v="2003-02-17T00:00:00"/>
    <s v="Shipped"/>
    <n v="1"/>
    <x v="0"/>
    <n v="2003"/>
    <x v="3"/>
    <n v="43"/>
    <s v="S50_1341"/>
    <s v="Rovelli Gifts"/>
    <s v="035-640555"/>
    <s v="Via Ludovico il Moro 22"/>
    <m/>
    <s v="Bergamo"/>
    <m/>
    <n v="24100"/>
    <s v="Italy"/>
    <s v="EMEA"/>
    <s v="Rovelli"/>
    <s v="Giovanni"/>
    <s v="Small"/>
    <n v="1565.85"/>
  </r>
  <r>
    <n v="10120"/>
    <n v="49"/>
    <n v="50.62"/>
    <n v="12"/>
    <n v="2480.38"/>
    <d v="2003-04-29T00:00:00"/>
    <s v="Shipped"/>
    <n v="2"/>
    <x v="8"/>
    <n v="2003"/>
    <x v="3"/>
    <n v="43"/>
    <s v="S50_134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480.3799999999997"/>
  </r>
  <r>
    <n v="10133"/>
    <n v="27"/>
    <n v="50.19"/>
    <n v="7"/>
    <n v="1355.13"/>
    <d v="2003-06-27T00:00:00"/>
    <s v="Shipped"/>
    <n v="2"/>
    <x v="9"/>
    <n v="2003"/>
    <x v="3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  <n v="1355.1299999999999"/>
  </r>
  <r>
    <n v="10143"/>
    <n v="34"/>
    <n v="36.659999999999997"/>
    <n v="1"/>
    <n v="1246.44"/>
    <d v="2003-08-10T00:00:00"/>
    <s v="Shipped"/>
    <n v="3"/>
    <x v="3"/>
    <n v="2003"/>
    <x v="3"/>
    <n v="43"/>
    <s v="S50_1341"/>
    <s v="Mini Creations Ltd."/>
    <n v="5085559555"/>
    <s v="4575 Hillside Dr."/>
    <m/>
    <s v="New Bedford"/>
    <s v="MA"/>
    <n v="50553"/>
    <s v="USA"/>
    <s v="NA"/>
    <s v="Tam"/>
    <s v="Wing C"/>
    <s v="Small"/>
    <n v="1246.4399999999998"/>
  </r>
  <r>
    <n v="10156"/>
    <n v="20"/>
    <n v="41.02"/>
    <n v="1"/>
    <n v="820.4"/>
    <d v="2003-10-08T00:00:00"/>
    <s v="Shipped"/>
    <n v="4"/>
    <x v="4"/>
    <n v="2003"/>
    <x v="3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  <n v="820.40000000000009"/>
  </r>
  <r>
    <n v="10168"/>
    <n v="48"/>
    <n v="51.93"/>
    <n v="13"/>
    <n v="2492.64"/>
    <d v="2003-10-28T00:00:00"/>
    <s v="Shipped"/>
    <n v="4"/>
    <x v="4"/>
    <n v="2003"/>
    <x v="3"/>
    <n v="43"/>
    <s v="S50_1341"/>
    <s v="Technics Stores Inc."/>
    <n v="6505556809"/>
    <s v="9408 Furth Circle"/>
    <m/>
    <s v="Burlingame"/>
    <s v="CA"/>
    <n v="94217"/>
    <s v="USA"/>
    <s v="NA"/>
    <s v="Hirano"/>
    <s v="Juri"/>
    <s v="Small"/>
    <n v="2492.64"/>
  </r>
  <r>
    <n v="10199"/>
    <n v="29"/>
    <n v="38.4"/>
    <n v="1"/>
    <n v="1113.5999999999999"/>
    <d v="2003-12-01T00:00:00"/>
    <s v="Shipped"/>
    <n v="4"/>
    <x v="6"/>
    <n v="2003"/>
    <x v="3"/>
    <n v="43"/>
    <s v="S50_1341"/>
    <s v="West Coast Collectables Co."/>
    <n v="3105553722"/>
    <s v="3675 Furth Circle"/>
    <m/>
    <s v="Burbank"/>
    <s v="CA"/>
    <n v="94019"/>
    <s v="USA"/>
    <s v="NA"/>
    <s v="Thompson"/>
    <s v="Steve"/>
    <s v="Small"/>
    <n v="1113.5999999999999"/>
  </r>
  <r>
    <n v="10210"/>
    <n v="43"/>
    <n v="41.02"/>
    <n v="11"/>
    <n v="1763.86"/>
    <d v="2004-01-12T00:00:00"/>
    <s v="Shipped"/>
    <n v="1"/>
    <x v="7"/>
    <n v="2004"/>
    <x v="3"/>
    <n v="43"/>
    <s v="S50_1341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1763.8600000000001"/>
  </r>
  <r>
    <n v="10223"/>
    <n v="41"/>
    <n v="46.26"/>
    <n v="13"/>
    <n v="1896.66"/>
    <d v="2004-02-20T00:00:00"/>
    <s v="Shipped"/>
    <n v="1"/>
    <x v="0"/>
    <n v="2004"/>
    <x v="3"/>
    <n v="43"/>
    <s v="S50_134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896.6599999999999"/>
  </r>
  <r>
    <n v="10235"/>
    <n v="41"/>
    <n v="35.35"/>
    <n v="7"/>
    <n v="1449.35"/>
    <d v="2004-04-02T00:00:00"/>
    <s v="Shipped"/>
    <n v="2"/>
    <x v="8"/>
    <n v="2004"/>
    <x v="3"/>
    <n v="43"/>
    <s v="S50_134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1449.3500000000001"/>
  </r>
  <r>
    <n v="10250"/>
    <n v="36"/>
    <n v="51.93"/>
    <n v="8"/>
    <n v="1869.48"/>
    <d v="2004-05-11T00:00:00"/>
    <s v="Shipped"/>
    <n v="2"/>
    <x v="1"/>
    <n v="2004"/>
    <x v="3"/>
    <n v="43"/>
    <s v="S50_1341"/>
    <s v="The Sharp Gifts Warehouse"/>
    <n v="4085553659"/>
    <s v="3086 Ingle Ln."/>
    <m/>
    <s v="San Jose"/>
    <s v="CA"/>
    <n v="94217"/>
    <s v="USA"/>
    <s v="NA"/>
    <s v="Frick"/>
    <s v="Sue"/>
    <s v="Small"/>
    <n v="1869.48"/>
  </r>
  <r>
    <n v="10262"/>
    <n v="49"/>
    <n v="37.97"/>
    <n v="3"/>
    <n v="1860.53"/>
    <d v="2004-06-24T00:00:00"/>
    <s v="Cancelled"/>
    <n v="2"/>
    <x v="9"/>
    <n v="2004"/>
    <x v="3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  <n v="1860.53"/>
  </r>
  <r>
    <n v="10275"/>
    <n v="38"/>
    <n v="45.39"/>
    <n v="13"/>
    <n v="1724.82"/>
    <d v="2004-07-23T00:00:00"/>
    <s v="Shipped"/>
    <n v="3"/>
    <x v="2"/>
    <n v="2004"/>
    <x v="3"/>
    <n v="43"/>
    <s v="S50_1341"/>
    <s v="La Rochelle Gifts"/>
    <s v="40.67.8555"/>
    <s v="67, rue des Cinquante Otages"/>
    <m/>
    <s v="Nantes"/>
    <m/>
    <n v="44000"/>
    <s v="France"/>
    <s v="EMEA"/>
    <s v="Labrune"/>
    <s v="Janine"/>
    <s v="Small"/>
    <n v="1724.82"/>
  </r>
  <r>
    <n v="10284"/>
    <n v="33"/>
    <n v="51.93"/>
    <n v="5"/>
    <n v="1713.69"/>
    <d v="2004-08-21T00:00:00"/>
    <s v="Shipped"/>
    <n v="3"/>
    <x v="3"/>
    <n v="2004"/>
    <x v="3"/>
    <n v="43"/>
    <s v="S50_1341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1713.69"/>
  </r>
  <r>
    <n v="10296"/>
    <n v="26"/>
    <n v="48.44"/>
    <n v="1"/>
    <n v="1259.44"/>
    <d v="2004-09-15T00:00:00"/>
    <s v="Shipped"/>
    <n v="3"/>
    <x v="10"/>
    <n v="2004"/>
    <x v="3"/>
    <n v="43"/>
    <s v="S50_1341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1259.44"/>
  </r>
  <r>
    <n v="10308"/>
    <n v="47"/>
    <n v="43.64"/>
    <n v="11"/>
    <n v="2051.08"/>
    <d v="2004-10-15T00:00:00"/>
    <s v="Shipped"/>
    <n v="4"/>
    <x v="4"/>
    <n v="2004"/>
    <x v="3"/>
    <n v="43"/>
    <s v="S50_1341"/>
    <s v="Mini Classics"/>
    <n v="9145554562"/>
    <s v="3758 North Pendale Street"/>
    <m/>
    <s v="White Plains"/>
    <s v="NY"/>
    <n v="24067"/>
    <s v="USA"/>
    <s v="NA"/>
    <s v="Frick"/>
    <s v="Steve"/>
    <s v="Small"/>
    <n v="2051.08"/>
  </r>
  <r>
    <n v="10316"/>
    <n v="34"/>
    <n v="47.57"/>
    <n v="3"/>
    <n v="1617.38"/>
    <d v="2004-11-01T00:00:00"/>
    <s v="Shipped"/>
    <n v="4"/>
    <x v="5"/>
    <n v="2004"/>
    <x v="3"/>
    <n v="43"/>
    <s v="S50_1341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1617.38"/>
  </r>
  <r>
    <n v="10328"/>
    <n v="34"/>
    <n v="51.93"/>
    <n v="7"/>
    <n v="1765.62"/>
    <d v="2004-11-12T00:00:00"/>
    <s v="Shipped"/>
    <n v="4"/>
    <x v="5"/>
    <n v="2004"/>
    <x v="3"/>
    <n v="43"/>
    <s v="S50_1341"/>
    <s v="Rovelli Gifts"/>
    <s v="035-640555"/>
    <s v="Via Ludovico il Moro 22"/>
    <m/>
    <s v="Bergamo"/>
    <m/>
    <n v="24100"/>
    <s v="Italy"/>
    <s v="EMEA"/>
    <s v="Rovelli"/>
    <s v="Giovanni"/>
    <s v="Small"/>
    <n v="1765.62"/>
  </r>
  <r>
    <n v="10340"/>
    <n v="40"/>
    <n v="50.62"/>
    <n v="4"/>
    <n v="2024.8"/>
    <d v="2004-11-24T00:00:00"/>
    <s v="Shipped"/>
    <n v="4"/>
    <x v="5"/>
    <n v="2004"/>
    <x v="3"/>
    <n v="43"/>
    <s v="S50_1341"/>
    <s v="Enaco Distributors"/>
    <s v="(93) 203 4555"/>
    <s v="Rambla de Catalu¤a, 23"/>
    <m/>
    <s v="Barcelona"/>
    <m/>
    <n v="8022"/>
    <s v="Spain"/>
    <s v="EMEA"/>
    <s v="Saavedra"/>
    <s v="Eduardo"/>
    <s v="Small"/>
    <n v="2024.8"/>
  </r>
  <r>
    <n v="10353"/>
    <n v="40"/>
    <n v="82.21"/>
    <n v="8"/>
    <n v="3288.4"/>
    <d v="2004-12-04T00:00:00"/>
    <s v="Shipped"/>
    <n v="4"/>
    <x v="6"/>
    <n v="2004"/>
    <x v="3"/>
    <n v="43"/>
    <s v="S50_1341"/>
    <s v="Gift Ideas Corp."/>
    <n v="2035554407"/>
    <s v="2440 Pompton St."/>
    <m/>
    <s v="Glendale"/>
    <s v="CT"/>
    <n v="97561"/>
    <s v="USA"/>
    <s v="NA"/>
    <s v="Lewis"/>
    <s v="Dan"/>
    <s v="Medium"/>
    <n v="3288.3999999999996"/>
  </r>
  <r>
    <n v="10361"/>
    <n v="33"/>
    <n v="82.59"/>
    <n v="3"/>
    <n v="2725.47"/>
    <d v="2004-12-17T00:00:00"/>
    <s v="Shipped"/>
    <n v="4"/>
    <x v="6"/>
    <n v="2004"/>
    <x v="3"/>
    <n v="43"/>
    <s v="S50_134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725.4700000000003"/>
  </r>
  <r>
    <n v="10375"/>
    <n v="49"/>
    <n v="65.8"/>
    <n v="5"/>
    <n v="3224.2"/>
    <d v="2005-02-03T00:00:00"/>
    <s v="Shipped"/>
    <n v="1"/>
    <x v="0"/>
    <n v="2005"/>
    <x v="3"/>
    <n v="43"/>
    <s v="S50_1341"/>
    <s v="La Rochelle Gifts"/>
    <s v="40.67.8555"/>
    <s v="67, rue des Cinquante Otages"/>
    <m/>
    <s v="Nantes"/>
    <m/>
    <n v="44000"/>
    <s v="France"/>
    <s v="EMEA"/>
    <s v="Labrune"/>
    <s v="Janine"/>
    <s v="Medium"/>
    <n v="3224.2"/>
  </r>
  <r>
    <n v="10388"/>
    <n v="27"/>
    <n v="100"/>
    <n v="1"/>
    <n v="3211.38"/>
    <d v="2005-03-03T00:00:00"/>
    <s v="Shipped"/>
    <n v="1"/>
    <x v="11"/>
    <n v="2005"/>
    <x v="3"/>
    <n v="43"/>
    <s v="S50_1341"/>
    <s v="FunGiftIdeas.com"/>
    <n v="5085552555"/>
    <s v="1785 First Street"/>
    <m/>
    <s v="New Bedford"/>
    <s v="MA"/>
    <n v="50553"/>
    <s v="USA"/>
    <s v="NA"/>
    <s v="Benitez"/>
    <s v="Violeta"/>
    <s v="Medium"/>
    <n v="2700"/>
  </r>
  <r>
    <n v="10398"/>
    <n v="49"/>
    <n v="36.659999999999997"/>
    <n v="5"/>
    <n v="1796.34"/>
    <d v="2005-03-30T00:00:00"/>
    <s v="Shipped"/>
    <n v="1"/>
    <x v="11"/>
    <n v="2005"/>
    <x v="3"/>
    <n v="43"/>
    <s v="S50_1341"/>
    <s v="Reims Collectables"/>
    <s v="26.47.1555"/>
    <s v="59 rue de l'Abbaye"/>
    <m/>
    <s v="Reims"/>
    <m/>
    <n v="51100"/>
    <s v="France"/>
    <s v="EMEA"/>
    <s v="Henriot"/>
    <s v="Paul"/>
    <s v="Small"/>
    <n v="1796.34"/>
  </r>
  <r>
    <n v="10401"/>
    <n v="56"/>
    <n v="35.35"/>
    <n v="7"/>
    <n v="1979.6"/>
    <d v="2005-04-03T00:00:00"/>
    <s v="On Hold"/>
    <n v="2"/>
    <x v="8"/>
    <n v="2005"/>
    <x v="3"/>
    <n v="43"/>
    <s v="S50_1341"/>
    <s v="Tekni Collectables Inc."/>
    <n v="2015559350"/>
    <s v="7476 Moss Rd."/>
    <m/>
    <s v="Newark"/>
    <s v="NJ"/>
    <n v="94019"/>
    <s v="USA"/>
    <s v="NA"/>
    <s v="Brown"/>
    <s v="William"/>
    <s v="Small"/>
    <n v="1979.6000000000001"/>
  </r>
  <r>
    <n v="10416"/>
    <n v="37"/>
    <n v="51.93"/>
    <n v="8"/>
    <n v="1921.41"/>
    <d v="2005-05-10T00:00:00"/>
    <s v="Shipped"/>
    <n v="2"/>
    <x v="1"/>
    <n v="2005"/>
    <x v="3"/>
    <n v="43"/>
    <s v="S50_1341"/>
    <s v="L'ordine Souveniers"/>
    <s v="0522-556555"/>
    <s v="Strada Provinciale 124"/>
    <m/>
    <s v="Reggio Emilia"/>
    <m/>
    <n v="42100"/>
    <s v="Italy"/>
    <s v="EMEA"/>
    <s v="Moroni"/>
    <s v="Maurizio"/>
    <s v="Small"/>
    <n v="1921.41"/>
  </r>
  <r>
    <n v="10104"/>
    <n v="33"/>
    <n v="100"/>
    <n v="7"/>
    <n v="3705.24"/>
    <d v="2003-01-31T00:00:00"/>
    <s v="Shipped"/>
    <n v="1"/>
    <x v="7"/>
    <n v="2003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  <n v="3300"/>
  </r>
  <r>
    <n v="10115"/>
    <n v="27"/>
    <n v="100"/>
    <n v="3"/>
    <n v="2843.91"/>
    <d v="2003-04-04T00:00:00"/>
    <s v="Shipped"/>
    <n v="2"/>
    <x v="8"/>
    <n v="2003"/>
    <x v="2"/>
    <n v="115"/>
    <s v="S50_1392"/>
    <s v="Classic Legends Inc."/>
    <n v="2125558493"/>
    <s v="5905 Pompton St."/>
    <s v="Suite 750"/>
    <s v="NYC"/>
    <s v="NY"/>
    <n v="10022"/>
    <s v="USA"/>
    <s v="NA"/>
    <s v="Hernandez"/>
    <s v="Maria"/>
    <s v="Small"/>
    <n v="2700"/>
  </r>
  <r>
    <n v="10127"/>
    <n v="46"/>
    <n v="100"/>
    <n v="9"/>
    <n v="6176.42"/>
    <d v="2003-06-03T00:00:00"/>
    <s v="Shipped"/>
    <n v="2"/>
    <x v="9"/>
    <n v="2003"/>
    <x v="2"/>
    <n v="115"/>
    <s v="S50_1392"/>
    <s v="Muscle Machine Inc"/>
    <n v="2125557413"/>
    <s v="4092 Furth Circle"/>
    <s v="Suite 400"/>
    <s v="NYC"/>
    <s v="NY"/>
    <n v="10022"/>
    <s v="USA"/>
    <s v="NA"/>
    <s v="Young"/>
    <s v="Jeff"/>
    <s v="Medium"/>
    <n v="4600"/>
  </r>
  <r>
    <n v="10141"/>
    <n v="44"/>
    <n v="100"/>
    <n v="3"/>
    <n v="5500.44"/>
    <d v="2003-08-01T00:00:00"/>
    <s v="Shipped"/>
    <n v="3"/>
    <x v="3"/>
    <n v="2003"/>
    <x v="2"/>
    <n v="115"/>
    <s v="S50_1392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4400"/>
  </r>
  <r>
    <n v="10151"/>
    <n v="26"/>
    <n v="100"/>
    <n v="1"/>
    <n v="3220.1"/>
    <d v="2003-09-21T00:00:00"/>
    <s v="Shipped"/>
    <n v="3"/>
    <x v="10"/>
    <n v="2003"/>
    <x v="2"/>
    <n v="115"/>
    <s v="S50_1392"/>
    <s v="Oulu Toy Supplies, Inc."/>
    <s v="981-443655"/>
    <s v="Torikatu 38"/>
    <m/>
    <s v="Oulu"/>
    <m/>
    <n v="90110"/>
    <s v="Finland"/>
    <s v="EMEA"/>
    <s v="Koskitalo"/>
    <s v="Pirkko"/>
    <s v="Medium"/>
    <n v="2600"/>
  </r>
  <r>
    <n v="10165"/>
    <n v="48"/>
    <n v="94.92"/>
    <n v="10"/>
    <n v="4556.16"/>
    <d v="2003-10-22T00:00:00"/>
    <s v="Shipped"/>
    <n v="4"/>
    <x v="4"/>
    <n v="2003"/>
    <x v="2"/>
    <n v="115"/>
    <s v="S50_139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4556.16"/>
  </r>
  <r>
    <n v="10176"/>
    <n v="23"/>
    <n v="100"/>
    <n v="9"/>
    <n v="3114.89"/>
    <d v="2003-11-06T00:00:00"/>
    <s v="Shipped"/>
    <n v="4"/>
    <x v="5"/>
    <n v="2003"/>
    <x v="2"/>
    <n v="115"/>
    <s v="S50_1392"/>
    <s v="L'ordine Souveniers"/>
    <s v="0522-556555"/>
    <s v="Strada Provinciale 124"/>
    <m/>
    <s v="Reggio Emilia"/>
    <m/>
    <n v="42100"/>
    <s v="Italy"/>
    <s v="EMEA"/>
    <s v="Moroni"/>
    <s v="Maurizio"/>
    <s v="Medium"/>
    <n v="2300"/>
  </r>
  <r>
    <n v="10184"/>
    <n v="45"/>
    <n v="100"/>
    <n v="4"/>
    <n v="4948.2"/>
    <d v="2003-11-14T00:00:00"/>
    <s v="Shipped"/>
    <n v="4"/>
    <x v="5"/>
    <n v="2003"/>
    <x v="2"/>
    <n v="115"/>
    <s v="S50_1392"/>
    <s v="Iberia Gift Imports, Corp."/>
    <s v="(95) 555 82 82"/>
    <s v="C/ Romero, 33"/>
    <m/>
    <s v="Sevilla"/>
    <m/>
    <n v="41101"/>
    <s v="Spain"/>
    <s v="EMEA"/>
    <s v="Roel"/>
    <s v="Jose Pedro"/>
    <s v="Medium"/>
    <n v="4500"/>
  </r>
  <r>
    <n v="10195"/>
    <n v="49"/>
    <n v="100"/>
    <n v="4"/>
    <n v="5161.17"/>
    <d v="2003-11-25T00:00:00"/>
    <s v="Shipped"/>
    <n v="4"/>
    <x v="5"/>
    <n v="2003"/>
    <x v="2"/>
    <n v="115"/>
    <s v="S50_1392"/>
    <s v="Mini Classics"/>
    <n v="9145554562"/>
    <s v="3758 North Pendale Street"/>
    <m/>
    <s v="White Plains"/>
    <s v="NY"/>
    <n v="24067"/>
    <s v="USA"/>
    <s v="NA"/>
    <s v="Frick"/>
    <s v="Steve"/>
    <s v="Medium"/>
    <n v="4900"/>
  </r>
  <r>
    <n v="10207"/>
    <n v="28"/>
    <n v="94.92"/>
    <n v="5"/>
    <n v="2657.76"/>
    <d v="2003-12-09T00:00:00"/>
    <s v="Shipped"/>
    <n v="4"/>
    <x v="6"/>
    <n v="2003"/>
    <x v="2"/>
    <n v="115"/>
    <s v="S50_1392"/>
    <s v="Diecast Collectables"/>
    <n v="6175552555"/>
    <s v="6251 Ingle Ln."/>
    <m/>
    <s v="Boston"/>
    <s v="MA"/>
    <n v="51003"/>
    <s v="USA"/>
    <s v="NA"/>
    <s v="Franco"/>
    <s v="Valarie"/>
    <s v="Small"/>
    <n v="2657.76"/>
  </r>
  <r>
    <n v="10220"/>
    <n v="37"/>
    <n v="100"/>
    <n v="9"/>
    <n v="3983.05"/>
    <d v="2004-02-12T00:00:00"/>
    <s v="Shipped"/>
    <n v="1"/>
    <x v="0"/>
    <n v="2004"/>
    <x v="2"/>
    <n v="115"/>
    <s v="S50_1392"/>
    <s v="Clover Collections, Co."/>
    <s v="+353 1862 1555"/>
    <s v="25 Maiden Lane"/>
    <s v="Floor No. 4"/>
    <s v="Dublin"/>
    <m/>
    <n v="2"/>
    <s v="Ireland"/>
    <s v="EMEA"/>
    <s v="Cassidy"/>
    <s v="Dean"/>
    <s v="Medium"/>
    <n v="3700"/>
  </r>
  <r>
    <n v="10230"/>
    <n v="34"/>
    <n v="100"/>
    <n v="7"/>
    <n v="3974.94"/>
    <d v="2004-03-15T00:00:00"/>
    <s v="Shipped"/>
    <n v="1"/>
    <x v="11"/>
    <n v="2004"/>
    <x v="2"/>
    <n v="115"/>
    <s v="S50_1392"/>
    <s v="Blauer See Auto, Co."/>
    <s v="+49 69 66 90 2555"/>
    <s v="Lyonerstr. 34"/>
    <m/>
    <s v="Frankfurt"/>
    <m/>
    <n v="60528"/>
    <s v="Germany"/>
    <s v="EMEA"/>
    <s v="Keitel"/>
    <s v="Roland"/>
    <s v="Medium"/>
    <n v="3400"/>
  </r>
  <r>
    <n v="10246"/>
    <n v="22"/>
    <n v="100"/>
    <n v="3"/>
    <n v="2928.42"/>
    <d v="2004-05-05T00:00:00"/>
    <s v="Shipped"/>
    <n v="2"/>
    <x v="1"/>
    <n v="2004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Small"/>
    <n v="2200"/>
  </r>
  <r>
    <n v="10259"/>
    <n v="29"/>
    <n v="100"/>
    <n v="2"/>
    <n v="3054.57"/>
    <d v="2004-06-15T00:00:00"/>
    <s v="Shipped"/>
    <n v="2"/>
    <x v="9"/>
    <n v="2004"/>
    <x v="2"/>
    <n v="115"/>
    <s v="S50_139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  <n v="2900"/>
  </r>
  <r>
    <n v="10271"/>
    <n v="34"/>
    <n v="98.39"/>
    <n v="3"/>
    <n v="3345.26"/>
    <d v="2004-07-20T00:00:00"/>
    <s v="Shipped"/>
    <n v="3"/>
    <x v="2"/>
    <n v="2004"/>
    <x v="2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Medium"/>
    <n v="3345.26"/>
  </r>
  <r>
    <n v="10282"/>
    <n v="38"/>
    <n v="100"/>
    <n v="12"/>
    <n v="4310.72"/>
    <d v="2004-08-20T00:00:00"/>
    <s v="Shipped"/>
    <n v="3"/>
    <x v="3"/>
    <n v="2004"/>
    <x v="2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Medium"/>
    <n v="3800"/>
  </r>
  <r>
    <n v="10292"/>
    <n v="41"/>
    <n v="100"/>
    <n v="6"/>
    <n v="4983.1400000000003"/>
    <d v="2004-09-08T00:00:00"/>
    <s v="Shipped"/>
    <n v="3"/>
    <x v="10"/>
    <n v="2004"/>
    <x v="2"/>
    <n v="115"/>
    <s v="S50_1392"/>
    <s v="Land of Toys Inc."/>
    <n v="2125557818"/>
    <s v="897 Long Airport Avenue"/>
    <m/>
    <s v="NYC"/>
    <s v="NY"/>
    <n v="10022"/>
    <s v="USA"/>
    <s v="NA"/>
    <s v="Yu"/>
    <s v="Kwai"/>
    <s v="Medium"/>
    <n v="4100"/>
  </r>
  <r>
    <n v="10305"/>
    <n v="42"/>
    <n v="100"/>
    <n v="3"/>
    <n v="4618.32"/>
    <d v="2004-10-13T00:00:00"/>
    <s v="Shipped"/>
    <n v="4"/>
    <x v="4"/>
    <n v="2004"/>
    <x v="2"/>
    <n v="115"/>
    <s v="S50_1392"/>
    <s v="Marta's Replicas Co."/>
    <n v="6175558555"/>
    <s v="39323 Spinnaker Dr."/>
    <m/>
    <s v="Cambridge"/>
    <s v="MA"/>
    <n v="51247"/>
    <s v="USA"/>
    <s v="NA"/>
    <s v="Hernandez"/>
    <s v="Marta"/>
    <s v="Medium"/>
    <n v="4200"/>
  </r>
  <r>
    <n v="10314"/>
    <n v="28"/>
    <n v="100"/>
    <n v="12"/>
    <n v="3403.12"/>
    <d v="2004-10-22T00:00:00"/>
    <s v="Shipped"/>
    <n v="4"/>
    <x v="4"/>
    <n v="2004"/>
    <x v="2"/>
    <n v="115"/>
    <s v="S50_1392"/>
    <s v="Heintze Collectables"/>
    <s v="86 21 3555"/>
    <s v="Smagsloget 45"/>
    <m/>
    <s v="Aaarhus"/>
    <m/>
    <n v="8200"/>
    <s v="Denmark"/>
    <s v="EMEA"/>
    <s v="Ibsen"/>
    <s v="Palle"/>
    <s v="Medium"/>
    <n v="2800"/>
  </r>
  <r>
    <n v="10325"/>
    <n v="38"/>
    <n v="100"/>
    <n v="4"/>
    <n v="5190.42"/>
    <d v="2004-11-05T00:00:00"/>
    <s v="Shipped"/>
    <n v="4"/>
    <x v="5"/>
    <n v="2004"/>
    <x v="2"/>
    <n v="115"/>
    <s v="S50_1392"/>
    <s v="Baane Mini Imports"/>
    <s v="07-98 9555"/>
    <s v="Erling Skakkes gate 78"/>
    <m/>
    <s v="Stavern"/>
    <m/>
    <n v="4110"/>
    <s v="Norway"/>
    <s v="EMEA"/>
    <s v="Bergulfsen"/>
    <s v="Jonas"/>
    <s v="Medium"/>
    <n v="3800"/>
  </r>
  <r>
    <n v="10336"/>
    <n v="23"/>
    <n v="100"/>
    <n v="8"/>
    <n v="3141.57"/>
    <d v="2004-11-20T00:00:00"/>
    <s v="Shipped"/>
    <n v="4"/>
    <x v="5"/>
    <n v="2004"/>
    <x v="2"/>
    <n v="115"/>
    <s v="S50_1392"/>
    <s v="La Corne D'abondance, Co."/>
    <s v="(1) 42.34.2555"/>
    <s v="265, boulevard Charonne"/>
    <m/>
    <s v="Paris"/>
    <m/>
    <n v="75012"/>
    <s v="France"/>
    <s v="EMEA"/>
    <s v="Bertrand"/>
    <s v="Marie"/>
    <s v="Medium"/>
    <n v="2300"/>
  </r>
  <r>
    <n v="10350"/>
    <n v="31"/>
    <n v="71.400000000000006"/>
    <n v="8"/>
    <n v="2213.4"/>
    <d v="2004-12-02T00:00:00"/>
    <s v="Shipped"/>
    <n v="4"/>
    <x v="6"/>
    <n v="2004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Small"/>
    <n v="2213.4"/>
  </r>
  <r>
    <n v="10359"/>
    <n v="46"/>
    <n v="100"/>
    <n v="2"/>
    <n v="4896.7"/>
    <d v="2004-12-15T00:00:00"/>
    <s v="Shipped"/>
    <n v="4"/>
    <x v="6"/>
    <n v="2004"/>
    <x v="2"/>
    <n v="115"/>
    <s v="S50_1392"/>
    <s v="Reims Collectables"/>
    <s v="26.47.1555"/>
    <s v="59 rue de l'Abbaye"/>
    <m/>
    <s v="Reims"/>
    <m/>
    <n v="51100"/>
    <s v="France"/>
    <s v="EMEA"/>
    <s v="Henriot"/>
    <s v="Paul"/>
    <s v="Medium"/>
    <n v="4600"/>
  </r>
  <r>
    <n v="10371"/>
    <n v="48"/>
    <n v="56.55"/>
    <n v="10"/>
    <n v="2714.4"/>
    <d v="2005-01-23T00:00:00"/>
    <s v="Shipped"/>
    <n v="1"/>
    <x v="7"/>
    <n v="2005"/>
    <x v="2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Small"/>
    <n v="2714.3999999999996"/>
  </r>
  <r>
    <n v="10383"/>
    <n v="29"/>
    <n v="100"/>
    <n v="13"/>
    <n v="3087.05"/>
    <d v="2005-02-22T00:00:00"/>
    <s v="Shipped"/>
    <n v="1"/>
    <x v="0"/>
    <n v="2005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  <n v="2900"/>
  </r>
  <r>
    <n v="10395"/>
    <n v="46"/>
    <n v="100"/>
    <n v="4"/>
    <n v="5692.96"/>
    <d v="2005-03-17T00:00:00"/>
    <s v="Shipped"/>
    <n v="1"/>
    <x v="11"/>
    <n v="2005"/>
    <x v="2"/>
    <n v="115"/>
    <s v="S50_1392"/>
    <s v="Lyon Souveniers"/>
    <s v="+33 1 46 62 7555"/>
    <s v="27 rue du Colonel Pierre Avia"/>
    <m/>
    <s v="Paris"/>
    <m/>
    <n v="75508"/>
    <s v="France"/>
    <s v="EMEA"/>
    <s v="Da Cunha"/>
    <s v="Daniel"/>
    <s v="Medium"/>
    <n v="4600"/>
  </r>
  <r>
    <n v="10412"/>
    <n v="26"/>
    <n v="100"/>
    <n v="3"/>
    <n v="3460.86"/>
    <d v="2005-05-03T00:00:00"/>
    <s v="Shipped"/>
    <n v="2"/>
    <x v="1"/>
    <n v="2005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  <n v="2600"/>
  </r>
  <r>
    <n v="10425"/>
    <n v="18"/>
    <n v="100"/>
    <n v="2"/>
    <n v="1895.94"/>
    <d v="2005-05-31T00:00:00"/>
    <s v="In Process"/>
    <n v="2"/>
    <x v="1"/>
    <n v="2005"/>
    <x v="2"/>
    <n v="115"/>
    <s v="S50_1392"/>
    <s v="La Rochelle Gifts"/>
    <s v="40.67.8555"/>
    <s v="67, rue des Cinquante Otages"/>
    <m/>
    <s v="Nantes"/>
    <m/>
    <n v="44000"/>
    <s v="France"/>
    <s v="EMEA"/>
    <s v="Labrune"/>
    <s v="Janine"/>
    <s v="Small"/>
    <n v="1800"/>
  </r>
  <r>
    <n v="10104"/>
    <n v="32"/>
    <n v="53.31"/>
    <n v="2"/>
    <n v="1705.92"/>
    <d v="2003-01-31T00:00:00"/>
    <s v="Shipped"/>
    <n v="1"/>
    <x v="7"/>
    <n v="2003"/>
    <x v="6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  <n v="1705.92"/>
  </r>
  <r>
    <n v="10117"/>
    <n v="21"/>
    <n v="49.21"/>
    <n v="11"/>
    <n v="1033.4100000000001"/>
    <d v="2003-04-16T00:00:00"/>
    <s v="Shipped"/>
    <n v="2"/>
    <x v="8"/>
    <n v="2003"/>
    <x v="6"/>
    <n v="58"/>
    <s v="S50_151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1033.4100000000001"/>
  </r>
  <r>
    <n v="10127"/>
    <n v="46"/>
    <n v="69.12"/>
    <n v="4"/>
    <n v="3179.52"/>
    <d v="2003-06-03T00:00:00"/>
    <s v="Shipped"/>
    <n v="2"/>
    <x v="9"/>
    <n v="2003"/>
    <x v="6"/>
    <n v="58"/>
    <s v="S50_1514"/>
    <s v="Muscle Machine Inc"/>
    <n v="2125557413"/>
    <s v="4092 Furth Circle"/>
    <s v="Suite 400"/>
    <s v="NYC"/>
    <s v="NY"/>
    <n v="10022"/>
    <s v="USA"/>
    <s v="NA"/>
    <s v="Young"/>
    <s v="Jeff"/>
    <s v="Medium"/>
    <n v="3179.5200000000004"/>
  </r>
  <r>
    <n v="10142"/>
    <n v="42"/>
    <n v="49.79"/>
    <n v="14"/>
    <n v="2091.1799999999998"/>
    <d v="2003-08-08T00:00:00"/>
    <s v="Shipped"/>
    <n v="3"/>
    <x v="3"/>
    <n v="2003"/>
    <x v="6"/>
    <n v="58"/>
    <s v="S50_1514"/>
    <s v="Mini Gifts Distributors Ltd."/>
    <n v="4155551450"/>
    <s v="5677 Strong St."/>
    <m/>
    <s v="San Rafael"/>
    <s v="CA"/>
    <n v="97562"/>
    <s v="USA"/>
    <s v="NA"/>
    <s v="Nelson"/>
    <s v="Valarie"/>
    <s v="Small"/>
    <n v="2091.1799999999998"/>
  </r>
  <r>
    <n v="10153"/>
    <n v="31"/>
    <n v="57.41"/>
    <n v="13"/>
    <n v="1779.71"/>
    <d v="2003-09-28T00:00:00"/>
    <s v="Shipped"/>
    <n v="3"/>
    <x v="10"/>
    <n v="2003"/>
    <x v="6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  <n v="1779.7099999999998"/>
  </r>
  <r>
    <n v="10165"/>
    <n v="38"/>
    <n v="66.78"/>
    <n v="5"/>
    <n v="2537.64"/>
    <d v="2003-10-22T00:00:00"/>
    <s v="Shipped"/>
    <n v="4"/>
    <x v="4"/>
    <n v="2003"/>
    <x v="6"/>
    <n v="58"/>
    <s v="S50_151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537.64"/>
  </r>
  <r>
    <n v="10176"/>
    <n v="38"/>
    <n v="64.44"/>
    <n v="4"/>
    <n v="2448.7199999999998"/>
    <d v="2003-11-06T00:00:00"/>
    <s v="Shipped"/>
    <n v="4"/>
    <x v="5"/>
    <n v="2003"/>
    <x v="6"/>
    <n v="58"/>
    <s v="S50_1514"/>
    <s v="L'ordine Souveniers"/>
    <s v="0522-556555"/>
    <s v="Strada Provinciale 124"/>
    <m/>
    <s v="Reggio Emilia"/>
    <m/>
    <n v="42100"/>
    <s v="Italy"/>
    <s v="EMEA"/>
    <s v="Moroni"/>
    <s v="Maurizio"/>
    <s v="Small"/>
    <n v="2448.7199999999998"/>
  </r>
  <r>
    <n v="10185"/>
    <n v="20"/>
    <n v="48.62"/>
    <n v="15"/>
    <n v="972.4"/>
    <d v="2003-11-14T00:00:00"/>
    <s v="Shipped"/>
    <n v="4"/>
    <x v="5"/>
    <n v="2003"/>
    <x v="6"/>
    <n v="58"/>
    <s v="S50_1514"/>
    <s v="Mini Creations Ltd."/>
    <n v="5085559555"/>
    <s v="4575 Hillside Dr."/>
    <m/>
    <s v="New Bedford"/>
    <s v="MA"/>
    <n v="50553"/>
    <s v="USA"/>
    <s v="NA"/>
    <s v="Tam"/>
    <s v="Wing C"/>
    <s v="Small"/>
    <n v="972.4"/>
  </r>
  <r>
    <n v="10196"/>
    <n v="46"/>
    <n v="62.09"/>
    <n v="7"/>
    <n v="2856.14"/>
    <d v="2003-11-26T00:00:00"/>
    <s v="Shipped"/>
    <n v="4"/>
    <x v="5"/>
    <n v="2003"/>
    <x v="6"/>
    <n v="58"/>
    <s v="S50_1514"/>
    <s v="Super Scale Inc."/>
    <n v="2035559545"/>
    <s v="567 North Pendale Street"/>
    <m/>
    <s v="New Haven"/>
    <s v="CT"/>
    <n v="97823"/>
    <s v="USA"/>
    <s v="NA"/>
    <s v="Murphy"/>
    <s v="Leslie"/>
    <s v="Small"/>
    <n v="2856.1400000000003"/>
  </r>
  <r>
    <n v="10208"/>
    <n v="30"/>
    <n v="65.61"/>
    <n v="15"/>
    <n v="1968.3"/>
    <d v="2004-01-02T00:00:00"/>
    <s v="Shipped"/>
    <n v="1"/>
    <x v="7"/>
    <n v="2004"/>
    <x v="6"/>
    <n v="58"/>
    <s v="S50_1514"/>
    <s v="Saveley &amp; Henriot, Co."/>
    <s v="78.32.5555"/>
    <s v="2, rue du Commerce"/>
    <m/>
    <s v="Lyon"/>
    <m/>
    <n v="69004"/>
    <s v="France"/>
    <s v="EMEA"/>
    <s v="Saveley"/>
    <s v="Mary"/>
    <s v="Small"/>
    <n v="1968.3"/>
  </r>
  <r>
    <n v="10220"/>
    <n v="30"/>
    <n v="68.540000000000006"/>
    <n v="4"/>
    <n v="2056.1999999999998"/>
    <d v="2004-02-12T00:00:00"/>
    <s v="Shipped"/>
    <n v="1"/>
    <x v="0"/>
    <n v="2004"/>
    <x v="6"/>
    <n v="58"/>
    <s v="S50_1514"/>
    <s v="Clover Collections, Co."/>
    <s v="+353 1862 1555"/>
    <s v="25 Maiden Lane"/>
    <s v="Floor No. 4"/>
    <s v="Dublin"/>
    <m/>
    <n v="2"/>
    <s v="Ireland"/>
    <s v="EMEA"/>
    <s v="Cassidy"/>
    <s v="Dean"/>
    <s v="Small"/>
    <n v="2056.2000000000003"/>
  </r>
  <r>
    <n v="10230"/>
    <n v="43"/>
    <n v="52.14"/>
    <n v="2"/>
    <n v="2242.02"/>
    <d v="2004-03-15T00:00:00"/>
    <s v="Shipped"/>
    <n v="1"/>
    <x v="11"/>
    <n v="2004"/>
    <x v="6"/>
    <n v="58"/>
    <s v="S50_1514"/>
    <s v="Blauer See Auto, Co."/>
    <s v="+49 69 66 90 2555"/>
    <s v="Lyonerstr. 34"/>
    <m/>
    <s v="Frankfurt"/>
    <m/>
    <n v="60528"/>
    <s v="Germany"/>
    <s v="EMEA"/>
    <s v="Keitel"/>
    <s v="Roland"/>
    <s v="Small"/>
    <n v="2242.02"/>
  </r>
  <r>
    <n v="10247"/>
    <n v="49"/>
    <n v="63.85"/>
    <n v="4"/>
    <n v="3128.65"/>
    <d v="2004-05-05T00:00:00"/>
    <s v="Shipped"/>
    <n v="2"/>
    <x v="1"/>
    <n v="2004"/>
    <x v="6"/>
    <n v="58"/>
    <s v="S50_1514"/>
    <s v="Suominen Souveniers"/>
    <s v="+358 9 8045 555"/>
    <s v="Software Engineering Center, SEC Oy"/>
    <m/>
    <s v="Espoo"/>
    <m/>
    <s v="FIN-02271"/>
    <s v="Finland"/>
    <s v="EMEA"/>
    <s v="Suominen"/>
    <s v="Kalle"/>
    <s v="Medium"/>
    <n v="3128.65"/>
  </r>
  <r>
    <n v="10272"/>
    <n v="43"/>
    <n v="56.82"/>
    <n v="4"/>
    <n v="2443.2600000000002"/>
    <d v="2004-07-20T00:00:00"/>
    <s v="Shipped"/>
    <n v="3"/>
    <x v="2"/>
    <n v="2004"/>
    <x v="6"/>
    <n v="58"/>
    <s v="S50_1514"/>
    <s v="Diecast Classics Inc."/>
    <n v="2155551555"/>
    <s v="7586 Pompton St."/>
    <m/>
    <s v="Allentown"/>
    <s v="PA"/>
    <n v="70267"/>
    <s v="USA"/>
    <s v="NA"/>
    <s v="Yu"/>
    <s v="Kyung"/>
    <s v="Small"/>
    <n v="2443.2600000000002"/>
  </r>
  <r>
    <n v="10282"/>
    <n v="37"/>
    <n v="66.78"/>
    <n v="7"/>
    <n v="2470.86"/>
    <d v="2004-08-20T00:00:00"/>
    <s v="Shipped"/>
    <n v="3"/>
    <x v="3"/>
    <n v="2004"/>
    <x v="6"/>
    <n v="58"/>
    <s v="S50_1514"/>
    <s v="Mini Gifts Distributors Ltd."/>
    <n v="4155551450"/>
    <s v="5677 Strong St."/>
    <m/>
    <s v="San Rafael"/>
    <s v="CA"/>
    <n v="97562"/>
    <s v="USA"/>
    <s v="NA"/>
    <s v="Nelson"/>
    <s v="Valarie"/>
    <s v="Small"/>
    <n v="2470.86"/>
  </r>
  <r>
    <n v="10292"/>
    <n v="35"/>
    <n v="55.07"/>
    <n v="1"/>
    <n v="1927.45"/>
    <d v="2004-09-08T00:00:00"/>
    <s v="Shipped"/>
    <n v="3"/>
    <x v="10"/>
    <n v="2004"/>
    <x v="6"/>
    <n v="58"/>
    <s v="S50_1514"/>
    <s v="Land of Toys Inc."/>
    <n v="2125557818"/>
    <s v="897 Long Airport Avenue"/>
    <m/>
    <s v="NYC"/>
    <s v="NY"/>
    <n v="10022"/>
    <s v="USA"/>
    <s v="NA"/>
    <s v="Yu"/>
    <s v="Kwai"/>
    <s v="Small"/>
    <n v="1927.45"/>
  </r>
  <r>
    <n v="10306"/>
    <n v="34"/>
    <n v="60.34"/>
    <n v="15"/>
    <n v="2051.56"/>
    <d v="2004-10-14T00:00:00"/>
    <s v="Shipped"/>
    <n v="4"/>
    <x v="4"/>
    <n v="2004"/>
    <x v="6"/>
    <n v="58"/>
    <s v="S50_1514"/>
    <s v="AV Stores, Co."/>
    <s v="(171) 555-1555"/>
    <s v="Fauntleroy Circus"/>
    <m/>
    <s v="Manchester"/>
    <m/>
    <s v="EC2 5NT"/>
    <s v="UK"/>
    <s v="EMEA"/>
    <s v="Ashworth"/>
    <s v="Victoria"/>
    <s v="Small"/>
    <n v="2051.56"/>
  </r>
  <r>
    <n v="10314"/>
    <n v="38"/>
    <n v="61.51"/>
    <n v="7"/>
    <n v="2337.38"/>
    <d v="2004-10-22T00:00:00"/>
    <s v="Shipped"/>
    <n v="4"/>
    <x v="4"/>
    <n v="2004"/>
    <x v="6"/>
    <n v="58"/>
    <s v="S50_1514"/>
    <s v="Heintze Collectables"/>
    <s v="86 21 3555"/>
    <s v="Smagsloget 45"/>
    <m/>
    <s v="Aaarhus"/>
    <m/>
    <n v="8200"/>
    <s v="Denmark"/>
    <s v="EMEA"/>
    <s v="Ibsen"/>
    <s v="Palle"/>
    <s v="Small"/>
    <n v="2337.38"/>
  </r>
  <r>
    <n v="10325"/>
    <n v="44"/>
    <n v="100"/>
    <n v="7"/>
    <n v="5932.96"/>
    <d v="2004-11-05T00:00:00"/>
    <s v="Shipped"/>
    <n v="4"/>
    <x v="5"/>
    <n v="2004"/>
    <x v="6"/>
    <n v="58"/>
    <s v="S50_1514"/>
    <s v="Baane Mini Imports"/>
    <s v="07-98 9555"/>
    <s v="Erling Skakkes gate 78"/>
    <m/>
    <s v="Stavern"/>
    <m/>
    <n v="4110"/>
    <s v="Norway"/>
    <s v="EMEA"/>
    <s v="Bergulfsen"/>
    <s v="Jonas"/>
    <s v="Medium"/>
    <n v="4400"/>
  </r>
  <r>
    <n v="10337"/>
    <n v="21"/>
    <n v="100"/>
    <n v="6"/>
    <n v="2296.77"/>
    <d v="2004-11-21T00:00:00"/>
    <s v="Shipped"/>
    <n v="4"/>
    <x v="5"/>
    <n v="2004"/>
    <x v="6"/>
    <n v="58"/>
    <s v="S50_1514"/>
    <s v="Classic Legends Inc."/>
    <n v="2125558493"/>
    <s v="5905 Pompton St."/>
    <s v="Suite 750"/>
    <s v="NYC"/>
    <s v="NY"/>
    <n v="10022"/>
    <s v="USA"/>
    <s v="NA"/>
    <s v="Hernandez"/>
    <s v="Maria"/>
    <s v="Small"/>
    <n v="2100"/>
  </r>
  <r>
    <n v="10350"/>
    <n v="44"/>
    <n v="100"/>
    <n v="17"/>
    <n v="6490.88"/>
    <d v="2004-12-02T00:00:00"/>
    <s v="Shipped"/>
    <n v="4"/>
    <x v="6"/>
    <n v="2004"/>
    <x v="6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Medium"/>
    <n v="4400"/>
  </r>
  <r>
    <n v="10359"/>
    <n v="25"/>
    <n v="64.930000000000007"/>
    <n v="4"/>
    <n v="1623.25"/>
    <d v="2004-12-15T00:00:00"/>
    <s v="Shipped"/>
    <n v="4"/>
    <x v="6"/>
    <n v="2004"/>
    <x v="6"/>
    <n v="58"/>
    <s v="S50_1514"/>
    <s v="Reims Collectables"/>
    <s v="26.47.1555"/>
    <s v="59 rue de l'Abbaye"/>
    <m/>
    <s v="Reims"/>
    <m/>
    <n v="51100"/>
    <s v="France"/>
    <s v="EMEA"/>
    <s v="Henriot"/>
    <s v="Paul"/>
    <s v="Small"/>
    <n v="1623.2500000000002"/>
  </r>
  <r>
    <n v="10372"/>
    <n v="24"/>
    <n v="58.58"/>
    <n v="9"/>
    <n v="1405.92"/>
    <d v="2005-01-26T00:00:00"/>
    <s v="Shipped"/>
    <n v="1"/>
    <x v="7"/>
    <n v="2005"/>
    <x v="6"/>
    <n v="58"/>
    <s v="S50_1514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1405.92"/>
  </r>
  <r>
    <n v="10383"/>
    <n v="38"/>
    <n v="60.06"/>
    <n v="10"/>
    <n v="2282.2800000000002"/>
    <d v="2005-02-22T00:00:00"/>
    <s v="Shipped"/>
    <n v="1"/>
    <x v="0"/>
    <n v="2005"/>
    <x v="6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  <n v="2282.2800000000002"/>
  </r>
  <r>
    <n v="10395"/>
    <n v="45"/>
    <n v="100"/>
    <n v="3"/>
    <n v="8977.0499999999993"/>
    <d v="2005-03-17T00:00:00"/>
    <s v="Shipped"/>
    <n v="1"/>
    <x v="11"/>
    <n v="2005"/>
    <x v="6"/>
    <n v="58"/>
    <s v="S50_1514"/>
    <s v="Lyon Souveniers"/>
    <s v="+33 1 46 62 7555"/>
    <s v="27 rue du Colonel Pierre Avia"/>
    <m/>
    <s v="Paris"/>
    <m/>
    <n v="75508"/>
    <s v="France"/>
    <s v="EMEA"/>
    <s v="Da Cunha"/>
    <s v="Daniel"/>
    <s v="Large"/>
    <n v="4500"/>
  </r>
  <r>
    <n v="10413"/>
    <n v="51"/>
    <n v="63.85"/>
    <n v="4"/>
    <n v="3256.35"/>
    <d v="2005-05-05T00:00:00"/>
    <s v="Shipped"/>
    <n v="2"/>
    <x v="1"/>
    <n v="2005"/>
    <x v="6"/>
    <n v="58"/>
    <s v="S50_1514"/>
    <s v="Gift Depot Inc."/>
    <n v="2035552570"/>
    <s v="25593 South Bay Ln."/>
    <m/>
    <s v="Bridgewater"/>
    <s v="CT"/>
    <n v="97562"/>
    <s v="USA"/>
    <s v="NA"/>
    <s v="King"/>
    <s v="Julie"/>
    <s v="Medium"/>
    <n v="3256.35"/>
  </r>
  <r>
    <n v="10108"/>
    <n v="34"/>
    <n v="82.99"/>
    <n v="14"/>
    <n v="2821.66"/>
    <d v="2003-03-03T00:00:00"/>
    <s v="Shipped"/>
    <n v="1"/>
    <x v="11"/>
    <n v="2003"/>
    <x v="0"/>
    <n v="81"/>
    <s v="S50_4713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2821.66"/>
  </r>
  <r>
    <n v="10121"/>
    <n v="44"/>
    <n v="74.849999999999994"/>
    <n v="1"/>
    <n v="3293.4"/>
    <d v="2003-05-07T00:00:00"/>
    <s v="Shipped"/>
    <n v="2"/>
    <x v="1"/>
    <n v="2003"/>
    <x v="0"/>
    <n v="81"/>
    <s v="S50_4713"/>
    <s v="Reims Collectables"/>
    <s v="26.47.1555"/>
    <s v="59 rue de l'Abbaye"/>
    <m/>
    <s v="Reims"/>
    <m/>
    <n v="51100"/>
    <s v="France"/>
    <s v="EMEA"/>
    <s v="Henriot"/>
    <s v="Paul"/>
    <s v="Medium"/>
    <n v="3293.3999999999996"/>
  </r>
  <r>
    <n v="10135"/>
    <n v="44"/>
    <n v="96"/>
    <n v="15"/>
    <n v="4224"/>
    <d v="2003-07-02T00:00:00"/>
    <s v="Shipped"/>
    <n v="3"/>
    <x v="2"/>
    <n v="2003"/>
    <x v="0"/>
    <n v="81"/>
    <s v="S50_4713"/>
    <s v="Mini Gifts Distributors Ltd."/>
    <n v="4155551450"/>
    <s v="5677 Strong St."/>
    <m/>
    <s v="San Rafael"/>
    <s v="CA"/>
    <n v="97562"/>
    <s v="USA"/>
    <s v="NA"/>
    <s v="Nelson"/>
    <s v="Valarie"/>
    <s v="Medium"/>
    <n v="4224"/>
  </r>
  <r>
    <n v="10145"/>
    <n v="38"/>
    <n v="81.36"/>
    <n v="2"/>
    <n v="3091.68"/>
    <d v="2003-08-25T00:00:00"/>
    <s v="Shipped"/>
    <n v="3"/>
    <x v="3"/>
    <n v="2003"/>
    <x v="0"/>
    <n v="81"/>
    <s v="S50_4713"/>
    <s v="Toys4GrownUps.com"/>
    <n v="6265557265"/>
    <s v="78934 Hillside Dr."/>
    <m/>
    <s v="Pasadena"/>
    <s v="CA"/>
    <n v="90003"/>
    <s v="USA"/>
    <s v="NA"/>
    <s v="Young"/>
    <s v="Julie"/>
    <s v="Medium"/>
    <n v="3091.68"/>
  </r>
  <r>
    <n v="10159"/>
    <n v="31"/>
    <n v="71.599999999999994"/>
    <n v="10"/>
    <n v="2219.6"/>
    <d v="2003-10-10T00:00:00"/>
    <s v="Shipped"/>
    <n v="4"/>
    <x v="4"/>
    <n v="2003"/>
    <x v="0"/>
    <n v="81"/>
    <s v="S50_4713"/>
    <s v="Corporate Gift Ideas Co."/>
    <n v="6505551386"/>
    <s v="7734 Strong St."/>
    <m/>
    <s v="San Francisco"/>
    <s v="CA"/>
    <m/>
    <s v="USA"/>
    <s v="NA"/>
    <s v="Brown"/>
    <s v="Julie"/>
    <s v="Small"/>
    <n v="2219.6"/>
  </r>
  <r>
    <n v="10169"/>
    <n v="48"/>
    <n v="80.55"/>
    <n v="10"/>
    <n v="3866.4"/>
    <d v="2003-11-04T00:00:00"/>
    <s v="Shipped"/>
    <n v="4"/>
    <x v="5"/>
    <n v="2003"/>
    <x v="0"/>
    <n v="81"/>
    <s v="S50_4713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  <n v="3866.3999999999996"/>
  </r>
  <r>
    <n v="10180"/>
    <n v="21"/>
    <n v="93.56"/>
    <n v="5"/>
    <n v="1964.76"/>
    <d v="2003-11-11T00:00:00"/>
    <s v="Shipped"/>
    <n v="4"/>
    <x v="5"/>
    <n v="2003"/>
    <x v="0"/>
    <n v="81"/>
    <s v="S50_4713"/>
    <s v="Daedalus Designs Imports"/>
    <s v="20.16.1555"/>
    <s v="184, chausse de Tournai"/>
    <m/>
    <s v="Lille"/>
    <m/>
    <n v="59000"/>
    <s v="France"/>
    <s v="EMEA"/>
    <s v="Rance"/>
    <s v="Martine"/>
    <s v="Small"/>
    <n v="1964.76"/>
  </r>
  <r>
    <n v="10190"/>
    <n v="40"/>
    <n v="66.72"/>
    <n v="2"/>
    <n v="2668.8"/>
    <d v="2003-11-19T00:00:00"/>
    <s v="Shipped"/>
    <n v="4"/>
    <x v="5"/>
    <n v="2003"/>
    <x v="0"/>
    <n v="81"/>
    <s v="S50_4713"/>
    <s v="Euro Shopping Channel"/>
    <s v="(91) 555 94 44"/>
    <s v="C/ Moralzarzal, 86"/>
    <m/>
    <s v="Madrid"/>
    <m/>
    <n v="28034"/>
    <s v="Spain"/>
    <s v="EMEA"/>
    <s v="Freyre"/>
    <s v="Diego"/>
    <s v="Small"/>
    <n v="2668.8"/>
  </r>
  <r>
    <n v="10211"/>
    <n v="40"/>
    <n v="80.55"/>
    <n v="10"/>
    <n v="3222"/>
    <d v="2004-01-15T00:00:00"/>
    <s v="Shipped"/>
    <n v="1"/>
    <x v="7"/>
    <n v="2004"/>
    <x v="0"/>
    <n v="81"/>
    <s v="S50_4713"/>
    <s v="Auto Canal Petit"/>
    <s v="(1) 47.55.6555"/>
    <s v="25, rue Lauriston"/>
    <m/>
    <s v="Paris"/>
    <m/>
    <n v="75016"/>
    <s v="France"/>
    <s v="EMEA"/>
    <s v="Perrier"/>
    <s v="Dominique"/>
    <s v="Medium"/>
    <n v="3222"/>
  </r>
  <r>
    <n v="10224"/>
    <n v="50"/>
    <n v="77.290000000000006"/>
    <n v="3"/>
    <n v="3864.5"/>
    <d v="2004-02-21T00:00:00"/>
    <s v="Shipped"/>
    <n v="1"/>
    <x v="0"/>
    <n v="2004"/>
    <x v="0"/>
    <n v="81"/>
    <s v="S50_4713"/>
    <s v="Daedalus Designs Imports"/>
    <s v="20.16.1555"/>
    <s v="184, chausse de Tournai"/>
    <m/>
    <s v="Lille"/>
    <m/>
    <n v="59000"/>
    <s v="France"/>
    <s v="EMEA"/>
    <s v="Rance"/>
    <s v="Martine"/>
    <s v="Medium"/>
    <n v="3864.5000000000005"/>
  </r>
  <r>
    <n v="10237"/>
    <n v="20"/>
    <n v="68.34"/>
    <n v="3"/>
    <n v="1366.8"/>
    <d v="2004-04-05T00:00:00"/>
    <s v="Shipped"/>
    <n v="2"/>
    <x v="8"/>
    <n v="2004"/>
    <x v="0"/>
    <n v="81"/>
    <s v="S50_4713"/>
    <s v="Vitachrome Inc."/>
    <n v="2125551500"/>
    <s v="2678 Kingston Rd."/>
    <s v="Suite 101"/>
    <s v="NYC"/>
    <s v="NY"/>
    <n v="10022"/>
    <s v="USA"/>
    <s v="NA"/>
    <s v="Frick"/>
    <s v="Michael"/>
    <s v="Small"/>
    <n v="1366.8000000000002"/>
  </r>
  <r>
    <n v="10252"/>
    <n v="48"/>
    <n v="72.41"/>
    <n v="7"/>
    <n v="3475.68"/>
    <d v="2004-05-26T00:00:00"/>
    <s v="Shipped"/>
    <n v="2"/>
    <x v="1"/>
    <n v="2004"/>
    <x v="0"/>
    <n v="81"/>
    <s v="S50_4713"/>
    <s v="Auto Canal Petit"/>
    <s v="(1) 47.55.6555"/>
    <s v="25, rue Lauriston"/>
    <m/>
    <s v="Paris"/>
    <m/>
    <n v="75016"/>
    <s v="France"/>
    <s v="EMEA"/>
    <s v="Perrier"/>
    <s v="Dominique"/>
    <s v="Medium"/>
    <n v="3475.68"/>
  </r>
  <r>
    <n v="10264"/>
    <n v="47"/>
    <n v="89.5"/>
    <n v="5"/>
    <n v="4206.5"/>
    <d v="2004-06-30T00:00:00"/>
    <s v="Shipped"/>
    <n v="2"/>
    <x v="9"/>
    <n v="2004"/>
    <x v="0"/>
    <n v="81"/>
    <s v="S50_4713"/>
    <s v="Gifts4AllAges.com"/>
    <n v="6175559555"/>
    <s v="8616 Spinnaker Dr."/>
    <m/>
    <s v="Boston"/>
    <s v="MA"/>
    <n v="51003"/>
    <s v="USA"/>
    <s v="NA"/>
    <s v="Yoshido"/>
    <s v="Juri"/>
    <s v="Medium"/>
    <n v="4206.5"/>
  </r>
  <r>
    <n v="10276"/>
    <n v="21"/>
    <n v="70.78"/>
    <n v="11"/>
    <n v="1486.38"/>
    <d v="2004-08-02T00:00:00"/>
    <s v="Shipped"/>
    <n v="3"/>
    <x v="3"/>
    <n v="2004"/>
    <x v="0"/>
    <n v="81"/>
    <s v="S50_4713"/>
    <s v="Online Mini Collectables"/>
    <n v="6175557555"/>
    <s v="7635 Spinnaker Dr."/>
    <m/>
    <s v="Brickhaven"/>
    <s v="MA"/>
    <n v="58339"/>
    <s v="USA"/>
    <s v="NA"/>
    <s v="Barajas"/>
    <s v="Miguel"/>
    <s v="Small"/>
    <n v="1486.38"/>
  </r>
  <r>
    <n v="10285"/>
    <n v="39"/>
    <n v="78.92"/>
    <n v="2"/>
    <n v="3077.88"/>
    <d v="2004-08-27T00:00:00"/>
    <s v="Shipped"/>
    <n v="3"/>
    <x v="3"/>
    <n v="2004"/>
    <x v="0"/>
    <n v="81"/>
    <s v="S50_4713"/>
    <s v="Marta's Replicas Co."/>
    <n v="6175558555"/>
    <s v="39323 Spinnaker Dr."/>
    <m/>
    <s v="Cambridge"/>
    <s v="MA"/>
    <n v="51247"/>
    <s v="USA"/>
    <s v="NA"/>
    <s v="Hernandez"/>
    <s v="Marta"/>
    <s v="Medium"/>
    <n v="3077.88"/>
  </r>
  <r>
    <n v="10299"/>
    <n v="44"/>
    <n v="80.55"/>
    <n v="5"/>
    <n v="3544.2"/>
    <d v="2004-09-30T00:00:00"/>
    <s v="Shipped"/>
    <n v="3"/>
    <x v="10"/>
    <n v="2004"/>
    <x v="0"/>
    <n v="81"/>
    <s v="S50_4713"/>
    <s v="Toys of Finland, Co."/>
    <s v="90-224 8555"/>
    <s v="Keskuskatu 45"/>
    <m/>
    <s v="Helsinki"/>
    <m/>
    <n v="21240"/>
    <s v="Finland"/>
    <s v="EMEA"/>
    <s v="Karttunen"/>
    <s v="Matti"/>
    <s v="Medium"/>
    <n v="3544.2"/>
  </r>
  <r>
    <n v="10309"/>
    <n v="28"/>
    <n v="88.68"/>
    <n v="1"/>
    <n v="2483.04"/>
    <d v="2004-10-15T00:00:00"/>
    <s v="Shipped"/>
    <n v="4"/>
    <x v="4"/>
    <n v="2004"/>
    <x v="0"/>
    <n v="81"/>
    <s v="S50_4713"/>
    <s v="Baane Mini Imports"/>
    <s v="07-98 9555"/>
    <s v="Erling Skakkes gate 78"/>
    <m/>
    <s v="Stavern"/>
    <m/>
    <n v="4110"/>
    <s v="Norway"/>
    <s v="EMEA"/>
    <s v="Bergulfsen"/>
    <s v="Jonas"/>
    <s v="Small"/>
    <n v="2483.04"/>
  </r>
  <r>
    <n v="10319"/>
    <n v="45"/>
    <n v="77.290000000000006"/>
    <n v="6"/>
    <n v="3478.05"/>
    <d v="2004-11-03T00:00:00"/>
    <s v="Shipped"/>
    <n v="4"/>
    <x v="5"/>
    <n v="2004"/>
    <x v="0"/>
    <n v="81"/>
    <s v="S50_4713"/>
    <s v="Microscale Inc."/>
    <n v="2125551957"/>
    <s v="5290 North Pendale Street"/>
    <s v="Suite 200"/>
    <s v="NYC"/>
    <s v="NY"/>
    <n v="10022"/>
    <s v="USA"/>
    <s v="NA"/>
    <s v="Kuo"/>
    <s v="Kee"/>
    <s v="Medium"/>
    <n v="3478.05"/>
  </r>
  <r>
    <n v="10331"/>
    <n v="20"/>
    <n v="100"/>
    <n v="5"/>
    <n v="3657.8"/>
    <d v="2004-11-17T00:00:00"/>
    <s v="Shipped"/>
    <n v="4"/>
    <x v="5"/>
    <n v="2004"/>
    <x v="0"/>
    <n v="81"/>
    <s v="S50_4713"/>
    <s v="Motor Mint Distributors Inc."/>
    <n v="2155559857"/>
    <s v="11328 Douglas Av."/>
    <m/>
    <s v="Philadelphia"/>
    <s v="PA"/>
    <n v="71270"/>
    <s v="USA"/>
    <s v="NA"/>
    <s v="Hernandez"/>
    <s v="Rosa"/>
    <s v="Medium"/>
    <n v="2000"/>
  </r>
  <r>
    <n v="10341"/>
    <n v="38"/>
    <n v="100"/>
    <n v="3"/>
    <n v="4682.3599999999997"/>
    <d v="2004-11-24T00:00:00"/>
    <s v="Shipped"/>
    <n v="4"/>
    <x v="5"/>
    <n v="2004"/>
    <x v="0"/>
    <n v="81"/>
    <s v="S50_4713"/>
    <s v="Salzburg Collectables"/>
    <s v="6562-9555"/>
    <s v="Geislweg 14"/>
    <m/>
    <s v="Salzburg"/>
    <m/>
    <n v="5020"/>
    <s v="Austria"/>
    <s v="EMEA"/>
    <s v="Pipps"/>
    <s v="Georg"/>
    <s v="Medium"/>
    <n v="3800"/>
  </r>
  <r>
    <n v="10356"/>
    <n v="26"/>
    <n v="100"/>
    <n v="4"/>
    <n v="3937.7"/>
    <d v="2004-12-09T00:00:00"/>
    <s v="Shipped"/>
    <n v="4"/>
    <x v="6"/>
    <n v="2004"/>
    <x v="0"/>
    <n v="81"/>
    <s v="S50_4713"/>
    <s v="Lyon Souveniers"/>
    <s v="+33 1 46 62 7555"/>
    <s v="27 rue du Colonel Pierre Avia"/>
    <m/>
    <s v="Paris"/>
    <m/>
    <n v="75508"/>
    <s v="France"/>
    <s v="EMEA"/>
    <s v="Da Cunha"/>
    <s v="Daniel"/>
    <s v="Medium"/>
    <n v="2600"/>
  </r>
  <r>
    <n v="10365"/>
    <n v="44"/>
    <n v="100"/>
    <n v="2"/>
    <n v="4984.32"/>
    <d v="2005-01-07T00:00:00"/>
    <s v="Shipped"/>
    <n v="1"/>
    <x v="7"/>
    <n v="2005"/>
    <x v="0"/>
    <n v="81"/>
    <s v="S50_4713"/>
    <s v="Mini Creations Ltd."/>
    <n v="5085559555"/>
    <s v="4575 Hillside Dr."/>
    <m/>
    <s v="New Bedford"/>
    <s v="MA"/>
    <n v="50553"/>
    <s v="USA"/>
    <s v="NA"/>
    <s v="Tam"/>
    <s v="Wing C"/>
    <s v="Medium"/>
    <n v="4400"/>
  </r>
  <r>
    <n v="10375"/>
    <n v="49"/>
    <n v="100"/>
    <n v="8"/>
    <n v="5406.66"/>
    <d v="2005-02-03T00:00:00"/>
    <s v="Shipped"/>
    <n v="1"/>
    <x v="0"/>
    <n v="2005"/>
    <x v="0"/>
    <n v="81"/>
    <s v="S50_4713"/>
    <s v="La Rochelle Gifts"/>
    <s v="40.67.8555"/>
    <s v="67, rue des Cinquante Otages"/>
    <m/>
    <s v="Nantes"/>
    <m/>
    <n v="44000"/>
    <s v="France"/>
    <s v="EMEA"/>
    <s v="Labrune"/>
    <s v="Janine"/>
    <s v="Medium"/>
    <n v="4900"/>
  </r>
  <r>
    <n v="10390"/>
    <n v="22"/>
    <n v="100"/>
    <n v="13"/>
    <n v="3491.18"/>
    <d v="2005-03-04T00:00:00"/>
    <s v="Shipped"/>
    <n v="1"/>
    <x v="11"/>
    <n v="2005"/>
    <x v="0"/>
    <n v="81"/>
    <s v="S50_4713"/>
    <s v="Mini Gifts Distributors Ltd."/>
    <n v="4155551450"/>
    <s v="5677 Strong St."/>
    <m/>
    <s v="San Rafael"/>
    <s v="CA"/>
    <n v="97562"/>
    <s v="USA"/>
    <s v="NA"/>
    <s v="Nelson"/>
    <s v="Valarie"/>
    <s v="Medium"/>
    <n v="2200"/>
  </r>
  <r>
    <n v="10403"/>
    <n v="31"/>
    <n v="68.34"/>
    <n v="3"/>
    <n v="2118.54"/>
    <d v="2005-04-08T00:00:00"/>
    <s v="Shipped"/>
    <n v="2"/>
    <x v="8"/>
    <n v="2005"/>
    <x v="0"/>
    <n v="81"/>
    <s v="S50_4713"/>
    <s v="UK Collectables, Ltd."/>
    <s v="(171) 555-2282"/>
    <s v="Berkeley Gardens 12  Brewery"/>
    <m/>
    <s v="Liverpool"/>
    <m/>
    <s v="WX1 6LT"/>
    <s v="UK"/>
    <s v="EMEA"/>
    <s v="Devon"/>
    <s v="Elizabeth"/>
    <s v="Small"/>
    <n v="2118.54"/>
  </r>
  <r>
    <n v="10105"/>
    <n v="41"/>
    <n v="70.67"/>
    <n v="5"/>
    <n v="2897.47"/>
    <d v="2003-02-11T00:00:00"/>
    <s v="Shipped"/>
    <n v="1"/>
    <x v="0"/>
    <n v="2003"/>
    <x v="5"/>
    <n v="66"/>
    <s v="S700_1138"/>
    <s v="Danish Wholesale Imports"/>
    <s v="31 12 3555"/>
    <s v="Vinb'ltet 34"/>
    <m/>
    <s v="Kobenhavn"/>
    <m/>
    <n v="1734"/>
    <s v="Denmark"/>
    <s v="EMEA"/>
    <s v="Petersen"/>
    <s v="Jytte"/>
    <s v="Small"/>
    <n v="2897.4700000000003"/>
  </r>
  <r>
    <n v="10119"/>
    <n v="25"/>
    <n v="76.67"/>
    <n v="14"/>
    <n v="1916.75"/>
    <d v="2003-04-28T00:00:00"/>
    <s v="Shipped"/>
    <n v="2"/>
    <x v="8"/>
    <n v="2003"/>
    <x v="5"/>
    <n v="66"/>
    <s v="S700_1138"/>
    <s v="Salzburg Collectables"/>
    <s v="6562-9555"/>
    <s v="Geislweg 14"/>
    <m/>
    <s v="Salzburg"/>
    <m/>
    <n v="5020"/>
    <s v="Austria"/>
    <s v="EMEA"/>
    <s v="Pipps"/>
    <s v="Georg"/>
    <s v="Small"/>
    <n v="1916.75"/>
  </r>
  <r>
    <n v="10129"/>
    <n v="31"/>
    <n v="60"/>
    <n v="5"/>
    <n v="1860"/>
    <d v="2003-06-12T00:00:00"/>
    <s v="Shipped"/>
    <n v="2"/>
    <x v="9"/>
    <n v="2003"/>
    <x v="5"/>
    <n v="66"/>
    <s v="S700_1138"/>
    <s v="Stylish Desk Decors, Co."/>
    <s v="(171) 555-0297"/>
    <s v="35 King George"/>
    <m/>
    <s v="London"/>
    <m/>
    <s v="WX3 6FW"/>
    <s v="UK"/>
    <s v="EMEA"/>
    <s v="Brown"/>
    <s v="Ann"/>
    <s v="Small"/>
    <n v="1860"/>
  </r>
  <r>
    <n v="10142"/>
    <n v="41"/>
    <n v="64"/>
    <n v="2"/>
    <n v="2624"/>
    <d v="2003-08-08T00:00:00"/>
    <s v="Shipped"/>
    <n v="3"/>
    <x v="3"/>
    <n v="2003"/>
    <x v="5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  <n v="2624"/>
  </r>
  <r>
    <n v="10153"/>
    <n v="43"/>
    <n v="64.67"/>
    <n v="1"/>
    <n v="2780.81"/>
    <d v="2003-09-28T00:00:00"/>
    <s v="Shipped"/>
    <n v="3"/>
    <x v="10"/>
    <n v="2003"/>
    <x v="5"/>
    <n v="66"/>
    <s v="S700_1138"/>
    <s v="Euro Shopping Channel"/>
    <s v="(91) 555 94 44"/>
    <s v="C/ Moralzarzal, 86"/>
    <m/>
    <s v="Madrid"/>
    <m/>
    <n v="28034"/>
    <s v="Spain"/>
    <s v="EMEA"/>
    <s v="Freyre"/>
    <s v="Diego"/>
    <s v="Small"/>
    <n v="2780.81"/>
  </r>
  <r>
    <n v="10167"/>
    <n v="43"/>
    <n v="75.34"/>
    <n v="12"/>
    <n v="3239.62"/>
    <d v="2003-10-23T00:00:00"/>
    <s v="Cancelled"/>
    <n v="4"/>
    <x v="4"/>
    <n v="2003"/>
    <x v="5"/>
    <n v="66"/>
    <s v="S700_1138"/>
    <s v="Scandinavian Gift Ideas"/>
    <s v="0695-34 6555"/>
    <s v="?kergatan 24"/>
    <m/>
    <s v="Boras"/>
    <m/>
    <s v="S-844 67"/>
    <s v="Sweden"/>
    <s v="EMEA"/>
    <s v="Larsson"/>
    <s v="Maria"/>
    <s v="Medium"/>
    <n v="3239.6200000000003"/>
  </r>
  <r>
    <n v="10177"/>
    <n v="24"/>
    <n v="76"/>
    <n v="3"/>
    <n v="1824"/>
    <d v="2003-11-07T00:00:00"/>
    <s v="Shipped"/>
    <n v="4"/>
    <x v="5"/>
    <n v="2003"/>
    <x v="5"/>
    <n v="66"/>
    <s v="S700_1138"/>
    <s v="CAF Imports"/>
    <s v="+34 913 728 555"/>
    <s v="Merchants House, 27-30 Merchant's Quay"/>
    <m/>
    <s v="Madrid"/>
    <m/>
    <n v="28023"/>
    <s v="Spain"/>
    <s v="EMEA"/>
    <s v="Fernandez"/>
    <s v="Jesus"/>
    <s v="Small"/>
    <n v="1824"/>
  </r>
  <r>
    <n v="10185"/>
    <n v="21"/>
    <n v="54"/>
    <n v="3"/>
    <n v="1134"/>
    <d v="2003-11-14T00:00:00"/>
    <s v="Shipped"/>
    <n v="4"/>
    <x v="5"/>
    <n v="2003"/>
    <x v="5"/>
    <n v="66"/>
    <s v="S700_1138"/>
    <s v="Mini Creations Ltd."/>
    <n v="5085559555"/>
    <s v="4575 Hillside Dr."/>
    <m/>
    <s v="New Bedford"/>
    <s v="MA"/>
    <n v="50553"/>
    <s v="USA"/>
    <s v="NA"/>
    <s v="Tam"/>
    <s v="Wing C"/>
    <s v="Small"/>
    <n v="1134"/>
  </r>
  <r>
    <n v="10197"/>
    <n v="23"/>
    <n v="64.67"/>
    <n v="9"/>
    <n v="1487.41"/>
    <d v="2003-11-26T00:00:00"/>
    <s v="Shipped"/>
    <n v="4"/>
    <x v="5"/>
    <n v="2003"/>
    <x v="5"/>
    <n v="66"/>
    <s v="S700_1138"/>
    <s v="Enaco Distributors"/>
    <s v="(93) 203 4555"/>
    <s v="Rambla de Catalu¤a, 23"/>
    <m/>
    <s v="Barcelona"/>
    <m/>
    <n v="8022"/>
    <s v="Spain"/>
    <s v="EMEA"/>
    <s v="Saavedra"/>
    <s v="Eduardo"/>
    <s v="Small"/>
    <n v="1487.41"/>
  </r>
  <r>
    <n v="10208"/>
    <n v="38"/>
    <n v="74.67"/>
    <n v="3"/>
    <n v="2837.46"/>
    <d v="2004-01-02T00:00:00"/>
    <s v="Shipped"/>
    <n v="1"/>
    <x v="7"/>
    <n v="2004"/>
    <x v="5"/>
    <n v="66"/>
    <s v="S700_1138"/>
    <s v="Saveley &amp; Henriot, Co."/>
    <s v="78.32.5555"/>
    <s v="2, rue du Commerce"/>
    <m/>
    <s v="Lyon"/>
    <m/>
    <n v="69004"/>
    <s v="France"/>
    <s v="EMEA"/>
    <s v="Saveley"/>
    <s v="Mary"/>
    <s v="Small"/>
    <n v="2837.46"/>
  </r>
  <r>
    <n v="10222"/>
    <n v="31"/>
    <n v="62.67"/>
    <n v="15"/>
    <n v="1942.77"/>
    <d v="2004-02-19T00:00:00"/>
    <s v="Shipped"/>
    <n v="1"/>
    <x v="0"/>
    <n v="2004"/>
    <x v="5"/>
    <n v="66"/>
    <s v="S700_1138"/>
    <s v="Collectable Mini Designs Co."/>
    <n v="7605558146"/>
    <s v="361 Furth Circle"/>
    <m/>
    <s v="San Diego"/>
    <s v="CA"/>
    <n v="91217"/>
    <s v="USA"/>
    <s v="NA"/>
    <s v="Thompson"/>
    <s v="Valarie"/>
    <s v="Small"/>
    <n v="1942.77"/>
  </r>
  <r>
    <n v="10233"/>
    <n v="36"/>
    <n v="70.67"/>
    <n v="3"/>
    <n v="2544.12"/>
    <d v="2004-03-29T00:00:00"/>
    <s v="Shipped"/>
    <n v="1"/>
    <x v="11"/>
    <n v="2004"/>
    <x v="5"/>
    <n v="66"/>
    <s v="S700_1138"/>
    <s v="Tekni Collectables Inc."/>
    <n v="2015559350"/>
    <s v="7476 Moss Rd."/>
    <m/>
    <s v="Newark"/>
    <s v="NJ"/>
    <n v="94019"/>
    <s v="USA"/>
    <s v="NA"/>
    <s v="Brown"/>
    <s v="William"/>
    <s v="Small"/>
    <n v="2544.12"/>
  </r>
  <r>
    <n v="10248"/>
    <n v="36"/>
    <n v="71.34"/>
    <n v="6"/>
    <n v="2568.2399999999998"/>
    <d v="2004-05-07T00:00:00"/>
    <s v="Cancelled"/>
    <n v="2"/>
    <x v="1"/>
    <n v="2004"/>
    <x v="5"/>
    <n v="66"/>
    <s v="S700_1138"/>
    <s v="Land of Toys Inc."/>
    <n v="2125557818"/>
    <s v="897 Long Airport Avenue"/>
    <m/>
    <s v="NYC"/>
    <s v="NY"/>
    <n v="10022"/>
    <s v="USA"/>
    <s v="NA"/>
    <s v="Yu"/>
    <s v="Kwai"/>
    <s v="Small"/>
    <n v="2568.2400000000002"/>
  </r>
  <r>
    <n v="10261"/>
    <n v="34"/>
    <n v="62"/>
    <n v="4"/>
    <n v="2108"/>
    <d v="2004-06-17T00:00:00"/>
    <s v="Shipped"/>
    <n v="2"/>
    <x v="9"/>
    <n v="2004"/>
    <x v="5"/>
    <n v="66"/>
    <s v="S700_1138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2108"/>
  </r>
  <r>
    <n v="10273"/>
    <n v="21"/>
    <n v="65.34"/>
    <n v="7"/>
    <n v="1372.14"/>
    <d v="2004-07-21T00:00:00"/>
    <s v="Shipped"/>
    <n v="3"/>
    <x v="2"/>
    <n v="2004"/>
    <x v="5"/>
    <n v="66"/>
    <s v="S700_1138"/>
    <s v="Petit Auto"/>
    <s v="(02) 5554 67"/>
    <s v="Rue Joseph-Bens 532"/>
    <m/>
    <s v="Bruxelles"/>
    <m/>
    <s v="B-1180"/>
    <s v="Belgium"/>
    <s v="EMEA"/>
    <s v="Dewey"/>
    <s v="Catherine"/>
    <s v="Small"/>
    <n v="1372.14"/>
  </r>
  <r>
    <n v="10283"/>
    <n v="45"/>
    <n v="78.67"/>
    <n v="9"/>
    <n v="3540.15"/>
    <d v="2004-08-20T00:00:00"/>
    <s v="Shipped"/>
    <n v="3"/>
    <x v="3"/>
    <n v="2004"/>
    <x v="5"/>
    <n v="66"/>
    <s v="S700_1138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3540.15"/>
  </r>
  <r>
    <n v="10295"/>
    <n v="26"/>
    <n v="75.34"/>
    <n v="4"/>
    <n v="1958.84"/>
    <d v="2004-09-10T00:00:00"/>
    <s v="Shipped"/>
    <n v="3"/>
    <x v="10"/>
    <n v="2004"/>
    <x v="5"/>
    <n v="66"/>
    <s v="S700_1138"/>
    <s v="Gifts4AllAges.com"/>
    <n v="6175559555"/>
    <s v="8616 Spinnaker Dr."/>
    <m/>
    <s v="Boston"/>
    <s v="MA"/>
    <n v="51003"/>
    <s v="USA"/>
    <s v="NA"/>
    <s v="Yoshido"/>
    <s v="Juri"/>
    <s v="Small"/>
    <n v="1958.8400000000001"/>
  </r>
  <r>
    <n v="10306"/>
    <n v="50"/>
    <n v="54"/>
    <n v="3"/>
    <n v="2700"/>
    <d v="2004-10-14T00:00:00"/>
    <s v="Shipped"/>
    <n v="4"/>
    <x v="4"/>
    <n v="2004"/>
    <x v="5"/>
    <n v="66"/>
    <s v="S700_1138"/>
    <s v="AV Stores, Co."/>
    <s v="(171) 555-1555"/>
    <s v="Fauntleroy Circus"/>
    <m/>
    <s v="Manchester"/>
    <m/>
    <s v="EC2 5NT"/>
    <s v="UK"/>
    <s v="EMEA"/>
    <s v="Ashworth"/>
    <s v="Victoria"/>
    <s v="Small"/>
    <n v="2700"/>
  </r>
  <r>
    <n v="10315"/>
    <n v="41"/>
    <n v="62"/>
    <n v="2"/>
    <n v="2542"/>
    <d v="2004-10-29T00:00:00"/>
    <s v="Shipped"/>
    <n v="4"/>
    <x v="4"/>
    <n v="2004"/>
    <x v="5"/>
    <n v="66"/>
    <s v="S700_1138"/>
    <s v="La Rochelle Gifts"/>
    <s v="40.67.8555"/>
    <s v="67, rue des Cinquante Otages"/>
    <m/>
    <s v="Nantes"/>
    <m/>
    <n v="44000"/>
    <s v="France"/>
    <s v="EMEA"/>
    <s v="Labrune"/>
    <s v="Janine"/>
    <s v="Small"/>
    <n v="2542"/>
  </r>
  <r>
    <n v="10326"/>
    <n v="39"/>
    <n v="60"/>
    <n v="1"/>
    <n v="2340"/>
    <d v="2004-11-09T00:00:00"/>
    <s v="Shipped"/>
    <n v="4"/>
    <x v="5"/>
    <n v="2004"/>
    <x v="5"/>
    <n v="66"/>
    <s v="S700_1138"/>
    <s v="Volvo Model Replicas, Co"/>
    <s v="0921-12 3555"/>
    <s v="Berguvsv„gen  8"/>
    <m/>
    <s v="Lule"/>
    <m/>
    <s v="S-958 22"/>
    <s v="Sweden"/>
    <s v="EMEA"/>
    <s v="Berglund"/>
    <s v="Christina"/>
    <s v="Small"/>
    <n v="2340"/>
  </r>
  <r>
    <n v="10339"/>
    <n v="22"/>
    <n v="100"/>
    <n v="5"/>
    <n v="2816.44"/>
    <d v="2004-11-23T00:00:00"/>
    <s v="Shipped"/>
    <n v="4"/>
    <x v="5"/>
    <n v="2004"/>
    <x v="5"/>
    <n v="66"/>
    <s v="S700_1138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200"/>
  </r>
  <r>
    <n v="10350"/>
    <n v="46"/>
    <n v="76.67"/>
    <n v="11"/>
    <n v="3526.82"/>
    <d v="2004-12-02T00:00:00"/>
    <s v="Shipped"/>
    <n v="4"/>
    <x v="6"/>
    <n v="2004"/>
    <x v="5"/>
    <n v="66"/>
    <s v="S700_1138"/>
    <s v="Euro Shopping Channel"/>
    <s v="(91) 555 94 44"/>
    <s v="C/ Moralzarzal, 86"/>
    <m/>
    <s v="Madrid"/>
    <m/>
    <n v="28034"/>
    <s v="Spain"/>
    <s v="EMEA"/>
    <s v="Freyre"/>
    <s v="Diego"/>
    <s v="Medium"/>
    <n v="3526.82"/>
  </r>
  <r>
    <n v="10373"/>
    <n v="44"/>
    <n v="100"/>
    <n v="14"/>
    <n v="4627.92"/>
    <d v="2005-01-31T00:00:00"/>
    <s v="Shipped"/>
    <n v="1"/>
    <x v="7"/>
    <n v="2005"/>
    <x v="5"/>
    <n v="66"/>
    <s v="S700_1138"/>
    <s v="Oulu Toy Supplies, Inc."/>
    <s v="981-443655"/>
    <s v="Torikatu 38"/>
    <m/>
    <s v="Oulu"/>
    <m/>
    <n v="90110"/>
    <s v="Finland"/>
    <s v="EMEA"/>
    <s v="Koskitalo"/>
    <s v="Pirkko"/>
    <s v="Medium"/>
    <n v="4400"/>
  </r>
  <r>
    <n v="10385"/>
    <n v="25"/>
    <n v="77.34"/>
    <n v="1"/>
    <n v="1933.5"/>
    <d v="2005-02-28T00:00:00"/>
    <s v="Shipped"/>
    <n v="1"/>
    <x v="0"/>
    <n v="2005"/>
    <x v="5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  <n v="1933.5"/>
  </r>
  <r>
    <n v="10396"/>
    <n v="39"/>
    <n v="66.67"/>
    <n v="1"/>
    <n v="2600.13"/>
    <d v="2005-03-23T00:00:00"/>
    <s v="Shipped"/>
    <n v="1"/>
    <x v="11"/>
    <n v="2005"/>
    <x v="5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  <n v="2600.13"/>
  </r>
  <r>
    <n v="10414"/>
    <n v="37"/>
    <n v="71.34"/>
    <n v="6"/>
    <n v="2639.58"/>
    <d v="2005-05-06T00:00:00"/>
    <s v="On Hold"/>
    <n v="2"/>
    <x v="1"/>
    <n v="2005"/>
    <x v="5"/>
    <n v="66"/>
    <s v="S700_1138"/>
    <s v="Gifts4AllAges.com"/>
    <n v="6175559555"/>
    <s v="8616 Spinnaker Dr."/>
    <m/>
    <s v="Boston"/>
    <s v="MA"/>
    <n v="51003"/>
    <s v="USA"/>
    <s v="NA"/>
    <s v="Yoshido"/>
    <s v="Juri"/>
    <s v="Small"/>
    <n v="2639.58"/>
  </r>
  <r>
    <n v="10106"/>
    <n v="31"/>
    <n v="100"/>
    <n v="7"/>
    <n v="3312.97"/>
    <d v="2003-02-17T00:00:00"/>
    <s v="Shipped"/>
    <n v="1"/>
    <x v="0"/>
    <n v="2003"/>
    <x v="4"/>
    <n v="91"/>
    <s v="S700_1691"/>
    <s v="Rovelli Gifts"/>
    <s v="035-640555"/>
    <s v="Via Ludovico il Moro 22"/>
    <m/>
    <s v="Bergamo"/>
    <m/>
    <n v="24100"/>
    <s v="Italy"/>
    <s v="EMEA"/>
    <s v="Rovelli"/>
    <s v="Giovanni"/>
    <s v="Medium"/>
    <n v="3100"/>
  </r>
  <r>
    <n v="10120"/>
    <n v="47"/>
    <n v="82.21"/>
    <n v="13"/>
    <n v="3863.87"/>
    <d v="2003-04-29T00:00:00"/>
    <s v="Shipped"/>
    <n v="2"/>
    <x v="8"/>
    <n v="2003"/>
    <x v="4"/>
    <n v="91"/>
    <s v="S700_169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863.87"/>
  </r>
  <r>
    <n v="10133"/>
    <n v="24"/>
    <n v="77.64"/>
    <n v="8"/>
    <n v="1863.36"/>
    <d v="2003-06-27T00:00:00"/>
    <s v="Shipped"/>
    <n v="2"/>
    <x v="9"/>
    <n v="2003"/>
    <x v="4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Small"/>
    <n v="1863.3600000000001"/>
  </r>
  <r>
    <n v="10143"/>
    <n v="36"/>
    <n v="100"/>
    <n v="2"/>
    <n v="3945.96"/>
    <d v="2003-08-10T00:00:00"/>
    <s v="Shipped"/>
    <n v="3"/>
    <x v="3"/>
    <n v="2003"/>
    <x v="4"/>
    <n v="91"/>
    <s v="S700_1691"/>
    <s v="Mini Creations Ltd."/>
    <n v="5085559555"/>
    <s v="4575 Hillside Dr."/>
    <m/>
    <s v="New Bedford"/>
    <s v="MA"/>
    <n v="50553"/>
    <s v="USA"/>
    <s v="NA"/>
    <s v="Tam"/>
    <s v="Wing C"/>
    <s v="Medium"/>
    <n v="3600"/>
  </r>
  <r>
    <n v="10156"/>
    <n v="48"/>
    <n v="100"/>
    <n v="2"/>
    <n v="4954.08"/>
    <d v="2003-10-08T00:00:00"/>
    <s v="Shipped"/>
    <n v="4"/>
    <x v="4"/>
    <n v="2003"/>
    <x v="4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Medium"/>
    <n v="4800"/>
  </r>
  <r>
    <n v="10168"/>
    <n v="28"/>
    <n v="98.65"/>
    <n v="14"/>
    <n v="2762.2"/>
    <d v="2003-10-28T00:00:00"/>
    <s v="Shipped"/>
    <n v="4"/>
    <x v="4"/>
    <n v="2003"/>
    <x v="4"/>
    <n v="91"/>
    <s v="S700_1691"/>
    <s v="Technics Stores Inc."/>
    <n v="6505556809"/>
    <s v="9408 Furth Circle"/>
    <m/>
    <s v="Burlingame"/>
    <s v="CA"/>
    <n v="94217"/>
    <s v="USA"/>
    <s v="NA"/>
    <s v="Hirano"/>
    <s v="Juri"/>
    <s v="Small"/>
    <n v="2762.2000000000003"/>
  </r>
  <r>
    <n v="10199"/>
    <n v="48"/>
    <n v="83.12"/>
    <n v="2"/>
    <n v="3989.76"/>
    <d v="2003-12-01T00:00:00"/>
    <s v="Shipped"/>
    <n v="4"/>
    <x v="6"/>
    <n v="2003"/>
    <x v="4"/>
    <n v="91"/>
    <s v="S700_1691"/>
    <s v="West Coast Collectables Co."/>
    <n v="3105553722"/>
    <s v="3675 Furth Circle"/>
    <m/>
    <s v="Burbank"/>
    <s v="CA"/>
    <n v="94019"/>
    <s v="USA"/>
    <s v="NA"/>
    <s v="Thompson"/>
    <s v="Steve"/>
    <s v="Medium"/>
    <n v="3989.76"/>
  </r>
  <r>
    <n v="10210"/>
    <n v="21"/>
    <n v="78.55"/>
    <n v="12"/>
    <n v="1649.55"/>
    <d v="2004-01-12T00:00:00"/>
    <s v="Shipped"/>
    <n v="1"/>
    <x v="7"/>
    <n v="2004"/>
    <x v="4"/>
    <n v="91"/>
    <s v="S700_1691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1649.55"/>
  </r>
  <r>
    <n v="10223"/>
    <n v="25"/>
    <n v="100"/>
    <n v="14"/>
    <n v="2534.75"/>
    <d v="2004-02-20T00:00:00"/>
    <s v="Shipped"/>
    <n v="1"/>
    <x v="0"/>
    <n v="2004"/>
    <x v="4"/>
    <n v="91"/>
    <s v="S700_169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500"/>
  </r>
  <r>
    <n v="10235"/>
    <n v="25"/>
    <n v="100"/>
    <n v="8"/>
    <n v="2580.25"/>
    <d v="2004-04-02T00:00:00"/>
    <s v="Shipped"/>
    <n v="2"/>
    <x v="8"/>
    <n v="2004"/>
    <x v="4"/>
    <n v="91"/>
    <s v="S700_169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500"/>
  </r>
  <r>
    <n v="10250"/>
    <n v="31"/>
    <n v="91.34"/>
    <n v="9"/>
    <n v="2831.54"/>
    <d v="2004-05-11T00:00:00"/>
    <s v="Shipped"/>
    <n v="2"/>
    <x v="1"/>
    <n v="2004"/>
    <x v="4"/>
    <n v="91"/>
    <s v="S700_1691"/>
    <s v="The Sharp Gifts Warehouse"/>
    <n v="4085553659"/>
    <s v="3086 Ingle Ln."/>
    <m/>
    <s v="San Jose"/>
    <s v="CA"/>
    <n v="94217"/>
    <s v="USA"/>
    <s v="NA"/>
    <s v="Frick"/>
    <s v="Sue"/>
    <s v="Small"/>
    <n v="2831.54"/>
  </r>
  <r>
    <n v="10262"/>
    <n v="40"/>
    <n v="84.03"/>
    <n v="4"/>
    <n v="3361.2"/>
    <d v="2004-06-24T00:00:00"/>
    <s v="Cancelled"/>
    <n v="2"/>
    <x v="9"/>
    <n v="2004"/>
    <x v="4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Medium"/>
    <n v="3361.2"/>
  </r>
  <r>
    <n v="10275"/>
    <n v="32"/>
    <n v="89.51"/>
    <n v="14"/>
    <n v="2864.32"/>
    <d v="2004-07-23T00:00:00"/>
    <s v="Shipped"/>
    <n v="3"/>
    <x v="2"/>
    <n v="2004"/>
    <x v="4"/>
    <n v="91"/>
    <s v="S700_1691"/>
    <s v="La Rochelle Gifts"/>
    <s v="40.67.8555"/>
    <s v="67, rue des Cinquante Otages"/>
    <m/>
    <s v="Nantes"/>
    <m/>
    <n v="44000"/>
    <s v="France"/>
    <s v="EMEA"/>
    <s v="Labrune"/>
    <s v="Janine"/>
    <s v="Small"/>
    <n v="2864.32"/>
  </r>
  <r>
    <n v="10284"/>
    <n v="24"/>
    <n v="83.12"/>
    <n v="6"/>
    <n v="1994.88"/>
    <d v="2004-08-21T00:00:00"/>
    <s v="Shipped"/>
    <n v="3"/>
    <x v="3"/>
    <n v="2004"/>
    <x v="4"/>
    <n v="91"/>
    <s v="S700_1691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1994.88"/>
  </r>
  <r>
    <n v="10296"/>
    <n v="42"/>
    <n v="100"/>
    <n v="2"/>
    <n v="4296.6000000000004"/>
    <d v="2004-09-15T00:00:00"/>
    <s v="Shipped"/>
    <n v="3"/>
    <x v="10"/>
    <n v="2004"/>
    <x v="4"/>
    <n v="91"/>
    <s v="S700_1691"/>
    <s v="Bavarian Collectables Imports, Co."/>
    <s v="+49 89 61 08 9555"/>
    <s v="Hansastr. 15"/>
    <m/>
    <s v="Munich"/>
    <m/>
    <n v="80686"/>
    <s v="Germany"/>
    <s v="EMEA"/>
    <s v="Donnermeyer"/>
    <s v="Michael"/>
    <s v="Medium"/>
    <n v="4200"/>
  </r>
  <r>
    <n v="10308"/>
    <n v="21"/>
    <n v="100"/>
    <n v="12"/>
    <n v="2224.9499999999998"/>
    <d v="2004-10-15T00:00:00"/>
    <s v="Shipped"/>
    <n v="4"/>
    <x v="4"/>
    <n v="2004"/>
    <x v="4"/>
    <n v="91"/>
    <s v="S700_1691"/>
    <s v="Mini Classics"/>
    <n v="9145554562"/>
    <s v="3758 North Pendale Street"/>
    <m/>
    <s v="White Plains"/>
    <s v="NY"/>
    <n v="24067"/>
    <s v="USA"/>
    <s v="NA"/>
    <s v="Frick"/>
    <s v="Steve"/>
    <s v="Small"/>
    <n v="2100"/>
  </r>
  <r>
    <n v="10316"/>
    <n v="34"/>
    <n v="82.21"/>
    <n v="4"/>
    <n v="2795.14"/>
    <d v="2004-11-01T00:00:00"/>
    <s v="Shipped"/>
    <n v="4"/>
    <x v="5"/>
    <n v="2004"/>
    <x v="4"/>
    <n v="91"/>
    <s v="S700_1691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795.14"/>
  </r>
  <r>
    <n v="10328"/>
    <n v="27"/>
    <n v="100"/>
    <n v="8"/>
    <n v="2762.1"/>
    <d v="2004-11-12T00:00:00"/>
    <s v="Shipped"/>
    <n v="4"/>
    <x v="5"/>
    <n v="2004"/>
    <x v="4"/>
    <n v="91"/>
    <s v="S700_1691"/>
    <s v="Rovelli Gifts"/>
    <s v="035-640555"/>
    <s v="Via Ludovico il Moro 22"/>
    <m/>
    <s v="Bergamo"/>
    <m/>
    <n v="24100"/>
    <s v="Italy"/>
    <s v="EMEA"/>
    <s v="Rovelli"/>
    <s v="Giovanni"/>
    <s v="Small"/>
    <n v="2700"/>
  </r>
  <r>
    <n v="10340"/>
    <n v="30"/>
    <n v="88.6"/>
    <n v="5"/>
    <n v="2658"/>
    <d v="2004-11-24T00:00:00"/>
    <s v="Shipped"/>
    <n v="4"/>
    <x v="5"/>
    <n v="2004"/>
    <x v="4"/>
    <n v="91"/>
    <s v="S700_1691"/>
    <s v="Enaco Distributors"/>
    <s v="(93) 203 4555"/>
    <s v="Rambla de Catalu¤a, 23"/>
    <m/>
    <s v="Barcelona"/>
    <m/>
    <n v="8022"/>
    <s v="Spain"/>
    <s v="EMEA"/>
    <s v="Saavedra"/>
    <s v="Eduardo"/>
    <s v="Small"/>
    <n v="2658"/>
  </r>
  <r>
    <n v="10353"/>
    <n v="39"/>
    <n v="100"/>
    <n v="9"/>
    <n v="5043.87"/>
    <d v="2004-12-04T00:00:00"/>
    <s v="Shipped"/>
    <n v="4"/>
    <x v="6"/>
    <n v="2004"/>
    <x v="4"/>
    <n v="91"/>
    <s v="S700_1691"/>
    <s v="Gift Ideas Corp."/>
    <n v="2035554407"/>
    <s v="2440 Pompton St."/>
    <m/>
    <s v="Glendale"/>
    <s v="CT"/>
    <n v="97561"/>
    <s v="USA"/>
    <s v="NA"/>
    <s v="Lewis"/>
    <s v="Dan"/>
    <s v="Medium"/>
    <n v="3900"/>
  </r>
  <r>
    <n v="10361"/>
    <n v="20"/>
    <n v="60.54"/>
    <n v="4"/>
    <n v="1210.8"/>
    <d v="2004-12-17T00:00:00"/>
    <s v="Shipped"/>
    <n v="4"/>
    <x v="6"/>
    <n v="2004"/>
    <x v="4"/>
    <n v="91"/>
    <s v="S700_169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210.8"/>
  </r>
  <r>
    <n v="10375"/>
    <n v="37"/>
    <n v="81.87"/>
    <n v="6"/>
    <n v="3029.19"/>
    <d v="2005-02-03T00:00:00"/>
    <s v="Shipped"/>
    <n v="1"/>
    <x v="0"/>
    <n v="2005"/>
    <x v="4"/>
    <n v="91"/>
    <s v="S700_1691"/>
    <s v="La Rochelle Gifts"/>
    <s v="40.67.8555"/>
    <s v="67, rue des Cinquante Otages"/>
    <m/>
    <s v="Nantes"/>
    <m/>
    <n v="44000"/>
    <s v="France"/>
    <s v="EMEA"/>
    <s v="Labrune"/>
    <s v="Janine"/>
    <s v="Medium"/>
    <n v="3029.19"/>
  </r>
  <r>
    <n v="10388"/>
    <n v="46"/>
    <n v="100"/>
    <n v="2"/>
    <n v="10066.6"/>
    <d v="2005-03-03T00:00:00"/>
    <s v="Shipped"/>
    <n v="1"/>
    <x v="11"/>
    <n v="2005"/>
    <x v="4"/>
    <n v="91"/>
    <s v="S700_1691"/>
    <s v="FunGiftIdeas.com"/>
    <n v="5085552555"/>
    <s v="1785 First Street"/>
    <m/>
    <s v="New Bedford"/>
    <s v="MA"/>
    <n v="50553"/>
    <s v="USA"/>
    <s v="NA"/>
    <s v="Benitez"/>
    <s v="Violeta"/>
    <s v="Large"/>
    <n v="4600"/>
  </r>
  <r>
    <n v="10398"/>
    <n v="47"/>
    <n v="87.69"/>
    <n v="6"/>
    <n v="4121.43"/>
    <d v="2005-03-30T00:00:00"/>
    <s v="Shipped"/>
    <n v="1"/>
    <x v="11"/>
    <n v="2005"/>
    <x v="4"/>
    <n v="91"/>
    <s v="S700_1691"/>
    <s v="Reims Collectables"/>
    <s v="26.47.1555"/>
    <s v="59 rue de l'Abbaye"/>
    <m/>
    <s v="Reims"/>
    <m/>
    <n v="51100"/>
    <s v="France"/>
    <s v="EMEA"/>
    <s v="Henriot"/>
    <s v="Paul"/>
    <s v="Medium"/>
    <n v="4121.43"/>
  </r>
  <r>
    <n v="10401"/>
    <n v="11"/>
    <n v="100"/>
    <n v="8"/>
    <n v="1135.31"/>
    <d v="2005-04-03T00:00:00"/>
    <s v="On Hold"/>
    <n v="2"/>
    <x v="8"/>
    <n v="2005"/>
    <x v="4"/>
    <n v="91"/>
    <s v="S700_1691"/>
    <s v="Tekni Collectables Inc."/>
    <n v="2015559350"/>
    <s v="7476 Moss Rd."/>
    <m/>
    <s v="Newark"/>
    <s v="NJ"/>
    <n v="94019"/>
    <s v="USA"/>
    <s v="NA"/>
    <s v="Brown"/>
    <s v="William"/>
    <s v="Small"/>
    <n v="1100"/>
  </r>
  <r>
    <n v="10416"/>
    <n v="23"/>
    <n v="91.34"/>
    <n v="9"/>
    <n v="2100.8200000000002"/>
    <d v="2005-05-10T00:00:00"/>
    <s v="Shipped"/>
    <n v="2"/>
    <x v="1"/>
    <n v="2005"/>
    <x v="4"/>
    <n v="91"/>
    <s v="S700_1691"/>
    <s v="L'ordine Souveniers"/>
    <s v="0522-556555"/>
    <s v="Strada Provinciale 124"/>
    <m/>
    <s v="Reggio Emilia"/>
    <m/>
    <n v="42100"/>
    <s v="Italy"/>
    <s v="EMEA"/>
    <s v="Moroni"/>
    <s v="Maurizio"/>
    <s v="Small"/>
    <n v="2100.8200000000002"/>
  </r>
  <r>
    <n v="10105"/>
    <n v="29"/>
    <n v="70.150000000000006"/>
    <n v="12"/>
    <n v="2034.35"/>
    <d v="2003-02-11T00:00:00"/>
    <s v="Shipped"/>
    <n v="1"/>
    <x v="0"/>
    <n v="2003"/>
    <x v="5"/>
    <n v="86"/>
    <s v="S700_1938"/>
    <s v="Danish Wholesale Imports"/>
    <s v="31 12 3555"/>
    <s v="Vinb'ltet 34"/>
    <m/>
    <s v="Kobenhavn"/>
    <m/>
    <n v="1734"/>
    <s v="Denmark"/>
    <s v="EMEA"/>
    <s v="Petersen"/>
    <s v="Jytte"/>
    <s v="Small"/>
    <n v="2034.3500000000001"/>
  </r>
  <r>
    <n v="10117"/>
    <n v="38"/>
    <n v="79.680000000000007"/>
    <n v="6"/>
    <n v="3027.84"/>
    <d v="2003-04-16T00:00:00"/>
    <s v="Shipped"/>
    <n v="2"/>
    <x v="8"/>
    <n v="2003"/>
    <x v="5"/>
    <n v="86"/>
    <s v="S700_193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3027.84"/>
  </r>
  <r>
    <n v="10128"/>
    <n v="32"/>
    <n v="97"/>
    <n v="3"/>
    <n v="3104"/>
    <d v="2003-06-06T00:00:00"/>
    <s v="Shipped"/>
    <n v="2"/>
    <x v="9"/>
    <n v="2003"/>
    <x v="5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Medium"/>
    <n v="3104"/>
  </r>
  <r>
    <n v="10142"/>
    <n v="43"/>
    <n v="84.01"/>
    <n v="9"/>
    <n v="3612.43"/>
    <d v="2003-08-08T00:00:00"/>
    <s v="Shipped"/>
    <n v="3"/>
    <x v="3"/>
    <n v="2003"/>
    <x v="5"/>
    <n v="86"/>
    <s v="S700_1938"/>
    <s v="Mini Gifts Distributors Ltd."/>
    <n v="4155551450"/>
    <s v="5677 Strong St."/>
    <m/>
    <s v="San Rafael"/>
    <s v="CA"/>
    <n v="97562"/>
    <s v="USA"/>
    <s v="NA"/>
    <s v="Nelson"/>
    <s v="Valarie"/>
    <s v="Medium"/>
    <n v="3612.4300000000003"/>
  </r>
  <r>
    <n v="10153"/>
    <n v="31"/>
    <n v="87.48"/>
    <n v="8"/>
    <n v="2711.88"/>
    <d v="2003-09-28T00:00:00"/>
    <s v="Shipped"/>
    <n v="3"/>
    <x v="10"/>
    <n v="2003"/>
    <x v="5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Small"/>
    <n v="2711.88"/>
  </r>
  <r>
    <n v="10166"/>
    <n v="29"/>
    <n v="100"/>
    <n v="3"/>
    <n v="3013.97"/>
    <d v="2003-10-21T00:00:00"/>
    <s v="Shipped"/>
    <n v="4"/>
    <x v="4"/>
    <n v="2003"/>
    <x v="5"/>
    <n v="86"/>
    <s v="S700_1938"/>
    <s v="FunGiftIdeas.com"/>
    <n v="5085552555"/>
    <s v="1785 First Street"/>
    <m/>
    <s v="New Bedford"/>
    <s v="MA"/>
    <n v="50553"/>
    <s v="USA"/>
    <s v="NA"/>
    <s v="Benitez"/>
    <s v="Violeta"/>
    <s v="Medium"/>
    <n v="2900"/>
  </r>
  <r>
    <n v="10177"/>
    <n v="31"/>
    <n v="88.34"/>
    <n v="10"/>
    <n v="2738.54"/>
    <d v="2003-11-07T00:00:00"/>
    <s v="Shipped"/>
    <n v="4"/>
    <x v="5"/>
    <n v="2003"/>
    <x v="5"/>
    <n v="86"/>
    <s v="S700_1938"/>
    <s v="CAF Imports"/>
    <s v="+34 913 728 555"/>
    <s v="Merchants House, 27-30 Merchant's Quay"/>
    <m/>
    <s v="Madrid"/>
    <m/>
    <n v="28023"/>
    <s v="Spain"/>
    <s v="EMEA"/>
    <s v="Fernandez"/>
    <s v="Jesus"/>
    <s v="Small"/>
    <n v="2738.54"/>
  </r>
  <r>
    <n v="10185"/>
    <n v="30"/>
    <n v="94.4"/>
    <n v="10"/>
    <n v="2832"/>
    <d v="2003-11-14T00:00:00"/>
    <s v="Shipped"/>
    <n v="4"/>
    <x v="5"/>
    <n v="2003"/>
    <x v="5"/>
    <n v="86"/>
    <s v="S700_1938"/>
    <s v="Mini Creations Ltd."/>
    <n v="5085559555"/>
    <s v="4575 Hillside Dr."/>
    <m/>
    <s v="New Bedford"/>
    <s v="MA"/>
    <n v="50553"/>
    <s v="USA"/>
    <s v="NA"/>
    <s v="Tam"/>
    <s v="Wing C"/>
    <s v="Small"/>
    <n v="2832"/>
  </r>
  <r>
    <n v="10196"/>
    <n v="50"/>
    <n v="94.4"/>
    <n v="2"/>
    <n v="4720"/>
    <d v="2003-11-26T00:00:00"/>
    <s v="Shipped"/>
    <n v="4"/>
    <x v="5"/>
    <n v="2003"/>
    <x v="5"/>
    <n v="86"/>
    <s v="S700_1938"/>
    <s v="Super Scale Inc."/>
    <n v="2035559545"/>
    <s v="567 North Pendale Street"/>
    <m/>
    <s v="New Haven"/>
    <s v="CT"/>
    <n v="97823"/>
    <s v="USA"/>
    <s v="NA"/>
    <s v="Murphy"/>
    <s v="Leslie"/>
    <s v="Medium"/>
    <n v="4720"/>
  </r>
  <r>
    <n v="10208"/>
    <n v="40"/>
    <n v="80.55"/>
    <n v="10"/>
    <n v="3222"/>
    <d v="2004-01-02T00:00:00"/>
    <s v="Shipped"/>
    <n v="1"/>
    <x v="7"/>
    <n v="2004"/>
    <x v="5"/>
    <n v="86"/>
    <s v="S700_1938"/>
    <s v="Saveley &amp; Henriot, Co."/>
    <s v="78.32.5555"/>
    <s v="2, rue du Commerce"/>
    <m/>
    <s v="Lyon"/>
    <m/>
    <n v="69004"/>
    <s v="France"/>
    <s v="EMEA"/>
    <s v="Saveley"/>
    <s v="Mary"/>
    <s v="Medium"/>
    <n v="3222"/>
  </r>
  <r>
    <n v="10221"/>
    <n v="23"/>
    <n v="97"/>
    <n v="4"/>
    <n v="2231"/>
    <d v="2004-02-18T00:00:00"/>
    <s v="Shipped"/>
    <n v="1"/>
    <x v="0"/>
    <n v="2004"/>
    <x v="5"/>
    <n v="86"/>
    <s v="S700_1938"/>
    <s v="Petit Auto"/>
    <s v="(02) 5554 67"/>
    <s v="Rue Joseph-Bens 532"/>
    <m/>
    <s v="Bruxelles"/>
    <m/>
    <s v="B-1180"/>
    <s v="Belgium"/>
    <s v="EMEA"/>
    <s v="Dewey"/>
    <s v="Catherine"/>
    <s v="Small"/>
    <n v="2231"/>
  </r>
  <r>
    <n v="10232"/>
    <n v="26"/>
    <n v="88.34"/>
    <n v="7"/>
    <n v="2296.84"/>
    <d v="2004-03-20T00:00:00"/>
    <s v="Shipped"/>
    <n v="1"/>
    <x v="11"/>
    <n v="2004"/>
    <x v="5"/>
    <n v="86"/>
    <s v="S700_1938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296.84"/>
  </r>
  <r>
    <n v="10248"/>
    <n v="40"/>
    <n v="100"/>
    <n v="13"/>
    <n v="4157.2"/>
    <d v="2004-05-07T00:00:00"/>
    <s v="Cancelled"/>
    <n v="2"/>
    <x v="1"/>
    <n v="2004"/>
    <x v="5"/>
    <n v="86"/>
    <s v="S700_1938"/>
    <s v="Land of Toys Inc."/>
    <n v="2125557818"/>
    <s v="897 Long Airport Avenue"/>
    <m/>
    <s v="NYC"/>
    <s v="NY"/>
    <n v="10022"/>
    <s v="USA"/>
    <s v="NA"/>
    <s v="Yu"/>
    <s v="Kwai"/>
    <s v="Medium"/>
    <n v="4000"/>
  </r>
  <r>
    <n v="10273"/>
    <n v="21"/>
    <n v="100"/>
    <n v="14"/>
    <n v="2146.1999999999998"/>
    <d v="2004-07-21T00:00:00"/>
    <s v="Shipped"/>
    <n v="3"/>
    <x v="2"/>
    <n v="2004"/>
    <x v="5"/>
    <n v="86"/>
    <s v="S700_1938"/>
    <s v="Petit Auto"/>
    <s v="(02) 5554 67"/>
    <s v="Rue Joseph-Bens 532"/>
    <m/>
    <s v="Bruxelles"/>
    <m/>
    <s v="B-1180"/>
    <s v="Belgium"/>
    <s v="EMEA"/>
    <s v="Dewey"/>
    <s v="Catherine"/>
    <s v="Small"/>
    <n v="2100"/>
  </r>
  <r>
    <n v="10282"/>
    <n v="43"/>
    <n v="86.61"/>
    <n v="2"/>
    <n v="3724.23"/>
    <d v="2004-08-20T00:00:00"/>
    <s v="Shipped"/>
    <n v="3"/>
    <x v="3"/>
    <n v="2004"/>
    <x v="5"/>
    <n v="86"/>
    <s v="S700_1938"/>
    <s v="Mini Gifts Distributors Ltd."/>
    <n v="4155551450"/>
    <s v="5677 Strong St."/>
    <m/>
    <s v="San Rafael"/>
    <s v="CA"/>
    <n v="97562"/>
    <s v="USA"/>
    <s v="NA"/>
    <s v="Nelson"/>
    <s v="Valarie"/>
    <s v="Medium"/>
    <n v="3724.23"/>
  </r>
  <r>
    <n v="10293"/>
    <n v="29"/>
    <n v="71.89"/>
    <n v="5"/>
    <n v="2084.81"/>
    <d v="2004-09-09T00:00:00"/>
    <s v="Shipped"/>
    <n v="3"/>
    <x v="10"/>
    <n v="2004"/>
    <x v="5"/>
    <n v="86"/>
    <s v="S700_1938"/>
    <s v="Amica Models &amp; Co."/>
    <s v="011-4988555"/>
    <s v="Via Monte Bianco 34"/>
    <m/>
    <s v="Torino"/>
    <m/>
    <n v="10100"/>
    <s v="Italy"/>
    <s v="EMEA"/>
    <s v="Accorti"/>
    <s v="Paolo"/>
    <s v="Small"/>
    <n v="2084.81"/>
  </r>
  <r>
    <n v="10306"/>
    <n v="38"/>
    <n v="91.81"/>
    <n v="10"/>
    <n v="3488.78"/>
    <d v="2004-10-14T00:00:00"/>
    <s v="Shipped"/>
    <n v="4"/>
    <x v="4"/>
    <n v="2004"/>
    <x v="5"/>
    <n v="86"/>
    <s v="S700_1938"/>
    <s v="AV Stores, Co."/>
    <s v="(171) 555-1555"/>
    <s v="Fauntleroy Circus"/>
    <m/>
    <s v="Manchester"/>
    <m/>
    <s v="EC2 5NT"/>
    <s v="UK"/>
    <s v="EMEA"/>
    <s v="Ashworth"/>
    <s v="Victoria"/>
    <s v="Medium"/>
    <n v="3488.78"/>
  </r>
  <r>
    <n v="10314"/>
    <n v="23"/>
    <n v="76.22"/>
    <n v="2"/>
    <n v="1753.06"/>
    <d v="2004-10-22T00:00:00"/>
    <s v="Shipped"/>
    <n v="4"/>
    <x v="4"/>
    <n v="2004"/>
    <x v="5"/>
    <n v="86"/>
    <s v="S700_1938"/>
    <s v="Heintze Collectables"/>
    <s v="86 21 3555"/>
    <s v="Smagsloget 45"/>
    <m/>
    <s v="Aaarhus"/>
    <m/>
    <n v="8200"/>
    <s v="Denmark"/>
    <s v="EMEA"/>
    <s v="Ibsen"/>
    <s v="Palle"/>
    <s v="Small"/>
    <n v="1753.06"/>
  </r>
  <r>
    <n v="10327"/>
    <n v="20"/>
    <n v="100"/>
    <n v="7"/>
    <n v="3469.2"/>
    <d v="2004-11-10T00:00:00"/>
    <s v="Resolved"/>
    <n v="4"/>
    <x v="5"/>
    <n v="2004"/>
    <x v="5"/>
    <n v="86"/>
    <s v="S700_1938"/>
    <s v="Danish Wholesale Imports"/>
    <s v="31 12 3555"/>
    <s v="Vinb'ltet 34"/>
    <m/>
    <s v="Kobenhavn"/>
    <m/>
    <n v="1734"/>
    <s v="Denmark"/>
    <s v="EMEA"/>
    <s v="Petersen"/>
    <s v="Jytte"/>
    <s v="Medium"/>
    <n v="2000"/>
  </r>
  <r>
    <n v="10337"/>
    <n v="36"/>
    <n v="70.3"/>
    <n v="9"/>
    <n v="2530.8000000000002"/>
    <d v="2004-11-21T00:00:00"/>
    <s v="Shipped"/>
    <n v="4"/>
    <x v="5"/>
    <n v="2004"/>
    <x v="5"/>
    <n v="86"/>
    <s v="S700_1938"/>
    <s v="Classic Legends Inc."/>
    <n v="2125558493"/>
    <s v="5905 Pompton St."/>
    <s v="Suite 750"/>
    <s v="NYC"/>
    <s v="NY"/>
    <n v="10022"/>
    <s v="USA"/>
    <s v="NA"/>
    <s v="Hernandez"/>
    <s v="Maria"/>
    <s v="Small"/>
    <n v="2530.7999999999997"/>
  </r>
  <r>
    <n v="10350"/>
    <n v="28"/>
    <n v="100"/>
    <n v="4"/>
    <n v="2924.32"/>
    <d v="2004-12-02T00:00:00"/>
    <s v="Shipped"/>
    <n v="4"/>
    <x v="6"/>
    <n v="2004"/>
    <x v="5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Small"/>
    <n v="2800"/>
  </r>
  <r>
    <n v="10372"/>
    <n v="44"/>
    <n v="100"/>
    <n v="2"/>
    <n v="4496.8"/>
    <d v="2005-01-26T00:00:00"/>
    <s v="Shipped"/>
    <n v="1"/>
    <x v="7"/>
    <n v="2005"/>
    <x v="5"/>
    <n v="86"/>
    <s v="S700_1938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4400"/>
  </r>
  <r>
    <n v="10384"/>
    <n v="49"/>
    <n v="100"/>
    <n v="1"/>
    <n v="6397.44"/>
    <d v="2005-02-23T00:00:00"/>
    <s v="Shipped"/>
    <n v="1"/>
    <x v="0"/>
    <n v="2005"/>
    <x v="5"/>
    <n v="86"/>
    <s v="S700_1938"/>
    <s v="Corporate Gift Ideas Co."/>
    <n v="6505551386"/>
    <s v="7734 Strong St."/>
    <m/>
    <s v="San Francisco"/>
    <s v="CA"/>
    <m/>
    <s v="USA"/>
    <s v="NA"/>
    <s v="Brown"/>
    <s v="Julie"/>
    <s v="Medium"/>
    <n v="4900"/>
  </r>
  <r>
    <n v="10397"/>
    <n v="32"/>
    <n v="80.55"/>
    <n v="5"/>
    <n v="2577.6"/>
    <d v="2005-03-28T00:00:00"/>
    <s v="Shipped"/>
    <n v="1"/>
    <x v="11"/>
    <n v="2005"/>
    <x v="5"/>
    <n v="86"/>
    <s v="S700_1938"/>
    <s v="Alpha Cognac"/>
    <s v="61.77.6555"/>
    <s v="1 rue Alsace-Lorraine"/>
    <m/>
    <s v="Toulouse"/>
    <m/>
    <n v="31000"/>
    <s v="France"/>
    <s v="EMEA"/>
    <s v="Roulet"/>
    <s v="Annette"/>
    <s v="Small"/>
    <n v="2577.6"/>
  </r>
  <r>
    <n v="10414"/>
    <n v="34"/>
    <n v="100"/>
    <n v="13"/>
    <n v="3533.62"/>
    <d v="2005-05-06T00:00:00"/>
    <s v="On Hold"/>
    <n v="2"/>
    <x v="1"/>
    <n v="2005"/>
    <x v="5"/>
    <n v="86"/>
    <s v="S700_1938"/>
    <s v="Gifts4AllAges.com"/>
    <n v="6175559555"/>
    <s v="8616 Spinnaker Dr."/>
    <m/>
    <s v="Boston"/>
    <s v="MA"/>
    <n v="51003"/>
    <s v="USA"/>
    <s v="NA"/>
    <s v="Yoshido"/>
    <s v="Juri"/>
    <s v="Medium"/>
    <n v="3400"/>
  </r>
  <r>
    <n v="10106"/>
    <n v="30"/>
    <n v="100"/>
    <n v="16"/>
    <n v="3177.3"/>
    <d v="2003-02-17T00:00:00"/>
    <s v="Shipped"/>
    <n v="1"/>
    <x v="0"/>
    <n v="2003"/>
    <x v="5"/>
    <n v="90"/>
    <s v="S700_2047"/>
    <s v="Rovelli Gifts"/>
    <s v="035-640555"/>
    <s v="Via Ludovico il Moro 22"/>
    <m/>
    <s v="Bergamo"/>
    <m/>
    <n v="24100"/>
    <s v="Italy"/>
    <s v="EMEA"/>
    <s v="Rovelli"/>
    <s v="Giovanni"/>
    <s v="Medium"/>
    <n v="3000"/>
  </r>
  <r>
    <n v="10119"/>
    <n v="29"/>
    <n v="94.14"/>
    <n v="7"/>
    <n v="2730.06"/>
    <d v="2003-04-28T00:00:00"/>
    <s v="Shipped"/>
    <n v="2"/>
    <x v="8"/>
    <n v="2003"/>
    <x v="5"/>
    <n v="90"/>
    <s v="S700_2047"/>
    <s v="Salzburg Collectables"/>
    <s v="6562-9555"/>
    <s v="Geislweg 14"/>
    <m/>
    <s v="Salzburg"/>
    <m/>
    <n v="5020"/>
    <s v="Austria"/>
    <s v="EMEA"/>
    <s v="Pipps"/>
    <s v="Georg"/>
    <s v="Small"/>
    <n v="2730.06"/>
  </r>
  <r>
    <n v="10131"/>
    <n v="22"/>
    <n v="85.99"/>
    <n v="8"/>
    <n v="1891.78"/>
    <d v="2003-06-16T00:00:00"/>
    <s v="Shipped"/>
    <n v="2"/>
    <x v="9"/>
    <n v="2003"/>
    <x v="5"/>
    <n v="90"/>
    <s v="S700_2047"/>
    <s v="Gift Ideas Corp."/>
    <n v="2035554407"/>
    <s v="2440 Pompton St."/>
    <m/>
    <s v="Glendale"/>
    <s v="CT"/>
    <n v="97561"/>
    <s v="USA"/>
    <s v="NA"/>
    <s v="Lewis"/>
    <s v="Dan"/>
    <s v="Small"/>
    <n v="1891.78"/>
  </r>
  <r>
    <n v="10143"/>
    <n v="26"/>
    <n v="100"/>
    <n v="11"/>
    <n v="2612.48"/>
    <d v="2003-08-10T00:00:00"/>
    <s v="Shipped"/>
    <n v="3"/>
    <x v="3"/>
    <n v="2003"/>
    <x v="5"/>
    <n v="90"/>
    <s v="S700_2047"/>
    <s v="Mini Creations Ltd."/>
    <n v="5085559555"/>
    <s v="4575 Hillside Dr."/>
    <m/>
    <s v="New Bedford"/>
    <s v="MA"/>
    <n v="50553"/>
    <s v="USA"/>
    <s v="NA"/>
    <s v="Tam"/>
    <s v="Wing C"/>
    <s v="Small"/>
    <n v="2600"/>
  </r>
  <r>
    <n v="10155"/>
    <n v="32"/>
    <n v="91.43"/>
    <n v="9"/>
    <n v="2925.76"/>
    <d v="2003-10-06T00:00:00"/>
    <s v="Shipped"/>
    <n v="4"/>
    <x v="4"/>
    <n v="2003"/>
    <x v="5"/>
    <n v="90"/>
    <s v="S700_2047"/>
    <s v="Toys of Finland, Co."/>
    <s v="90-224 8555"/>
    <s v="Keskuskatu 45"/>
    <m/>
    <s v="Helsinki"/>
    <m/>
    <n v="21240"/>
    <s v="Finland"/>
    <s v="EMEA"/>
    <s v="Karttunen"/>
    <s v="Matti"/>
    <s v="Small"/>
    <n v="2925.76"/>
  </r>
  <r>
    <n v="10167"/>
    <n v="29"/>
    <n v="100"/>
    <n v="5"/>
    <n v="2940.02"/>
    <d v="2003-10-23T00:00:00"/>
    <s v="Cancelled"/>
    <n v="4"/>
    <x v="4"/>
    <n v="2003"/>
    <x v="5"/>
    <n v="90"/>
    <s v="S700_2047"/>
    <s v="Scandinavian Gift Ideas"/>
    <s v="0695-34 6555"/>
    <s v="?kergatan 24"/>
    <m/>
    <s v="Boras"/>
    <m/>
    <s v="S-844 67"/>
    <s v="Sweden"/>
    <s v="EMEA"/>
    <s v="Larsson"/>
    <s v="Maria"/>
    <s v="Small"/>
    <n v="2900"/>
  </r>
  <r>
    <n v="10178"/>
    <n v="34"/>
    <n v="96.86"/>
    <n v="8"/>
    <n v="3293.24"/>
    <d v="2003-11-08T00:00:00"/>
    <s v="Shipped"/>
    <n v="4"/>
    <x v="5"/>
    <n v="2003"/>
    <x v="5"/>
    <n v="90"/>
    <s v="S700_2047"/>
    <s v="Alpha Cognac"/>
    <s v="61.77.6555"/>
    <s v="1 rue Alsace-Lorraine"/>
    <m/>
    <s v="Toulouse"/>
    <m/>
    <n v="31000"/>
    <s v="France"/>
    <s v="EMEA"/>
    <s v="Roulet"/>
    <s v="Annette"/>
    <s v="Medium"/>
    <n v="3293.24"/>
  </r>
  <r>
    <n v="10186"/>
    <n v="24"/>
    <n v="99.57"/>
    <n v="5"/>
    <n v="2389.6799999999998"/>
    <d v="2003-11-14T00:00:00"/>
    <s v="Shipped"/>
    <n v="4"/>
    <x v="5"/>
    <n v="2003"/>
    <x v="5"/>
    <n v="90"/>
    <s v="S700_2047"/>
    <s v="Double Decker Gift Stores, Ltd"/>
    <s v="(171) 555-7555"/>
    <s v="120 Hanover Sq."/>
    <m/>
    <s v="London"/>
    <m/>
    <s v="WA1 1DP"/>
    <s v="UK"/>
    <s v="EMEA"/>
    <s v="Hardy"/>
    <s v="Thomas"/>
    <s v="Small"/>
    <n v="2389.6799999999998"/>
  </r>
  <r>
    <n v="10197"/>
    <n v="24"/>
    <n v="90.52"/>
    <n v="2"/>
    <n v="2172.48"/>
    <d v="2003-11-26T00:00:00"/>
    <s v="Shipped"/>
    <n v="4"/>
    <x v="5"/>
    <n v="2003"/>
    <x v="5"/>
    <n v="90"/>
    <s v="S700_2047"/>
    <s v="Enaco Distributors"/>
    <s v="(93) 203 4555"/>
    <s v="Rambla de Catalu¤a, 23"/>
    <m/>
    <s v="Barcelona"/>
    <m/>
    <n v="8022"/>
    <s v="Spain"/>
    <s v="EMEA"/>
    <s v="Saavedra"/>
    <s v="Eduardo"/>
    <s v="Small"/>
    <n v="2172.48"/>
  </r>
  <r>
    <n v="10209"/>
    <n v="33"/>
    <n v="88.71"/>
    <n v="4"/>
    <n v="2927.43"/>
    <d v="2004-01-09T00:00:00"/>
    <s v="Shipped"/>
    <n v="1"/>
    <x v="7"/>
    <n v="2004"/>
    <x v="5"/>
    <n v="90"/>
    <s v="S700_2047"/>
    <s v="Men 'R' US Retailers, Ltd."/>
    <n v="2155554369"/>
    <s v="6047 Douglas Av."/>
    <m/>
    <s v="Los Angeles"/>
    <s v="CA"/>
    <m/>
    <s v="USA"/>
    <s v="NA"/>
    <s v="Chandler"/>
    <s v="Michael"/>
    <s v="Small"/>
    <n v="2927.43"/>
  </r>
  <r>
    <n v="10222"/>
    <n v="26"/>
    <n v="100"/>
    <n v="8"/>
    <n v="2659.54"/>
    <d v="2004-02-19T00:00:00"/>
    <s v="Shipped"/>
    <n v="1"/>
    <x v="0"/>
    <n v="2004"/>
    <x v="5"/>
    <n v="90"/>
    <s v="S700_2047"/>
    <s v="Collectable Mini Designs Co."/>
    <n v="7605558146"/>
    <s v="361 Furth Circle"/>
    <m/>
    <s v="San Diego"/>
    <s v="CA"/>
    <n v="91217"/>
    <s v="USA"/>
    <s v="NA"/>
    <s v="Thompson"/>
    <s v="Valarie"/>
    <s v="Small"/>
    <n v="2600"/>
  </r>
  <r>
    <n v="10249"/>
    <n v="40"/>
    <n v="95.95"/>
    <n v="4"/>
    <n v="3838"/>
    <d v="2004-05-08T00:00:00"/>
    <s v="Shipped"/>
    <n v="2"/>
    <x v="1"/>
    <n v="2004"/>
    <x v="5"/>
    <n v="90"/>
    <s v="S700_2047"/>
    <s v="Cambridge Collectables Co."/>
    <n v="6175555555"/>
    <s v="4658 Baden Av."/>
    <m/>
    <s v="Cambridge"/>
    <s v="MA"/>
    <n v="51247"/>
    <s v="USA"/>
    <s v="NA"/>
    <s v="Tseng"/>
    <s v="Kyung"/>
    <s v="Medium"/>
    <n v="3838"/>
  </r>
  <r>
    <n v="10262"/>
    <n v="44"/>
    <n v="94.14"/>
    <n v="13"/>
    <n v="4142.16"/>
    <d v="2004-06-24T00:00:00"/>
    <s v="Cancelled"/>
    <n v="2"/>
    <x v="9"/>
    <n v="2004"/>
    <x v="5"/>
    <n v="90"/>
    <s v="S700_2047"/>
    <s v="Euro Shopping Channel"/>
    <s v="(91) 555 94 44"/>
    <s v="C/ Moralzarzal, 86"/>
    <m/>
    <s v="Madrid"/>
    <m/>
    <n v="28034"/>
    <s v="Spain"/>
    <s v="EMEA"/>
    <s v="Freyre"/>
    <s v="Diego"/>
    <s v="Medium"/>
    <n v="4142.16"/>
  </r>
  <r>
    <n v="10274"/>
    <n v="24"/>
    <n v="90.52"/>
    <n v="5"/>
    <n v="2172.48"/>
    <d v="2004-07-21T00:00:00"/>
    <s v="Shipped"/>
    <n v="3"/>
    <x v="2"/>
    <n v="2004"/>
    <x v="5"/>
    <n v="90"/>
    <s v="S700_2047"/>
    <s v="Collectables For Less Inc."/>
    <n v="6175558555"/>
    <s v="7825 Douglas Av."/>
    <m/>
    <s v="Brickhaven"/>
    <s v="MA"/>
    <n v="58339"/>
    <s v="USA"/>
    <s v="NA"/>
    <s v="Nelson"/>
    <s v="Allen"/>
    <s v="Small"/>
    <n v="2172.48"/>
  </r>
  <r>
    <n v="10283"/>
    <n v="20"/>
    <n v="94.14"/>
    <n v="2"/>
    <n v="1882.8"/>
    <d v="2004-08-20T00:00:00"/>
    <s v="Shipped"/>
    <n v="3"/>
    <x v="3"/>
    <n v="2004"/>
    <x v="5"/>
    <n v="90"/>
    <s v="S700_204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1882.8"/>
  </r>
  <r>
    <n v="10296"/>
    <n v="34"/>
    <n v="100"/>
    <n v="11"/>
    <n v="3477.86"/>
    <d v="2004-09-15T00:00:00"/>
    <s v="Shipped"/>
    <n v="3"/>
    <x v="10"/>
    <n v="2004"/>
    <x v="5"/>
    <n v="90"/>
    <s v="S700_2047"/>
    <s v="Bavarian Collectables Imports, Co."/>
    <s v="+49 89 61 08 9555"/>
    <s v="Hansastr. 15"/>
    <m/>
    <s v="Munich"/>
    <m/>
    <n v="80686"/>
    <s v="Germany"/>
    <s v="EMEA"/>
    <s v="Donnermeyer"/>
    <s v="Michael"/>
    <s v="Medium"/>
    <n v="3400"/>
  </r>
  <r>
    <n v="10307"/>
    <n v="34"/>
    <n v="97.76"/>
    <n v="5"/>
    <n v="3323.84"/>
    <d v="2004-10-14T00:00:00"/>
    <s v="Shipped"/>
    <n v="4"/>
    <x v="4"/>
    <n v="2004"/>
    <x v="5"/>
    <n v="90"/>
    <s v="S700_2047"/>
    <s v="Classic Gift Ideas, Inc"/>
    <n v="2155554695"/>
    <s v="782 First Street"/>
    <m/>
    <s v="Philadelphia"/>
    <s v="PA"/>
    <n v="71270"/>
    <s v="USA"/>
    <s v="NA"/>
    <s v="Cervantes"/>
    <s v="Francisca"/>
    <s v="Medium"/>
    <n v="3323.84"/>
  </r>
  <r>
    <n v="10316"/>
    <n v="45"/>
    <n v="93.24"/>
    <n v="13"/>
    <n v="4195.8"/>
    <d v="2004-11-01T00:00:00"/>
    <s v="Shipped"/>
    <n v="4"/>
    <x v="5"/>
    <n v="2004"/>
    <x v="5"/>
    <n v="90"/>
    <s v="S700_2047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4195.8"/>
  </r>
  <r>
    <n v="10328"/>
    <n v="41"/>
    <n v="100"/>
    <n v="9"/>
    <n v="4156.58"/>
    <d v="2004-11-12T00:00:00"/>
    <s v="Shipped"/>
    <n v="4"/>
    <x v="5"/>
    <n v="2004"/>
    <x v="5"/>
    <n v="90"/>
    <s v="S700_2047"/>
    <s v="Rovelli Gifts"/>
    <s v="035-640555"/>
    <s v="Via Ludovico il Moro 22"/>
    <m/>
    <s v="Bergamo"/>
    <m/>
    <n v="24100"/>
    <s v="Italy"/>
    <s v="EMEA"/>
    <s v="Rovelli"/>
    <s v="Giovanni"/>
    <s v="Medium"/>
    <n v="4100"/>
  </r>
  <r>
    <n v="10339"/>
    <n v="55"/>
    <n v="71.25"/>
    <n v="15"/>
    <n v="3918.75"/>
    <d v="2004-11-23T00:00:00"/>
    <s v="Shipped"/>
    <n v="4"/>
    <x v="5"/>
    <n v="2004"/>
    <x v="5"/>
    <n v="90"/>
    <s v="S700_2047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3918.75"/>
  </r>
  <r>
    <n v="10352"/>
    <n v="23"/>
    <n v="100"/>
    <n v="3"/>
    <n v="2352.67"/>
    <d v="2004-12-03T00:00:00"/>
    <s v="Shipped"/>
    <n v="4"/>
    <x v="6"/>
    <n v="2004"/>
    <x v="5"/>
    <n v="90"/>
    <s v="S700_2047"/>
    <s v="Auto-Moto Classics Inc."/>
    <n v="6175558428"/>
    <s v="16780 Pompton St."/>
    <m/>
    <s v="Brickhaven"/>
    <s v="MA"/>
    <n v="58339"/>
    <s v="USA"/>
    <s v="NA"/>
    <s v="Taylor"/>
    <s v="Leslie"/>
    <s v="Small"/>
    <n v="2300"/>
  </r>
  <r>
    <n v="10361"/>
    <n v="24"/>
    <n v="45.39"/>
    <n v="14"/>
    <n v="1089.3599999999999"/>
    <d v="2004-12-17T00:00:00"/>
    <s v="Shipped"/>
    <n v="4"/>
    <x v="6"/>
    <n v="2004"/>
    <x v="5"/>
    <n v="90"/>
    <s v="S700_204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1089.3600000000001"/>
  </r>
  <r>
    <n v="10373"/>
    <n v="32"/>
    <n v="84.41"/>
    <n v="15"/>
    <n v="2701.12"/>
    <d v="2005-01-31T00:00:00"/>
    <s v="Shipped"/>
    <n v="1"/>
    <x v="7"/>
    <n v="2005"/>
    <x v="5"/>
    <n v="90"/>
    <s v="S700_2047"/>
    <s v="Oulu Toy Supplies, Inc."/>
    <s v="981-443655"/>
    <s v="Torikatu 38"/>
    <m/>
    <s v="Oulu"/>
    <m/>
    <n v="90110"/>
    <s v="Finland"/>
    <s v="EMEA"/>
    <s v="Koskitalo"/>
    <s v="Pirkko"/>
    <s v="Small"/>
    <n v="2701.12"/>
  </r>
  <r>
    <n v="10386"/>
    <n v="29"/>
    <n v="85.76"/>
    <n v="13"/>
    <n v="2487.04"/>
    <d v="2005-03-01T00:00:00"/>
    <s v="Resolved"/>
    <n v="1"/>
    <x v="11"/>
    <n v="2005"/>
    <x v="5"/>
    <n v="90"/>
    <s v="S700_2047"/>
    <s v="Euro Shopping Channel"/>
    <s v="(91) 555 94 44"/>
    <s v="C/ Moralzarzal, 86"/>
    <m/>
    <s v="Madrid"/>
    <m/>
    <n v="28034"/>
    <s v="Spain"/>
    <s v="EMEA"/>
    <s v="Freyre"/>
    <s v="Diego"/>
    <s v="Small"/>
    <n v="2487.04"/>
  </r>
  <r>
    <n v="10398"/>
    <n v="36"/>
    <n v="100"/>
    <n v="7"/>
    <n v="3910.32"/>
    <d v="2005-03-30T00:00:00"/>
    <s v="Shipped"/>
    <n v="1"/>
    <x v="11"/>
    <n v="2005"/>
    <x v="5"/>
    <n v="90"/>
    <s v="S700_2047"/>
    <s v="Reims Collectables"/>
    <s v="26.47.1555"/>
    <s v="59 rue de l'Abbaye"/>
    <m/>
    <s v="Reims"/>
    <m/>
    <n v="51100"/>
    <s v="France"/>
    <s v="EMEA"/>
    <s v="Henriot"/>
    <s v="Paul"/>
    <s v="Medium"/>
    <n v="3600"/>
  </r>
  <r>
    <n v="10400"/>
    <n v="46"/>
    <n v="87.8"/>
    <n v="5"/>
    <n v="4038.8"/>
    <d v="2005-04-01T00:00:00"/>
    <s v="Shipped"/>
    <n v="2"/>
    <x v="8"/>
    <n v="2005"/>
    <x v="5"/>
    <n v="90"/>
    <s v="S700_2047"/>
    <s v="The Sharp Gifts Warehouse"/>
    <n v="4085553659"/>
    <s v="3086 Ingle Ln."/>
    <m/>
    <s v="San Jose"/>
    <s v="CA"/>
    <n v="94217"/>
    <s v="USA"/>
    <s v="NA"/>
    <s v="Frick"/>
    <s v="Sue"/>
    <s v="Medium"/>
    <n v="4038.7999999999997"/>
  </r>
  <r>
    <n v="10415"/>
    <n v="32"/>
    <n v="95.95"/>
    <n v="4"/>
    <n v="3070.4"/>
    <d v="2005-05-09T00:00:00"/>
    <s v="Disputed"/>
    <n v="2"/>
    <x v="1"/>
    <n v="2005"/>
    <x v="5"/>
    <n v="90"/>
    <s v="S700_2047"/>
    <s v="Australian Collectables, Ltd"/>
    <s v="61-9-3844-6555"/>
    <s v="7 Allen Street"/>
    <m/>
    <s v="Glen Waverly"/>
    <s v="Victoria"/>
    <n v="3150"/>
    <s v="Australia"/>
    <s v="APAC"/>
    <s v="Connery"/>
    <s v="Sean"/>
    <s v="Medium"/>
    <n v="3070.4"/>
  </r>
  <r>
    <n v="10106"/>
    <n v="34"/>
    <n v="100"/>
    <n v="9"/>
    <n v="3763.46"/>
    <d v="2003-02-17T00:00:00"/>
    <s v="Shipped"/>
    <n v="1"/>
    <x v="0"/>
    <n v="2003"/>
    <x v="4"/>
    <n v="99"/>
    <s v="S700_2466"/>
    <s v="Rovelli Gifts"/>
    <s v="035-640555"/>
    <s v="Via Ludovico il Moro 22"/>
    <m/>
    <s v="Bergamo"/>
    <m/>
    <n v="24100"/>
    <s v="Italy"/>
    <s v="EMEA"/>
    <s v="Rovelli"/>
    <s v="Giovanni"/>
    <s v="Medium"/>
    <n v="3400"/>
  </r>
  <r>
    <n v="10120"/>
    <n v="24"/>
    <n v="100"/>
    <n v="15"/>
    <n v="2584.8000000000002"/>
    <d v="2003-04-29T00:00:00"/>
    <s v="Shipped"/>
    <n v="2"/>
    <x v="8"/>
    <n v="2003"/>
    <x v="4"/>
    <n v="99"/>
    <s v="S700_2466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2400"/>
  </r>
  <r>
    <n v="10131"/>
    <n v="40"/>
    <n v="100"/>
    <n v="1"/>
    <n v="4427.6000000000004"/>
    <d v="2003-06-16T00:00:00"/>
    <s v="Shipped"/>
    <n v="2"/>
    <x v="9"/>
    <n v="2003"/>
    <x v="4"/>
    <n v="99"/>
    <s v="S700_2466"/>
    <s v="Gift Ideas Corp."/>
    <n v="2035554407"/>
    <s v="2440 Pompton St."/>
    <m/>
    <s v="Glendale"/>
    <s v="CT"/>
    <n v="97561"/>
    <s v="USA"/>
    <s v="NA"/>
    <s v="Lewis"/>
    <s v="Dan"/>
    <s v="Medium"/>
    <n v="4000"/>
  </r>
  <r>
    <n v="10143"/>
    <n v="26"/>
    <n v="82.77"/>
    <n v="4"/>
    <n v="2152.02"/>
    <d v="2003-08-10T00:00:00"/>
    <s v="Shipped"/>
    <n v="3"/>
    <x v="3"/>
    <n v="2003"/>
    <x v="4"/>
    <n v="99"/>
    <s v="S700_2466"/>
    <s v="Mini Creations Ltd."/>
    <n v="5085559555"/>
    <s v="4575 Hillside Dr."/>
    <m/>
    <s v="New Bedford"/>
    <s v="MA"/>
    <n v="50553"/>
    <s v="USA"/>
    <s v="NA"/>
    <s v="Tam"/>
    <s v="Wing C"/>
    <s v="Small"/>
    <n v="2152.02"/>
  </r>
  <r>
    <n v="10155"/>
    <n v="20"/>
    <n v="100"/>
    <n v="2"/>
    <n v="2353.4"/>
    <d v="2003-10-06T00:00:00"/>
    <s v="Shipped"/>
    <n v="4"/>
    <x v="4"/>
    <n v="2003"/>
    <x v="4"/>
    <n v="99"/>
    <s v="S700_2466"/>
    <s v="Toys of Finland, Co."/>
    <s v="90-224 8555"/>
    <s v="Keskuskatu 45"/>
    <m/>
    <s v="Helsinki"/>
    <m/>
    <n v="21240"/>
    <s v="Finland"/>
    <s v="EMEA"/>
    <s v="Karttunen"/>
    <s v="Matti"/>
    <s v="Small"/>
    <n v="2000"/>
  </r>
  <r>
    <n v="10168"/>
    <n v="31"/>
    <n v="100"/>
    <n v="16"/>
    <n v="3431.39"/>
    <d v="2003-10-28T00:00:00"/>
    <s v="Shipped"/>
    <n v="4"/>
    <x v="4"/>
    <n v="2003"/>
    <x v="4"/>
    <n v="99"/>
    <s v="S700_2466"/>
    <s v="Technics Stores Inc."/>
    <n v="6505556809"/>
    <s v="9408 Furth Circle"/>
    <m/>
    <s v="Burlingame"/>
    <s v="CA"/>
    <n v="94217"/>
    <s v="USA"/>
    <s v="NA"/>
    <s v="Hirano"/>
    <s v="Juri"/>
    <s v="Medium"/>
    <n v="3100"/>
  </r>
  <r>
    <n v="10178"/>
    <n v="22"/>
    <n v="87.75"/>
    <n v="1"/>
    <n v="1930.5"/>
    <d v="2003-11-08T00:00:00"/>
    <s v="Shipped"/>
    <n v="4"/>
    <x v="5"/>
    <n v="2003"/>
    <x v="4"/>
    <n v="99"/>
    <s v="S700_2466"/>
    <s v="Alpha Cognac"/>
    <s v="61.77.6555"/>
    <s v="1 rue Alsace-Lorraine"/>
    <m/>
    <s v="Toulouse"/>
    <m/>
    <n v="31000"/>
    <s v="France"/>
    <s v="EMEA"/>
    <s v="Roulet"/>
    <s v="Annette"/>
    <s v="Small"/>
    <n v="1930.5"/>
  </r>
  <r>
    <n v="10198"/>
    <n v="42"/>
    <n v="100"/>
    <n v="1"/>
    <n v="4774.5600000000004"/>
    <d v="2003-11-27T00:00:00"/>
    <s v="Shipped"/>
    <n v="4"/>
    <x v="5"/>
    <n v="2003"/>
    <x v="4"/>
    <n v="99"/>
    <s v="S700_2466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  <n v="4200"/>
  </r>
  <r>
    <n v="10210"/>
    <n v="26"/>
    <n v="99.72"/>
    <n v="14"/>
    <n v="2592.7199999999998"/>
    <d v="2004-01-12T00:00:00"/>
    <s v="Shipped"/>
    <n v="1"/>
    <x v="7"/>
    <n v="2004"/>
    <x v="4"/>
    <n v="99"/>
    <s v="S700_2466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2592.7199999999998"/>
  </r>
  <r>
    <n v="10222"/>
    <n v="37"/>
    <n v="87.75"/>
    <n v="1"/>
    <n v="3246.75"/>
    <d v="2004-02-19T00:00:00"/>
    <s v="Shipped"/>
    <n v="1"/>
    <x v="0"/>
    <n v="2004"/>
    <x v="4"/>
    <n v="99"/>
    <s v="S700_2466"/>
    <s v="Collectable Mini Designs Co."/>
    <n v="7605558146"/>
    <s v="361 Furth Circle"/>
    <m/>
    <s v="San Diego"/>
    <s v="CA"/>
    <n v="91217"/>
    <s v="USA"/>
    <s v="NA"/>
    <s v="Thompson"/>
    <s v="Valarie"/>
    <s v="Medium"/>
    <n v="3246.75"/>
  </r>
  <r>
    <n v="10235"/>
    <n v="38"/>
    <n v="88.75"/>
    <n v="10"/>
    <n v="3372.5"/>
    <d v="2004-04-02T00:00:00"/>
    <s v="Shipped"/>
    <n v="2"/>
    <x v="8"/>
    <n v="2004"/>
    <x v="4"/>
    <n v="99"/>
    <s v="S700_2466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3372.5"/>
  </r>
  <r>
    <n v="10250"/>
    <n v="35"/>
    <n v="100"/>
    <n v="11"/>
    <n v="3909.15"/>
    <d v="2004-05-11T00:00:00"/>
    <s v="Shipped"/>
    <n v="2"/>
    <x v="1"/>
    <n v="2004"/>
    <x v="4"/>
    <n v="99"/>
    <s v="S700_2466"/>
    <s v="The Sharp Gifts Warehouse"/>
    <n v="4085553659"/>
    <s v="3086 Ingle Ln."/>
    <m/>
    <s v="San Jose"/>
    <s v="CA"/>
    <n v="94217"/>
    <s v="USA"/>
    <s v="NA"/>
    <s v="Frick"/>
    <s v="Sue"/>
    <s v="Medium"/>
    <n v="3500"/>
  </r>
  <r>
    <n v="10262"/>
    <n v="33"/>
    <n v="90.75"/>
    <n v="6"/>
    <n v="2994.75"/>
    <d v="2004-06-24T00:00:00"/>
    <s v="Cancelled"/>
    <n v="2"/>
    <x v="9"/>
    <n v="2004"/>
    <x v="4"/>
    <n v="99"/>
    <s v="S700_2466"/>
    <s v="Euro Shopping Channel"/>
    <s v="(91) 555 94 44"/>
    <s v="C/ Moralzarzal, 86"/>
    <m/>
    <s v="Madrid"/>
    <m/>
    <n v="28034"/>
    <s v="Spain"/>
    <s v="EMEA"/>
    <s v="Freyre"/>
    <s v="Diego"/>
    <s v="Small"/>
    <n v="2994.75"/>
  </r>
  <r>
    <n v="10275"/>
    <n v="39"/>
    <n v="100"/>
    <n v="16"/>
    <n v="4472.5200000000004"/>
    <d v="2004-07-23T00:00:00"/>
    <s v="Shipped"/>
    <n v="3"/>
    <x v="2"/>
    <n v="2004"/>
    <x v="4"/>
    <n v="99"/>
    <s v="S700_2466"/>
    <s v="La Rochelle Gifts"/>
    <s v="40.67.8555"/>
    <s v="67, rue des Cinquante Otages"/>
    <m/>
    <s v="Nantes"/>
    <m/>
    <n v="44000"/>
    <s v="France"/>
    <s v="EMEA"/>
    <s v="Labrune"/>
    <s v="Janine"/>
    <s v="Medium"/>
    <n v="3900"/>
  </r>
  <r>
    <n v="10284"/>
    <n v="45"/>
    <n v="100"/>
    <n v="8"/>
    <n v="4576.95"/>
    <d v="2004-08-21T00:00:00"/>
    <s v="Shipped"/>
    <n v="3"/>
    <x v="3"/>
    <n v="2004"/>
    <x v="4"/>
    <n v="99"/>
    <s v="S700_2466"/>
    <s v="Norway Gifts By Mail, Co."/>
    <s v="+47 2212 1555"/>
    <s v="Drammensveien 126 A, PB 744 Sentrum"/>
    <m/>
    <s v="Oslo"/>
    <m/>
    <s v="N 0106"/>
    <s v="Norway"/>
    <s v="EMEA"/>
    <s v="Klaeboe"/>
    <s v="Jan"/>
    <s v="Medium"/>
    <n v="4500"/>
  </r>
  <r>
    <n v="10296"/>
    <n v="24"/>
    <n v="100"/>
    <n v="4"/>
    <n v="2441.04"/>
    <d v="2004-09-15T00:00:00"/>
    <s v="Shipped"/>
    <n v="3"/>
    <x v="10"/>
    <n v="2004"/>
    <x v="4"/>
    <n v="99"/>
    <s v="S700_2466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2400"/>
  </r>
  <r>
    <n v="10308"/>
    <n v="35"/>
    <n v="88.75"/>
    <n v="14"/>
    <n v="3106.25"/>
    <d v="2004-10-15T00:00:00"/>
    <s v="Shipped"/>
    <n v="4"/>
    <x v="4"/>
    <n v="2004"/>
    <x v="4"/>
    <n v="99"/>
    <s v="S700_2466"/>
    <s v="Mini Classics"/>
    <n v="9145554562"/>
    <s v="3758 North Pendale Street"/>
    <m/>
    <s v="White Plains"/>
    <s v="NY"/>
    <n v="24067"/>
    <s v="USA"/>
    <s v="NA"/>
    <s v="Frick"/>
    <s v="Steve"/>
    <s v="Medium"/>
    <n v="3106.25"/>
  </r>
  <r>
    <n v="10316"/>
    <n v="23"/>
    <n v="100"/>
    <n v="6"/>
    <n v="2706.41"/>
    <d v="2004-11-01T00:00:00"/>
    <s v="Shipped"/>
    <n v="4"/>
    <x v="5"/>
    <n v="2004"/>
    <x v="4"/>
    <n v="99"/>
    <s v="S700_2466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300"/>
  </r>
  <r>
    <n v="10328"/>
    <n v="37"/>
    <n v="100"/>
    <n v="10"/>
    <n v="4021.53"/>
    <d v="2004-11-12T00:00:00"/>
    <s v="Shipped"/>
    <n v="4"/>
    <x v="5"/>
    <n v="2004"/>
    <x v="4"/>
    <n v="99"/>
    <s v="S700_2466"/>
    <s v="Rovelli Gifts"/>
    <s v="035-640555"/>
    <s v="Via Ludovico il Moro 22"/>
    <m/>
    <s v="Bergamo"/>
    <m/>
    <n v="24100"/>
    <s v="Italy"/>
    <s v="EMEA"/>
    <s v="Rovelli"/>
    <s v="Giovanni"/>
    <s v="Medium"/>
    <n v="3700"/>
  </r>
  <r>
    <n v="10340"/>
    <n v="55"/>
    <n v="87.75"/>
    <n v="7"/>
    <n v="4826.25"/>
    <d v="2004-11-24T00:00:00"/>
    <s v="Shipped"/>
    <n v="4"/>
    <x v="5"/>
    <n v="2004"/>
    <x v="4"/>
    <n v="99"/>
    <s v="S700_2466"/>
    <s v="Enaco Distributors"/>
    <s v="(93) 203 4555"/>
    <s v="Rambla de Catalu¤a, 23"/>
    <m/>
    <s v="Barcelona"/>
    <m/>
    <n v="8022"/>
    <s v="Spain"/>
    <s v="EMEA"/>
    <s v="Saavedra"/>
    <s v="Eduardo"/>
    <s v="Medium"/>
    <n v="4826.25"/>
  </r>
  <r>
    <n v="10352"/>
    <n v="49"/>
    <n v="100"/>
    <n v="2"/>
    <n v="4935.28"/>
    <d v="2004-12-03T00:00:00"/>
    <s v="Shipped"/>
    <n v="4"/>
    <x v="6"/>
    <n v="2004"/>
    <x v="4"/>
    <n v="99"/>
    <s v="S700_2466"/>
    <s v="Auto-Moto Classics Inc."/>
    <n v="6175558428"/>
    <s v="16780 Pompton St."/>
    <m/>
    <s v="Brickhaven"/>
    <s v="MA"/>
    <n v="58339"/>
    <s v="USA"/>
    <s v="NA"/>
    <s v="Taylor"/>
    <s v="Leslie"/>
    <s v="Medium"/>
    <n v="4900"/>
  </r>
  <r>
    <n v="10361"/>
    <n v="26"/>
    <n v="100"/>
    <n v="9"/>
    <n v="2754.7"/>
    <d v="2004-12-17T00:00:00"/>
    <s v="Shipped"/>
    <n v="4"/>
    <x v="6"/>
    <n v="2004"/>
    <x v="4"/>
    <n v="99"/>
    <s v="S700_24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600"/>
  </r>
  <r>
    <n v="10375"/>
    <n v="33"/>
    <n v="100"/>
    <n v="1"/>
    <n v="3856.71"/>
    <d v="2005-02-03T00:00:00"/>
    <s v="Shipped"/>
    <n v="1"/>
    <x v="0"/>
    <n v="2005"/>
    <x v="4"/>
    <n v="99"/>
    <s v="S700_2466"/>
    <s v="La Rochelle Gifts"/>
    <s v="40.67.8555"/>
    <s v="67, rue des Cinquante Otages"/>
    <m/>
    <s v="Nantes"/>
    <m/>
    <n v="44000"/>
    <s v="France"/>
    <s v="EMEA"/>
    <s v="Labrune"/>
    <s v="Janine"/>
    <s v="Medium"/>
    <n v="3300"/>
  </r>
  <r>
    <n v="10386"/>
    <n v="37"/>
    <n v="83.84"/>
    <n v="14"/>
    <n v="3102.08"/>
    <d v="2005-03-01T00:00:00"/>
    <s v="Resolved"/>
    <n v="1"/>
    <x v="11"/>
    <n v="2005"/>
    <x v="4"/>
    <n v="99"/>
    <s v="S700_2466"/>
    <s v="Euro Shopping Channel"/>
    <s v="(91) 555 94 44"/>
    <s v="C/ Moralzarzal, 86"/>
    <m/>
    <s v="Madrid"/>
    <m/>
    <n v="28034"/>
    <s v="Spain"/>
    <s v="EMEA"/>
    <s v="Freyre"/>
    <s v="Diego"/>
    <s v="Medium"/>
    <n v="3102.08"/>
  </r>
  <r>
    <n v="10398"/>
    <n v="22"/>
    <n v="86.76"/>
    <n v="8"/>
    <n v="1908.72"/>
    <d v="2005-03-30T00:00:00"/>
    <s v="Shipped"/>
    <n v="1"/>
    <x v="11"/>
    <n v="2005"/>
    <x v="4"/>
    <n v="99"/>
    <s v="S700_2466"/>
    <s v="Reims Collectables"/>
    <s v="26.47.1555"/>
    <s v="59 rue de l'Abbaye"/>
    <m/>
    <s v="Reims"/>
    <m/>
    <n v="51100"/>
    <s v="France"/>
    <s v="EMEA"/>
    <s v="Henriot"/>
    <s v="Paul"/>
    <s v="Small"/>
    <n v="1908.72"/>
  </r>
  <r>
    <n v="10401"/>
    <n v="85"/>
    <n v="88.75"/>
    <n v="10"/>
    <n v="7543.75"/>
    <d v="2005-04-03T00:00:00"/>
    <s v="On Hold"/>
    <n v="2"/>
    <x v="8"/>
    <n v="2005"/>
    <x v="4"/>
    <n v="99"/>
    <s v="S700_2466"/>
    <s v="Tekni Collectables Inc."/>
    <n v="2015559350"/>
    <s v="7476 Moss Rd."/>
    <m/>
    <s v="Newark"/>
    <s v="NJ"/>
    <n v="94019"/>
    <s v="USA"/>
    <s v="NA"/>
    <s v="Brown"/>
    <s v="William"/>
    <s v="Large"/>
    <n v="7543.75"/>
  </r>
  <r>
    <n v="10416"/>
    <n v="22"/>
    <n v="100"/>
    <n v="11"/>
    <n v="2457.1799999999998"/>
    <d v="2005-05-10T00:00:00"/>
    <s v="Shipped"/>
    <n v="2"/>
    <x v="1"/>
    <n v="2005"/>
    <x v="4"/>
    <n v="99"/>
    <s v="S700_2466"/>
    <s v="L'ordine Souveniers"/>
    <s v="0522-556555"/>
    <s v="Strada Provinciale 124"/>
    <m/>
    <s v="Reggio Emilia"/>
    <m/>
    <n v="42100"/>
    <s v="Italy"/>
    <s v="EMEA"/>
    <s v="Moroni"/>
    <s v="Maurizio"/>
    <s v="Small"/>
    <n v="2200"/>
  </r>
  <r>
    <n v="10105"/>
    <n v="31"/>
    <n v="65.77"/>
    <n v="3"/>
    <n v="2038.87"/>
    <d v="2003-02-11T00:00:00"/>
    <s v="Shipped"/>
    <n v="1"/>
    <x v="0"/>
    <n v="2003"/>
    <x v="5"/>
    <n v="72"/>
    <s v="S700_2610"/>
    <s v="Danish Wholesale Imports"/>
    <s v="31 12 3555"/>
    <s v="Vinb'ltet 34"/>
    <m/>
    <s v="Kobenhavn"/>
    <m/>
    <n v="1734"/>
    <s v="Denmark"/>
    <s v="EMEA"/>
    <s v="Petersen"/>
    <s v="Jytte"/>
    <s v="Small"/>
    <n v="2038.87"/>
  </r>
  <r>
    <n v="10119"/>
    <n v="38"/>
    <n v="65.77"/>
    <n v="12"/>
    <n v="2499.2600000000002"/>
    <d v="2003-04-28T00:00:00"/>
    <s v="Shipped"/>
    <n v="2"/>
    <x v="8"/>
    <n v="2003"/>
    <x v="5"/>
    <n v="72"/>
    <s v="S700_2610"/>
    <s v="Salzburg Collectables"/>
    <s v="6562-9555"/>
    <s v="Geislweg 14"/>
    <m/>
    <s v="Salzburg"/>
    <m/>
    <n v="5020"/>
    <s v="Austria"/>
    <s v="EMEA"/>
    <s v="Pipps"/>
    <s v="Georg"/>
    <s v="Small"/>
    <n v="2499.2599999999998"/>
  </r>
  <r>
    <n v="10129"/>
    <n v="45"/>
    <n v="85.29"/>
    <n v="3"/>
    <n v="3838.05"/>
    <d v="2003-06-12T00:00:00"/>
    <s v="Shipped"/>
    <n v="2"/>
    <x v="9"/>
    <n v="2003"/>
    <x v="5"/>
    <n v="72"/>
    <s v="S700_2610"/>
    <s v="Stylish Desk Decors, Co."/>
    <s v="(171) 555-0297"/>
    <s v="35 King George"/>
    <m/>
    <s v="London"/>
    <m/>
    <s v="WX3 6FW"/>
    <s v="UK"/>
    <s v="EMEA"/>
    <s v="Brown"/>
    <s v="Ann"/>
    <s v="Medium"/>
    <n v="3838.05"/>
  </r>
  <r>
    <n v="10143"/>
    <n v="31"/>
    <n v="85.29"/>
    <n v="16"/>
    <n v="2643.99"/>
    <d v="2003-08-10T00:00:00"/>
    <s v="Shipped"/>
    <n v="3"/>
    <x v="3"/>
    <n v="2003"/>
    <x v="5"/>
    <n v="72"/>
    <s v="S700_2610"/>
    <s v="Mini Creations Ltd."/>
    <n v="5085559555"/>
    <s v="4575 Hillside Dr."/>
    <m/>
    <s v="New Bedford"/>
    <s v="MA"/>
    <n v="50553"/>
    <s v="USA"/>
    <s v="NA"/>
    <s v="Tam"/>
    <s v="Wing C"/>
    <s v="Small"/>
    <n v="2643.9900000000002"/>
  </r>
  <r>
    <n v="10154"/>
    <n v="36"/>
    <n v="64.33"/>
    <n v="1"/>
    <n v="2315.88"/>
    <d v="2003-10-02T00:00:00"/>
    <s v="Shipped"/>
    <n v="4"/>
    <x v="4"/>
    <n v="2003"/>
    <x v="5"/>
    <n v="72"/>
    <s v="S700_2610"/>
    <s v="Boards &amp; Toys Co."/>
    <n v="3105552373"/>
    <s v="4097 Douglas Av."/>
    <m/>
    <s v="Glendale"/>
    <s v="CA"/>
    <n v="92561"/>
    <s v="USA"/>
    <s v="NA"/>
    <s v="Young"/>
    <s v="Leslie"/>
    <s v="Small"/>
    <n v="2315.88"/>
  </r>
  <r>
    <n v="10167"/>
    <n v="46"/>
    <n v="70.11"/>
    <n v="10"/>
    <n v="3225.06"/>
    <d v="2003-10-23T00:00:00"/>
    <s v="Cancelled"/>
    <n v="4"/>
    <x v="4"/>
    <n v="2003"/>
    <x v="5"/>
    <n v="72"/>
    <s v="S700_2610"/>
    <s v="Scandinavian Gift Ideas"/>
    <s v="0695-34 6555"/>
    <s v="?kergatan 24"/>
    <m/>
    <s v="Boras"/>
    <m/>
    <s v="S-844 67"/>
    <s v="Sweden"/>
    <s v="EMEA"/>
    <s v="Larsson"/>
    <s v="Maria"/>
    <s v="Medium"/>
    <n v="3225.06"/>
  </r>
  <r>
    <n v="10177"/>
    <n v="32"/>
    <n v="76.62"/>
    <n v="1"/>
    <n v="2451.84"/>
    <d v="2003-11-07T00:00:00"/>
    <s v="Shipped"/>
    <n v="4"/>
    <x v="5"/>
    <n v="2003"/>
    <x v="5"/>
    <n v="72"/>
    <s v="S700_2610"/>
    <s v="CAF Imports"/>
    <s v="+34 913 728 555"/>
    <s v="Merchants House, 27-30 Merchant's Quay"/>
    <m/>
    <s v="Madrid"/>
    <m/>
    <n v="28023"/>
    <s v="Spain"/>
    <s v="EMEA"/>
    <s v="Fernandez"/>
    <s v="Jesus"/>
    <s v="Small"/>
    <n v="2451.84"/>
  </r>
  <r>
    <n v="10185"/>
    <n v="39"/>
    <n v="57.82"/>
    <n v="1"/>
    <n v="2254.98"/>
    <d v="2003-11-14T00:00:00"/>
    <s v="Shipped"/>
    <n v="4"/>
    <x v="5"/>
    <n v="2003"/>
    <x v="5"/>
    <n v="72"/>
    <s v="S700_2610"/>
    <s v="Mini Creations Ltd."/>
    <n v="5085559555"/>
    <s v="4575 Hillside Dr."/>
    <m/>
    <s v="New Bedford"/>
    <s v="MA"/>
    <n v="50553"/>
    <s v="USA"/>
    <s v="NA"/>
    <s v="Tam"/>
    <s v="Wing C"/>
    <s v="Small"/>
    <n v="2254.98"/>
  </r>
  <r>
    <n v="10197"/>
    <n v="50"/>
    <n v="78.790000000000006"/>
    <n v="7"/>
    <n v="3939.5"/>
    <d v="2003-11-26T00:00:00"/>
    <s v="Shipped"/>
    <n v="4"/>
    <x v="5"/>
    <n v="2003"/>
    <x v="5"/>
    <n v="72"/>
    <s v="S700_2610"/>
    <s v="Enaco Distributors"/>
    <s v="(93) 203 4555"/>
    <s v="Rambla de Catalu¤a, 23"/>
    <m/>
    <s v="Barcelona"/>
    <m/>
    <n v="8022"/>
    <s v="Spain"/>
    <s v="EMEA"/>
    <s v="Saavedra"/>
    <s v="Eduardo"/>
    <s v="Medium"/>
    <n v="3939.5000000000005"/>
  </r>
  <r>
    <n v="10208"/>
    <n v="46"/>
    <n v="74.45"/>
    <n v="1"/>
    <n v="3424.7"/>
    <d v="2004-01-02T00:00:00"/>
    <s v="Shipped"/>
    <n v="1"/>
    <x v="7"/>
    <n v="2004"/>
    <x v="5"/>
    <n v="72"/>
    <s v="S700_2610"/>
    <s v="Saveley &amp; Henriot, Co."/>
    <s v="78.32.5555"/>
    <s v="2, rue du Commerce"/>
    <m/>
    <s v="Lyon"/>
    <m/>
    <n v="69004"/>
    <s v="France"/>
    <s v="EMEA"/>
    <s v="Saveley"/>
    <s v="Mary"/>
    <s v="Medium"/>
    <n v="3424.7000000000003"/>
  </r>
  <r>
    <n v="10222"/>
    <n v="36"/>
    <n v="80.95"/>
    <n v="13"/>
    <n v="2914.2"/>
    <d v="2004-02-19T00:00:00"/>
    <s v="Shipped"/>
    <n v="1"/>
    <x v="0"/>
    <n v="2004"/>
    <x v="5"/>
    <n v="72"/>
    <s v="S700_2610"/>
    <s v="Collectable Mini Designs Co."/>
    <n v="7605558146"/>
    <s v="361 Furth Circle"/>
    <m/>
    <s v="San Diego"/>
    <s v="CA"/>
    <n v="91217"/>
    <s v="USA"/>
    <s v="NA"/>
    <s v="Thompson"/>
    <s v="Valarie"/>
    <s v="Small"/>
    <n v="2914.2000000000003"/>
  </r>
  <r>
    <n v="10233"/>
    <n v="29"/>
    <n v="82.4"/>
    <n v="1"/>
    <n v="2389.6"/>
    <d v="2004-03-29T00:00:00"/>
    <s v="Shipped"/>
    <n v="1"/>
    <x v="11"/>
    <n v="2004"/>
    <x v="5"/>
    <n v="72"/>
    <s v="S700_2610"/>
    <s v="Tekni Collectables Inc."/>
    <n v="2015559350"/>
    <s v="7476 Moss Rd."/>
    <m/>
    <s v="Newark"/>
    <s v="NJ"/>
    <n v="94019"/>
    <s v="USA"/>
    <s v="NA"/>
    <s v="Brown"/>
    <s v="William"/>
    <s v="Small"/>
    <n v="2389.6000000000004"/>
  </r>
  <r>
    <n v="10248"/>
    <n v="32"/>
    <n v="75.89"/>
    <n v="4"/>
    <n v="2428.48"/>
    <d v="2004-05-07T00:00:00"/>
    <s v="Cancelled"/>
    <n v="2"/>
    <x v="1"/>
    <n v="2004"/>
    <x v="5"/>
    <n v="72"/>
    <s v="S700_2610"/>
    <s v="Land of Toys Inc."/>
    <n v="2125557818"/>
    <s v="897 Long Airport Avenue"/>
    <m/>
    <s v="NYC"/>
    <s v="NY"/>
    <n v="10022"/>
    <s v="USA"/>
    <s v="NA"/>
    <s v="Yu"/>
    <s v="Kwai"/>
    <s v="Small"/>
    <n v="2428.48"/>
  </r>
  <r>
    <n v="10261"/>
    <n v="44"/>
    <n v="68.67"/>
    <n v="2"/>
    <n v="3021.48"/>
    <d v="2004-06-17T00:00:00"/>
    <s v="Shipped"/>
    <n v="2"/>
    <x v="9"/>
    <n v="2004"/>
    <x v="5"/>
    <n v="72"/>
    <s v="S700_2610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3021.48"/>
  </r>
  <r>
    <n v="10273"/>
    <n v="42"/>
    <n v="62.16"/>
    <n v="5"/>
    <n v="2610.7199999999998"/>
    <d v="2004-07-21T00:00:00"/>
    <s v="Shipped"/>
    <n v="3"/>
    <x v="2"/>
    <n v="2004"/>
    <x v="5"/>
    <n v="72"/>
    <s v="S700_2610"/>
    <s v="Petit Auto"/>
    <s v="(02) 5554 67"/>
    <s v="Rue Joseph-Bens 532"/>
    <m/>
    <s v="Bruxelles"/>
    <m/>
    <s v="B-1180"/>
    <s v="Belgium"/>
    <s v="EMEA"/>
    <s v="Dewey"/>
    <s v="Catherine"/>
    <s v="Small"/>
    <n v="2610.7199999999998"/>
  </r>
  <r>
    <n v="10283"/>
    <n v="47"/>
    <n v="65.77"/>
    <n v="7"/>
    <n v="3091.19"/>
    <d v="2004-08-20T00:00:00"/>
    <s v="Shipped"/>
    <n v="3"/>
    <x v="3"/>
    <n v="2004"/>
    <x v="5"/>
    <n v="72"/>
    <s v="S700_2610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3091.1899999999996"/>
  </r>
  <r>
    <n v="10295"/>
    <n v="44"/>
    <n v="58.55"/>
    <n v="2"/>
    <n v="2576.1999999999998"/>
    <d v="2004-09-10T00:00:00"/>
    <s v="Shipped"/>
    <n v="3"/>
    <x v="10"/>
    <n v="2004"/>
    <x v="5"/>
    <n v="72"/>
    <s v="S700_2610"/>
    <s v="Gifts4AllAges.com"/>
    <n v="6175559555"/>
    <s v="8616 Spinnaker Dr."/>
    <m/>
    <s v="Boston"/>
    <s v="MA"/>
    <n v="51003"/>
    <s v="USA"/>
    <s v="NA"/>
    <s v="Yoshido"/>
    <s v="Juri"/>
    <s v="Small"/>
    <n v="2576.1999999999998"/>
  </r>
  <r>
    <n v="10306"/>
    <n v="43"/>
    <n v="75.17"/>
    <n v="1"/>
    <n v="3232.31"/>
    <d v="2004-10-14T00:00:00"/>
    <s v="Shipped"/>
    <n v="4"/>
    <x v="4"/>
    <n v="2004"/>
    <x v="5"/>
    <n v="72"/>
    <s v="S700_2610"/>
    <s v="AV Stores, Co."/>
    <s v="(171) 555-1555"/>
    <s v="Fauntleroy Circus"/>
    <m/>
    <s v="Manchester"/>
    <m/>
    <s v="EC2 5NT"/>
    <s v="UK"/>
    <s v="EMEA"/>
    <s v="Ashworth"/>
    <s v="Victoria"/>
    <s v="Medium"/>
    <n v="3232.31"/>
  </r>
  <r>
    <n v="10316"/>
    <n v="48"/>
    <n v="74.45"/>
    <n v="18"/>
    <n v="3573.6"/>
    <d v="2004-11-01T00:00:00"/>
    <s v="Shipped"/>
    <n v="4"/>
    <x v="5"/>
    <n v="2004"/>
    <x v="5"/>
    <n v="72"/>
    <s v="S700_2610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3573.6000000000004"/>
  </r>
  <r>
    <n v="10327"/>
    <n v="21"/>
    <n v="96.31"/>
    <n v="1"/>
    <n v="2022.51"/>
    <d v="2004-11-10T00:00:00"/>
    <s v="Resolved"/>
    <n v="4"/>
    <x v="5"/>
    <n v="2004"/>
    <x v="5"/>
    <n v="72"/>
    <s v="S700_2610"/>
    <s v="Danish Wholesale Imports"/>
    <s v="31 12 3555"/>
    <s v="Vinb'ltet 34"/>
    <m/>
    <s v="Kobenhavn"/>
    <m/>
    <n v="1734"/>
    <s v="Denmark"/>
    <s v="EMEA"/>
    <s v="Petersen"/>
    <s v="Jytte"/>
    <s v="Small"/>
    <n v="2022.51"/>
  </r>
  <r>
    <n v="10339"/>
    <n v="50"/>
    <n v="74.349999999999994"/>
    <n v="9"/>
    <n v="3717.5"/>
    <d v="2004-11-23T00:00:00"/>
    <s v="Shipped"/>
    <n v="4"/>
    <x v="5"/>
    <n v="2004"/>
    <x v="5"/>
    <n v="72"/>
    <s v="S700_2610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3717.4999999999995"/>
  </r>
  <r>
    <n v="10350"/>
    <n v="29"/>
    <n v="75.349999999999994"/>
    <n v="12"/>
    <n v="2185.15"/>
    <d v="2004-12-02T00:00:00"/>
    <s v="Shipped"/>
    <n v="4"/>
    <x v="6"/>
    <n v="2004"/>
    <x v="5"/>
    <n v="72"/>
    <s v="S700_2610"/>
    <s v="Euro Shopping Channel"/>
    <s v="(91) 555 94 44"/>
    <s v="C/ Moralzarzal, 86"/>
    <m/>
    <s v="Madrid"/>
    <m/>
    <n v="28034"/>
    <s v="Spain"/>
    <s v="EMEA"/>
    <s v="Freyre"/>
    <s v="Diego"/>
    <s v="Small"/>
    <n v="2185.1499999999996"/>
  </r>
  <r>
    <n v="10373"/>
    <n v="41"/>
    <n v="70.33"/>
    <n v="16"/>
    <n v="2883.53"/>
    <d v="2005-01-31T00:00:00"/>
    <s v="Shipped"/>
    <n v="1"/>
    <x v="7"/>
    <n v="2005"/>
    <x v="5"/>
    <n v="72"/>
    <s v="S700_2610"/>
    <s v="Oulu Toy Supplies, Inc."/>
    <s v="981-443655"/>
    <s v="Torikatu 38"/>
    <m/>
    <s v="Oulu"/>
    <m/>
    <n v="90110"/>
    <s v="Finland"/>
    <s v="EMEA"/>
    <s v="Koskitalo"/>
    <s v="Pirkko"/>
    <s v="Small"/>
    <n v="2883.5299999999997"/>
  </r>
  <r>
    <n v="10386"/>
    <n v="37"/>
    <n v="100"/>
    <n v="10"/>
    <n v="5017.57"/>
    <d v="2005-03-01T00:00:00"/>
    <s v="Resolved"/>
    <n v="1"/>
    <x v="11"/>
    <n v="2005"/>
    <x v="5"/>
    <n v="72"/>
    <s v="S700_2610"/>
    <s v="Euro Shopping Channel"/>
    <s v="(91) 555 94 44"/>
    <s v="C/ Moralzarzal, 86"/>
    <m/>
    <s v="Madrid"/>
    <m/>
    <n v="28034"/>
    <s v="Spain"/>
    <s v="EMEA"/>
    <s v="Freyre"/>
    <s v="Diego"/>
    <s v="Medium"/>
    <n v="3700"/>
  </r>
  <r>
    <n v="10397"/>
    <n v="22"/>
    <n v="66.5"/>
    <n v="4"/>
    <n v="1463"/>
    <d v="2005-03-28T00:00:00"/>
    <s v="Shipped"/>
    <n v="1"/>
    <x v="11"/>
    <n v="2005"/>
    <x v="5"/>
    <n v="72"/>
    <s v="S700_2610"/>
    <s v="Alpha Cognac"/>
    <s v="61.77.6555"/>
    <s v="1 rue Alsace-Lorraine"/>
    <m/>
    <s v="Toulouse"/>
    <m/>
    <n v="31000"/>
    <s v="France"/>
    <s v="EMEA"/>
    <s v="Roulet"/>
    <s v="Annette"/>
    <s v="Small"/>
    <n v="1463"/>
  </r>
  <r>
    <n v="10414"/>
    <n v="31"/>
    <n v="75.89"/>
    <n v="4"/>
    <n v="2352.59"/>
    <d v="2005-05-06T00:00:00"/>
    <s v="On Hold"/>
    <n v="2"/>
    <x v="1"/>
    <n v="2005"/>
    <x v="5"/>
    <n v="72"/>
    <s v="S700_2610"/>
    <s v="Gifts4AllAges.com"/>
    <n v="6175559555"/>
    <s v="8616 Spinnaker Dr."/>
    <m/>
    <s v="Boston"/>
    <s v="MA"/>
    <n v="51003"/>
    <s v="USA"/>
    <s v="NA"/>
    <s v="Yoshido"/>
    <s v="Juri"/>
    <s v="Small"/>
    <n v="2352.59"/>
  </r>
  <r>
    <n v="10103"/>
    <n v="42"/>
    <n v="100"/>
    <n v="6"/>
    <n v="4460.82"/>
    <d v="2003-01-29T00:00:00"/>
    <s v="Shipped"/>
    <n v="1"/>
    <x v="7"/>
    <n v="2003"/>
    <x v="1"/>
    <n v="101"/>
    <s v="S700_2824"/>
    <s v="Baane Mini Imports"/>
    <s v="07-98 9555"/>
    <s v="Erling Skakkes gate 78"/>
    <m/>
    <s v="Stavern"/>
    <m/>
    <n v="4110"/>
    <s v="Norway"/>
    <s v="EMEA"/>
    <s v="Bergulfsen"/>
    <s v="Jonas"/>
    <s v="Medium"/>
    <n v="4200"/>
  </r>
  <r>
    <n v="10114"/>
    <n v="42"/>
    <n v="100"/>
    <n v="10"/>
    <n v="4758.18"/>
    <d v="2003-04-01T00:00:00"/>
    <s v="Shipped"/>
    <n v="2"/>
    <x v="8"/>
    <n v="2003"/>
    <x v="1"/>
    <n v="101"/>
    <s v="S700_2824"/>
    <s v="La Corne D'abondance, Co."/>
    <s v="(1) 42.34.2555"/>
    <s v="265, boulevard Charonne"/>
    <m/>
    <s v="Paris"/>
    <m/>
    <n v="75012"/>
    <s v="France"/>
    <s v="EMEA"/>
    <s v="Bertrand"/>
    <s v="Marie"/>
    <s v="Medium"/>
    <n v="4200"/>
  </r>
  <r>
    <n v="10126"/>
    <n v="45"/>
    <n v="100"/>
    <n v="6"/>
    <n v="4597.2"/>
    <d v="2003-05-28T00:00:00"/>
    <s v="Shipped"/>
    <n v="2"/>
    <x v="1"/>
    <n v="2003"/>
    <x v="1"/>
    <n v="101"/>
    <s v="S700_2824"/>
    <s v="Corrida Auto Replicas, Ltd"/>
    <s v="(91) 555 22 82"/>
    <s v="C/ Araquil, 67"/>
    <m/>
    <s v="Madrid"/>
    <m/>
    <n v="28023"/>
    <s v="Spain"/>
    <s v="EMEA"/>
    <s v="Sommer"/>
    <s v="Mart¡n"/>
    <s v="Medium"/>
    <n v="4500"/>
  </r>
  <r>
    <n v="10140"/>
    <n v="36"/>
    <n v="100"/>
    <n v="6"/>
    <n v="4114.8"/>
    <d v="2003-07-24T00:00:00"/>
    <s v="Shipped"/>
    <n v="3"/>
    <x v="2"/>
    <n v="2003"/>
    <x v="1"/>
    <n v="101"/>
    <s v="S700_2824"/>
    <s v="Technics Stores Inc."/>
    <n v="6505556809"/>
    <s v="9408 Furth Circle"/>
    <m/>
    <s v="Burlingame"/>
    <s v="CA"/>
    <n v="94217"/>
    <s v="USA"/>
    <s v="NA"/>
    <s v="Hirano"/>
    <s v="Juri"/>
    <s v="Medium"/>
    <n v="3600"/>
  </r>
  <r>
    <n v="10150"/>
    <n v="20"/>
    <n v="100"/>
    <n v="3"/>
    <n v="2104"/>
    <d v="2003-09-19T00:00:00"/>
    <s v="Shipped"/>
    <n v="3"/>
    <x v="10"/>
    <n v="2003"/>
    <x v="1"/>
    <n v="101"/>
    <s v="S700_282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000"/>
  </r>
  <r>
    <n v="10164"/>
    <n v="39"/>
    <n v="81.93"/>
    <n v="4"/>
    <n v="3195.27"/>
    <d v="2003-10-21T00:00:00"/>
    <s v="Resolved"/>
    <n v="4"/>
    <x v="4"/>
    <n v="2003"/>
    <x v="1"/>
    <n v="101"/>
    <s v="S700_2824"/>
    <s v="Mini Auto Werke"/>
    <s v="7675-3555"/>
    <s v="Kirchgasse 6"/>
    <m/>
    <s v="Graz"/>
    <m/>
    <n v="8010"/>
    <s v="Austria"/>
    <s v="EMEA"/>
    <s v="Mendel"/>
    <s v="Roland"/>
    <s v="Medium"/>
    <n v="3195.2700000000004"/>
  </r>
  <r>
    <n v="10175"/>
    <n v="42"/>
    <n v="85.98"/>
    <n v="11"/>
    <n v="3611.16"/>
    <d v="2003-11-06T00:00:00"/>
    <s v="Shipped"/>
    <n v="4"/>
    <x v="5"/>
    <n v="2003"/>
    <x v="1"/>
    <n v="101"/>
    <s v="S700_2824"/>
    <s v="Stylish Desk Decors, Co."/>
    <s v="(171) 555-0297"/>
    <s v="35 King George"/>
    <m/>
    <s v="London"/>
    <m/>
    <s v="WX3 6FW"/>
    <s v="UK"/>
    <s v="EMEA"/>
    <s v="Brown"/>
    <s v="Ann"/>
    <s v="Medium"/>
    <n v="3611.1600000000003"/>
  </r>
  <r>
    <n v="10183"/>
    <n v="23"/>
    <n v="86.99"/>
    <n v="3"/>
    <n v="2000.77"/>
    <d v="2003-11-13T00:00:00"/>
    <s v="Shipped"/>
    <n v="4"/>
    <x v="5"/>
    <n v="2003"/>
    <x v="1"/>
    <n v="101"/>
    <s v="S700_2824"/>
    <s v="Classic Gift Ideas, Inc"/>
    <n v="2155554695"/>
    <s v="782 First Street"/>
    <m/>
    <s v="Philadelphia"/>
    <s v="PA"/>
    <n v="71270"/>
    <s v="USA"/>
    <s v="NA"/>
    <s v="Cervantes"/>
    <s v="Francisca"/>
    <s v="Small"/>
    <n v="2000.77"/>
  </r>
  <r>
    <n v="10194"/>
    <n v="26"/>
    <n v="89.01"/>
    <n v="6"/>
    <n v="2314.2600000000002"/>
    <d v="2003-11-25T00:00:00"/>
    <s v="Shipped"/>
    <n v="4"/>
    <x v="5"/>
    <n v="2003"/>
    <x v="1"/>
    <n v="101"/>
    <s v="S700_2824"/>
    <s v="Saveley &amp; Henriot, Co."/>
    <s v="78.32.5555"/>
    <s v="2, rue du Commerce"/>
    <m/>
    <s v="Lyon"/>
    <m/>
    <n v="69004"/>
    <s v="France"/>
    <s v="EMEA"/>
    <s v="Saveley"/>
    <s v="Mary"/>
    <s v="Small"/>
    <n v="2314.2600000000002"/>
  </r>
  <r>
    <n v="10206"/>
    <n v="33"/>
    <n v="100"/>
    <n v="1"/>
    <n v="3871.89"/>
    <d v="2003-12-05T00:00:00"/>
    <s v="Shipped"/>
    <n v="4"/>
    <x v="6"/>
    <n v="2003"/>
    <x v="1"/>
    <n v="101"/>
    <s v="S700_2824"/>
    <s v="Canadian Gift Exchange Network"/>
    <s v="(604) 555-3392"/>
    <s v="1900 Oak St."/>
    <m/>
    <s v="Vancouver"/>
    <s v="BC"/>
    <s v="V3F 2K1"/>
    <s v="Canada"/>
    <s v="NA"/>
    <s v="Tannamuri"/>
    <s v="Yoshi"/>
    <s v="Medium"/>
    <n v="3300"/>
  </r>
  <r>
    <n v="10217"/>
    <n v="31"/>
    <n v="88"/>
    <n v="6"/>
    <n v="2728"/>
    <d v="2004-02-04T00:00:00"/>
    <s v="Shipped"/>
    <n v="1"/>
    <x v="0"/>
    <n v="2004"/>
    <x v="1"/>
    <n v="101"/>
    <s v="S700_2824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  <n v="2728"/>
  </r>
  <r>
    <n v="10229"/>
    <n v="50"/>
    <n v="100"/>
    <n v="11"/>
    <n v="5614"/>
    <d v="2004-03-11T00:00:00"/>
    <s v="Shipped"/>
    <n v="1"/>
    <x v="11"/>
    <n v="2004"/>
    <x v="1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Medium"/>
    <n v="5000"/>
  </r>
  <r>
    <n v="10245"/>
    <n v="44"/>
    <n v="100"/>
    <n v="4"/>
    <n v="4628.8"/>
    <d v="2004-05-04T00:00:00"/>
    <s v="Shipped"/>
    <n v="2"/>
    <x v="1"/>
    <n v="2004"/>
    <x v="1"/>
    <n v="101"/>
    <s v="S700_2824"/>
    <s v="Super Scale Inc."/>
    <n v="2035559545"/>
    <s v="567 North Pendale Street"/>
    <m/>
    <s v="New Haven"/>
    <s v="CT"/>
    <n v="97823"/>
    <s v="USA"/>
    <s v="NA"/>
    <s v="Murphy"/>
    <s v="Leslie"/>
    <s v="Medium"/>
    <n v="4400"/>
  </r>
  <r>
    <n v="10258"/>
    <n v="45"/>
    <n v="80.92"/>
    <n v="1"/>
    <n v="3641.4"/>
    <d v="2004-06-15T00:00:00"/>
    <s v="Shipped"/>
    <n v="2"/>
    <x v="9"/>
    <n v="2004"/>
    <x v="1"/>
    <n v="101"/>
    <s v="S700_2824"/>
    <s v="Tokyo Collectables, Ltd"/>
    <s v="+81 3 3584 0555"/>
    <s v="2-2-8 Roppongi"/>
    <m/>
    <s v="Minato-ku"/>
    <s v="Tokyo"/>
    <s v="106-0032"/>
    <s v="Japan"/>
    <s v="Japan"/>
    <s v="Shimamura"/>
    <s v="Akiko"/>
    <s v="Medium"/>
    <n v="3641.4"/>
  </r>
  <r>
    <n v="10270"/>
    <n v="46"/>
    <n v="88"/>
    <n v="4"/>
    <n v="4048"/>
    <d v="2004-07-19T00:00:00"/>
    <s v="Shipped"/>
    <n v="3"/>
    <x v="2"/>
    <n v="2004"/>
    <x v="1"/>
    <n v="101"/>
    <s v="S700_2824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4048"/>
  </r>
  <r>
    <n v="10281"/>
    <n v="27"/>
    <n v="85.98"/>
    <n v="11"/>
    <n v="2321.46"/>
    <d v="2004-08-19T00:00:00"/>
    <s v="Shipped"/>
    <n v="3"/>
    <x v="3"/>
    <n v="2004"/>
    <x v="1"/>
    <n v="101"/>
    <s v="S700_2824"/>
    <s v="Diecast Classics Inc."/>
    <n v="2155551555"/>
    <s v="7586 Pompton St."/>
    <m/>
    <s v="Allentown"/>
    <s v="PA"/>
    <n v="70267"/>
    <s v="USA"/>
    <s v="NA"/>
    <s v="Yu"/>
    <s v="Kyung"/>
    <s v="Small"/>
    <n v="2321.46"/>
  </r>
  <r>
    <n v="10291"/>
    <n v="28"/>
    <n v="100"/>
    <n v="6"/>
    <n v="3256.96"/>
    <d v="2004-09-08T00:00:00"/>
    <s v="Shipped"/>
    <n v="3"/>
    <x v="10"/>
    <n v="2004"/>
    <x v="1"/>
    <n v="101"/>
    <s v="S700_2824"/>
    <s v="Scandinavian Gift Ideas"/>
    <s v="0695-34 6555"/>
    <s v="?kergatan 24"/>
    <m/>
    <s v="Boras"/>
    <m/>
    <s v="S-844 67"/>
    <s v="Sweden"/>
    <s v="EMEA"/>
    <s v="Larsson"/>
    <s v="Maria"/>
    <s v="Medium"/>
    <n v="2800"/>
  </r>
  <r>
    <n v="10304"/>
    <n v="40"/>
    <n v="100"/>
    <n v="1"/>
    <n v="4208"/>
    <d v="2004-10-11T00:00:00"/>
    <s v="Shipped"/>
    <n v="4"/>
    <x v="4"/>
    <n v="2004"/>
    <x v="1"/>
    <n v="101"/>
    <s v="S700_2824"/>
    <s v="Auto Assoc. &amp; Cie."/>
    <s v="30.59.8555"/>
    <s v="67, avenue de l'Europe"/>
    <m/>
    <s v="Versailles"/>
    <m/>
    <n v="78000"/>
    <s v="France"/>
    <s v="EMEA"/>
    <s v="Tonini"/>
    <s v="Daniel"/>
    <s v="Medium"/>
    <n v="4000"/>
  </r>
  <r>
    <n v="10313"/>
    <n v="30"/>
    <n v="99.13"/>
    <n v="9"/>
    <n v="2973.9"/>
    <d v="2004-10-22T00:00:00"/>
    <s v="Shipped"/>
    <n v="4"/>
    <x v="4"/>
    <n v="2004"/>
    <x v="1"/>
    <n v="101"/>
    <s v="S700_2824"/>
    <s v="Canadian Gift Exchange Network"/>
    <s v="(604) 555-3392"/>
    <s v="1900 Oak St."/>
    <m/>
    <s v="Vancouver"/>
    <s v="BC"/>
    <s v="V3F 2K1"/>
    <s v="Canada"/>
    <s v="NA"/>
    <s v="Tannamuri"/>
    <s v="Yoshi"/>
    <s v="Small"/>
    <n v="2973.8999999999996"/>
  </r>
  <r>
    <n v="10324"/>
    <n v="34"/>
    <n v="100"/>
    <n v="5"/>
    <n v="4248.3"/>
    <d v="2004-11-05T00:00:00"/>
    <s v="Shipped"/>
    <n v="4"/>
    <x v="5"/>
    <n v="2004"/>
    <x v="1"/>
    <n v="101"/>
    <s v="S700_2824"/>
    <s v="Vitachrome Inc."/>
    <n v="2125551500"/>
    <s v="2678 Kingston Rd."/>
    <s v="Suite 101"/>
    <s v="NYC"/>
    <s v="NY"/>
    <n v="10022"/>
    <s v="USA"/>
    <s v="NA"/>
    <s v="Frick"/>
    <s v="Michael"/>
    <s v="Medium"/>
    <n v="3400"/>
  </r>
  <r>
    <n v="10336"/>
    <n v="46"/>
    <n v="100"/>
    <n v="2"/>
    <n v="9558.7999999999993"/>
    <d v="2004-11-20T00:00:00"/>
    <s v="Shipped"/>
    <n v="4"/>
    <x v="5"/>
    <n v="2004"/>
    <x v="1"/>
    <n v="101"/>
    <s v="S700_2824"/>
    <s v="La Corne D'abondance, Co."/>
    <s v="(1) 42.34.2555"/>
    <s v="265, boulevard Charonne"/>
    <m/>
    <s v="Paris"/>
    <m/>
    <n v="75012"/>
    <s v="France"/>
    <s v="EMEA"/>
    <s v="Bertrand"/>
    <s v="Marie"/>
    <s v="Large"/>
    <n v="4600"/>
  </r>
  <r>
    <n v="10348"/>
    <n v="32"/>
    <n v="82.83"/>
    <n v="7"/>
    <n v="2650.56"/>
    <d v="2004-11-01T00:00:00"/>
    <s v="Shipped"/>
    <n v="4"/>
    <x v="5"/>
    <n v="2004"/>
    <x v="1"/>
    <n v="101"/>
    <s v="S700_2824"/>
    <s v="Corrida Auto Replicas, Ltd"/>
    <s v="(91) 555 22 82"/>
    <s v="C/ Araquil, 67"/>
    <m/>
    <s v="Madrid"/>
    <m/>
    <n v="28023"/>
    <s v="Spain"/>
    <s v="EMEA"/>
    <s v="Sommer"/>
    <s v="Mart¡n"/>
    <s v="Small"/>
    <n v="2650.56"/>
  </r>
  <r>
    <n v="10358"/>
    <n v="27"/>
    <n v="100"/>
    <n v="3"/>
    <n v="3761.37"/>
    <d v="2004-12-10T00:00:00"/>
    <s v="Shipped"/>
    <n v="4"/>
    <x v="6"/>
    <n v="2004"/>
    <x v="1"/>
    <n v="101"/>
    <s v="S700_2824"/>
    <s v="Euro Shopping Channel"/>
    <s v="(91) 555 94 44"/>
    <s v="C/ Moralzarzal, 86"/>
    <m/>
    <s v="Madrid"/>
    <m/>
    <n v="28034"/>
    <s v="Spain"/>
    <s v="EMEA"/>
    <s v="Freyre"/>
    <s v="Diego"/>
    <s v="Medium"/>
    <n v="2700"/>
  </r>
  <r>
    <n v="10371"/>
    <n v="34"/>
    <n v="100"/>
    <n v="3"/>
    <n v="4301.34"/>
    <d v="2005-01-23T00:00:00"/>
    <s v="Shipped"/>
    <n v="1"/>
    <x v="7"/>
    <n v="2005"/>
    <x v="1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Medium"/>
    <n v="3400"/>
  </r>
  <r>
    <n v="10382"/>
    <n v="34"/>
    <n v="54.84"/>
    <n v="9"/>
    <n v="1864.56"/>
    <d v="2005-02-17T00:00:00"/>
    <s v="Shipped"/>
    <n v="1"/>
    <x v="0"/>
    <n v="2005"/>
    <x v="1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Small"/>
    <n v="1864.5600000000002"/>
  </r>
  <r>
    <n v="10411"/>
    <n v="34"/>
    <n v="100"/>
    <n v="4"/>
    <n v="3576.8"/>
    <d v="2005-05-01T00:00:00"/>
    <s v="Shipped"/>
    <n v="2"/>
    <x v="1"/>
    <n v="2005"/>
    <x v="1"/>
    <n v="101"/>
    <s v="S700_2824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3400"/>
  </r>
  <r>
    <n v="10424"/>
    <n v="46"/>
    <n v="80.92"/>
    <n v="1"/>
    <n v="3722.32"/>
    <d v="2005-05-31T00:00:00"/>
    <s v="In Process"/>
    <n v="2"/>
    <x v="1"/>
    <n v="2005"/>
    <x v="1"/>
    <n v="101"/>
    <s v="S700_2824"/>
    <s v="Euro Shopping Channel"/>
    <s v="(91) 555 94 44"/>
    <s v="C/ Moralzarzal, 86"/>
    <m/>
    <s v="Madrid"/>
    <m/>
    <n v="28034"/>
    <s v="Spain"/>
    <s v="EMEA"/>
    <s v="Freyre"/>
    <s v="Diego"/>
    <s v="Medium"/>
    <n v="3722.32"/>
  </r>
  <r>
    <n v="10106"/>
    <n v="32"/>
    <n v="100"/>
    <n v="1"/>
    <n v="3986.56"/>
    <d v="2003-02-17T00:00:00"/>
    <s v="Shipped"/>
    <n v="1"/>
    <x v="0"/>
    <n v="2003"/>
    <x v="4"/>
    <n v="118"/>
    <s v="S700_2834"/>
    <s v="Rovelli Gifts"/>
    <s v="035-640555"/>
    <s v="Via Ludovico il Moro 22"/>
    <m/>
    <s v="Bergamo"/>
    <m/>
    <n v="24100"/>
    <s v="Italy"/>
    <s v="EMEA"/>
    <s v="Rovelli"/>
    <s v="Giovanni"/>
    <s v="Medium"/>
    <n v="3200"/>
  </r>
  <r>
    <n v="10120"/>
    <n v="24"/>
    <n v="100"/>
    <n v="7"/>
    <n v="3417.12"/>
    <d v="2003-04-29T00:00:00"/>
    <s v="Shipped"/>
    <n v="2"/>
    <x v="8"/>
    <n v="2003"/>
    <x v="4"/>
    <n v="118"/>
    <s v="S700_283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2400"/>
  </r>
  <r>
    <n v="10133"/>
    <n v="27"/>
    <n v="99.67"/>
    <n v="2"/>
    <n v="2691.09"/>
    <d v="2003-06-27T00:00:00"/>
    <s v="Shipped"/>
    <n v="2"/>
    <x v="9"/>
    <n v="2003"/>
    <x v="4"/>
    <n v="118"/>
    <s v="S700_2834"/>
    <s v="Euro Shopping Channel"/>
    <s v="(91) 555 94 44"/>
    <s v="C/ Moralzarzal, 86"/>
    <m/>
    <s v="Madrid"/>
    <m/>
    <n v="28034"/>
    <s v="Spain"/>
    <s v="EMEA"/>
    <s v="Freyre"/>
    <s v="Diego"/>
    <s v="Small"/>
    <n v="2691.09"/>
  </r>
  <r>
    <n v="10145"/>
    <n v="20"/>
    <n v="100"/>
    <n v="13"/>
    <n v="2752.6"/>
    <d v="2003-08-25T00:00:00"/>
    <s v="Shipped"/>
    <n v="3"/>
    <x v="3"/>
    <n v="2003"/>
    <x v="4"/>
    <n v="118"/>
    <s v="S700_2834"/>
    <s v="Toys4GrownUps.com"/>
    <n v="6265557265"/>
    <s v="78934 Hillside Dr."/>
    <m/>
    <s v="Pasadena"/>
    <s v="CA"/>
    <n v="90003"/>
    <s v="USA"/>
    <s v="NA"/>
    <s v="Young"/>
    <s v="Julie"/>
    <s v="Small"/>
    <n v="2000"/>
  </r>
  <r>
    <n v="10168"/>
    <n v="36"/>
    <n v="100"/>
    <n v="8"/>
    <n v="4527.72"/>
    <d v="2003-10-28T00:00:00"/>
    <s v="Shipped"/>
    <n v="4"/>
    <x v="4"/>
    <n v="2003"/>
    <x v="4"/>
    <n v="118"/>
    <s v="S700_2834"/>
    <s v="Technics Stores Inc."/>
    <n v="6505556809"/>
    <s v="9408 Furth Circle"/>
    <m/>
    <s v="Burlingame"/>
    <s v="CA"/>
    <n v="94217"/>
    <s v="USA"/>
    <s v="NA"/>
    <s v="Hirano"/>
    <s v="Juri"/>
    <s v="Medium"/>
    <n v="3600"/>
  </r>
  <r>
    <n v="10188"/>
    <n v="29"/>
    <n v="100"/>
    <n v="8"/>
    <n v="3957.05"/>
    <d v="2003-11-18T00:00:00"/>
    <s v="Shipped"/>
    <n v="4"/>
    <x v="5"/>
    <n v="2003"/>
    <x v="4"/>
    <n v="118"/>
    <s v="S700_2834"/>
    <s v="Herkku Gifts"/>
    <s v="+47 2267 3215"/>
    <s v="Drammen 121, PR 744 Sentrum"/>
    <m/>
    <s v="Bergen"/>
    <m/>
    <s v="N 5804"/>
    <s v="Norway"/>
    <s v="EMEA"/>
    <s v="Oeztan"/>
    <s v="Veysel"/>
    <s v="Medium"/>
    <n v="2900"/>
  </r>
  <r>
    <n v="10210"/>
    <n v="25"/>
    <n v="100"/>
    <n v="6"/>
    <n v="2818"/>
    <d v="2004-01-12T00:00:00"/>
    <s v="Shipped"/>
    <n v="1"/>
    <x v="7"/>
    <n v="2004"/>
    <x v="4"/>
    <n v="118"/>
    <s v="S700_2834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2500"/>
  </r>
  <r>
    <n v="10223"/>
    <n v="29"/>
    <n v="100"/>
    <n v="8"/>
    <n v="3199.86"/>
    <d v="2004-02-20T00:00:00"/>
    <s v="Shipped"/>
    <n v="1"/>
    <x v="0"/>
    <n v="2004"/>
    <x v="4"/>
    <n v="118"/>
    <s v="S700_283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2900"/>
  </r>
  <r>
    <n v="10235"/>
    <n v="25"/>
    <n v="96.11"/>
    <n v="2"/>
    <n v="2402.75"/>
    <d v="2004-04-02T00:00:00"/>
    <s v="Shipped"/>
    <n v="2"/>
    <x v="8"/>
    <n v="2004"/>
    <x v="4"/>
    <n v="118"/>
    <s v="S700_2834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402.75"/>
  </r>
  <r>
    <n v="10250"/>
    <n v="44"/>
    <n v="100"/>
    <n v="3"/>
    <n v="6055.72"/>
    <d v="2004-05-11T00:00:00"/>
    <s v="Shipped"/>
    <n v="2"/>
    <x v="1"/>
    <n v="2004"/>
    <x v="4"/>
    <n v="118"/>
    <s v="S700_2834"/>
    <s v="The Sharp Gifts Warehouse"/>
    <n v="4085553659"/>
    <s v="3086 Ingle Ln."/>
    <m/>
    <s v="San Jose"/>
    <s v="CA"/>
    <n v="94217"/>
    <s v="USA"/>
    <s v="NA"/>
    <s v="Frick"/>
    <s v="Sue"/>
    <s v="Medium"/>
    <n v="4400"/>
  </r>
  <r>
    <n v="10263"/>
    <n v="47"/>
    <n v="100"/>
    <n v="9"/>
    <n v="5465.16"/>
    <d v="2004-06-28T00:00:00"/>
    <s v="Shipped"/>
    <n v="2"/>
    <x v="9"/>
    <n v="2004"/>
    <x v="4"/>
    <n v="118"/>
    <s v="S700_2834"/>
    <s v="Gift Depot Inc."/>
    <n v="2035552570"/>
    <s v="25593 South Bay Ln."/>
    <m/>
    <s v="Bridgewater"/>
    <s v="CT"/>
    <n v="97562"/>
    <s v="USA"/>
    <s v="NA"/>
    <s v="King"/>
    <s v="Julie"/>
    <s v="Medium"/>
    <n v="4700"/>
  </r>
  <r>
    <n v="10275"/>
    <n v="48"/>
    <n v="100"/>
    <n v="8"/>
    <n v="6378.72"/>
    <d v="2004-07-23T00:00:00"/>
    <s v="Shipped"/>
    <n v="3"/>
    <x v="2"/>
    <n v="2004"/>
    <x v="4"/>
    <n v="118"/>
    <s v="S700_2834"/>
    <s v="La Rochelle Gifts"/>
    <s v="40.67.8555"/>
    <s v="67, rue des Cinquante Otages"/>
    <m/>
    <s v="Nantes"/>
    <m/>
    <n v="44000"/>
    <s v="France"/>
    <s v="EMEA"/>
    <s v="Labrune"/>
    <s v="Janine"/>
    <s v="Medium"/>
    <n v="4800"/>
  </r>
  <r>
    <n v="10285"/>
    <n v="45"/>
    <n v="100"/>
    <n v="13"/>
    <n v="5392.8"/>
    <d v="2004-08-27T00:00:00"/>
    <s v="Shipped"/>
    <n v="3"/>
    <x v="3"/>
    <n v="2004"/>
    <x v="4"/>
    <n v="118"/>
    <s v="S700_2834"/>
    <s v="Marta's Replicas Co."/>
    <n v="6175558555"/>
    <s v="39323 Spinnaker Dr."/>
    <m/>
    <s v="Cambridge"/>
    <s v="MA"/>
    <n v="51247"/>
    <s v="USA"/>
    <s v="NA"/>
    <s v="Hernandez"/>
    <s v="Marta"/>
    <s v="Medium"/>
    <n v="4500"/>
  </r>
  <r>
    <n v="10297"/>
    <n v="35"/>
    <n v="100"/>
    <n v="3"/>
    <n v="3986.5"/>
    <d v="2004-09-16T00:00:00"/>
    <s v="Shipped"/>
    <n v="3"/>
    <x v="10"/>
    <n v="2004"/>
    <x v="4"/>
    <n v="118"/>
    <s v="S700_2834"/>
    <s v="Clover Collections, Co."/>
    <s v="+353 1862 1555"/>
    <s v="25 Maiden Lane"/>
    <s v="Floor No. 4"/>
    <s v="Dublin"/>
    <m/>
    <n v="2"/>
    <s v="Ireland"/>
    <s v="EMEA"/>
    <s v="Cassidy"/>
    <s v="Dean"/>
    <s v="Medium"/>
    <n v="3500"/>
  </r>
  <r>
    <n v="10308"/>
    <n v="31"/>
    <n v="100"/>
    <n v="6"/>
    <n v="4009.23"/>
    <d v="2004-10-15T00:00:00"/>
    <s v="Shipped"/>
    <n v="4"/>
    <x v="4"/>
    <n v="2004"/>
    <x v="4"/>
    <n v="118"/>
    <s v="S700_2834"/>
    <s v="Mini Classics"/>
    <n v="9145554562"/>
    <s v="3758 North Pendale Street"/>
    <m/>
    <s v="White Plains"/>
    <s v="NY"/>
    <n v="24067"/>
    <s v="USA"/>
    <s v="NA"/>
    <s v="Frick"/>
    <s v="Steve"/>
    <s v="Medium"/>
    <n v="3100"/>
  </r>
  <r>
    <n v="10318"/>
    <n v="50"/>
    <n v="100"/>
    <n v="8"/>
    <n v="7119"/>
    <d v="2004-11-02T00:00:00"/>
    <s v="Shipped"/>
    <n v="4"/>
    <x v="5"/>
    <n v="2004"/>
    <x v="4"/>
    <n v="118"/>
    <s v="S700_2834"/>
    <s v="Diecast Classics Inc."/>
    <n v="2155551555"/>
    <s v="7586 Pompton St."/>
    <m/>
    <s v="Allentown"/>
    <s v="PA"/>
    <n v="70267"/>
    <s v="USA"/>
    <s v="NA"/>
    <s v="Yu"/>
    <s v="Kyung"/>
    <s v="Large"/>
    <n v="5000"/>
  </r>
  <r>
    <n v="10328"/>
    <n v="33"/>
    <n v="100"/>
    <n v="11"/>
    <n v="4072.2"/>
    <d v="2004-11-12T00:00:00"/>
    <s v="Shipped"/>
    <n v="4"/>
    <x v="5"/>
    <n v="2004"/>
    <x v="4"/>
    <n v="118"/>
    <s v="S700_2834"/>
    <s v="Rovelli Gifts"/>
    <s v="035-640555"/>
    <s v="Via Ludovico il Moro 22"/>
    <m/>
    <s v="Bergamo"/>
    <m/>
    <n v="24100"/>
    <s v="Italy"/>
    <s v="EMEA"/>
    <s v="Rovelli"/>
    <s v="Giovanni"/>
    <s v="Medium"/>
    <n v="3300"/>
  </r>
  <r>
    <n v="10340"/>
    <n v="29"/>
    <n v="100"/>
    <n v="6"/>
    <n v="4094.51"/>
    <d v="2004-11-24T00:00:00"/>
    <s v="Shipped"/>
    <n v="4"/>
    <x v="5"/>
    <n v="2004"/>
    <x v="4"/>
    <n v="118"/>
    <s v="S700_2834"/>
    <s v="Enaco Distributors"/>
    <s v="(93) 203 4555"/>
    <s v="Rambla de Catalu¤a, 23"/>
    <m/>
    <s v="Barcelona"/>
    <m/>
    <n v="8022"/>
    <s v="Spain"/>
    <s v="EMEA"/>
    <s v="Saavedra"/>
    <s v="Eduardo"/>
    <s v="Medium"/>
    <n v="2900"/>
  </r>
  <r>
    <n v="10353"/>
    <n v="48"/>
    <n v="68.8"/>
    <n v="4"/>
    <n v="3302.4"/>
    <d v="2004-12-04T00:00:00"/>
    <s v="Shipped"/>
    <n v="4"/>
    <x v="6"/>
    <n v="2004"/>
    <x v="4"/>
    <n v="118"/>
    <s v="S700_2834"/>
    <s v="Gift Ideas Corp."/>
    <n v="2035554407"/>
    <s v="2440 Pompton St."/>
    <m/>
    <s v="Glendale"/>
    <s v="CT"/>
    <n v="97561"/>
    <s v="USA"/>
    <s v="NA"/>
    <s v="Lewis"/>
    <s v="Dan"/>
    <s v="Medium"/>
    <n v="3302.3999999999996"/>
  </r>
  <r>
    <n v="10361"/>
    <n v="44"/>
    <n v="72.42"/>
    <n v="5"/>
    <n v="3186.48"/>
    <d v="2004-12-17T00:00:00"/>
    <s v="Shipped"/>
    <n v="4"/>
    <x v="6"/>
    <n v="2004"/>
    <x v="4"/>
    <n v="118"/>
    <s v="S700_2834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186.48"/>
  </r>
  <r>
    <n v="10375"/>
    <n v="25"/>
    <n v="66.73"/>
    <n v="10"/>
    <n v="1668.25"/>
    <d v="2005-02-03T00:00:00"/>
    <s v="Shipped"/>
    <n v="1"/>
    <x v="0"/>
    <n v="2005"/>
    <x v="4"/>
    <n v="118"/>
    <s v="S700_2834"/>
    <s v="La Rochelle Gifts"/>
    <s v="40.67.8555"/>
    <s v="67, rue des Cinquante Otages"/>
    <m/>
    <s v="Nantes"/>
    <m/>
    <n v="44000"/>
    <s v="France"/>
    <s v="EMEA"/>
    <s v="Labrune"/>
    <s v="Janine"/>
    <s v="Small"/>
    <n v="1668.25"/>
  </r>
  <r>
    <n v="10388"/>
    <n v="50"/>
    <n v="100"/>
    <n v="3"/>
    <n v="7154.5"/>
    <d v="2005-03-03T00:00:00"/>
    <s v="Shipped"/>
    <n v="1"/>
    <x v="11"/>
    <n v="2005"/>
    <x v="4"/>
    <n v="118"/>
    <s v="S700_2834"/>
    <s v="FunGiftIdeas.com"/>
    <n v="5085552555"/>
    <s v="1785 First Street"/>
    <m/>
    <s v="New Bedford"/>
    <s v="MA"/>
    <n v="50553"/>
    <s v="USA"/>
    <s v="NA"/>
    <s v="Benitez"/>
    <s v="Violeta"/>
    <s v="Large"/>
    <n v="5000"/>
  </r>
  <r>
    <n v="10398"/>
    <n v="23"/>
    <n v="100"/>
    <n v="9"/>
    <n v="2810.83"/>
    <d v="2005-03-30T00:00:00"/>
    <s v="Shipped"/>
    <n v="1"/>
    <x v="11"/>
    <n v="2005"/>
    <x v="4"/>
    <n v="118"/>
    <s v="S700_2834"/>
    <s v="Reims Collectables"/>
    <s v="26.47.1555"/>
    <s v="59 rue de l'Abbaye"/>
    <m/>
    <s v="Reims"/>
    <m/>
    <n v="51100"/>
    <s v="France"/>
    <s v="EMEA"/>
    <s v="Henriot"/>
    <s v="Paul"/>
    <s v="Small"/>
    <n v="2300"/>
  </r>
  <r>
    <n v="10401"/>
    <n v="21"/>
    <n v="96.11"/>
    <n v="2"/>
    <n v="2018.31"/>
    <d v="2005-04-03T00:00:00"/>
    <s v="On Hold"/>
    <n v="2"/>
    <x v="8"/>
    <n v="2005"/>
    <x v="4"/>
    <n v="118"/>
    <s v="S700_2834"/>
    <s v="Tekni Collectables Inc."/>
    <n v="2015559350"/>
    <s v="7476 Moss Rd."/>
    <m/>
    <s v="Newark"/>
    <s v="NJ"/>
    <n v="94019"/>
    <s v="USA"/>
    <s v="NA"/>
    <s v="Brown"/>
    <s v="William"/>
    <s v="Small"/>
    <n v="2018.31"/>
  </r>
  <r>
    <n v="10416"/>
    <n v="41"/>
    <n v="100"/>
    <n v="3"/>
    <n v="5642.83"/>
    <d v="2005-05-10T00:00:00"/>
    <s v="Shipped"/>
    <n v="2"/>
    <x v="1"/>
    <n v="2005"/>
    <x v="4"/>
    <n v="118"/>
    <s v="S700_2834"/>
    <s v="L'ordine Souveniers"/>
    <s v="0522-556555"/>
    <s v="Strada Provinciale 124"/>
    <m/>
    <s v="Reggio Emilia"/>
    <m/>
    <n v="42100"/>
    <s v="Italy"/>
    <s v="EMEA"/>
    <s v="Moroni"/>
    <s v="Maurizio"/>
    <s v="Medium"/>
    <n v="4100"/>
  </r>
  <r>
    <n v="10106"/>
    <n v="44"/>
    <n v="74.400000000000006"/>
    <n v="8"/>
    <n v="3273.6"/>
    <d v="2003-02-17T00:00:00"/>
    <s v="Shipped"/>
    <n v="1"/>
    <x v="0"/>
    <n v="2003"/>
    <x v="4"/>
    <n v="80"/>
    <s v="S700_3167"/>
    <s v="Rovelli Gifts"/>
    <s v="035-640555"/>
    <s v="Via Ludovico il Moro 22"/>
    <m/>
    <s v="Bergamo"/>
    <m/>
    <n v="24100"/>
    <s v="Italy"/>
    <s v="EMEA"/>
    <s v="Rovelli"/>
    <s v="Giovanni"/>
    <s v="Medium"/>
    <n v="3273.6000000000004"/>
  </r>
  <r>
    <n v="10120"/>
    <n v="43"/>
    <n v="76"/>
    <n v="14"/>
    <n v="3268"/>
    <d v="2003-04-29T00:00:00"/>
    <s v="Shipped"/>
    <n v="2"/>
    <x v="8"/>
    <n v="2003"/>
    <x v="4"/>
    <n v="80"/>
    <s v="S700_3167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  <n v="3268"/>
  </r>
  <r>
    <n v="10143"/>
    <n v="28"/>
    <n v="96"/>
    <n v="3"/>
    <n v="2688"/>
    <d v="2003-08-10T00:00:00"/>
    <s v="Shipped"/>
    <n v="3"/>
    <x v="3"/>
    <n v="2003"/>
    <x v="4"/>
    <n v="80"/>
    <s v="S700_3167"/>
    <s v="Mini Creations Ltd."/>
    <n v="5085559555"/>
    <s v="4575 Hillside Dr."/>
    <m/>
    <s v="New Bedford"/>
    <s v="MA"/>
    <n v="50553"/>
    <s v="USA"/>
    <s v="NA"/>
    <s v="Tam"/>
    <s v="Wing C"/>
    <s v="Small"/>
    <n v="2688"/>
  </r>
  <r>
    <n v="10155"/>
    <n v="43"/>
    <n v="86.4"/>
    <n v="1"/>
    <n v="3715.2"/>
    <d v="2003-10-06T00:00:00"/>
    <s v="Shipped"/>
    <n v="4"/>
    <x v="4"/>
    <n v="2003"/>
    <x v="4"/>
    <n v="80"/>
    <s v="S700_3167"/>
    <s v="Toys of Finland, Co."/>
    <s v="90-224 8555"/>
    <s v="Keskuskatu 45"/>
    <m/>
    <s v="Helsinki"/>
    <m/>
    <n v="21240"/>
    <s v="Finland"/>
    <s v="EMEA"/>
    <s v="Karttunen"/>
    <s v="Matti"/>
    <s v="Medium"/>
    <n v="3715.2000000000003"/>
  </r>
  <r>
    <n v="10168"/>
    <n v="48"/>
    <n v="96"/>
    <n v="15"/>
    <n v="4608"/>
    <d v="2003-10-28T00:00:00"/>
    <s v="Shipped"/>
    <n v="4"/>
    <x v="4"/>
    <n v="2003"/>
    <x v="4"/>
    <n v="80"/>
    <s v="S700_3167"/>
    <s v="Technics Stores Inc."/>
    <n v="6505556809"/>
    <s v="9408 Furth Circle"/>
    <m/>
    <s v="Burlingame"/>
    <s v="CA"/>
    <n v="94217"/>
    <s v="USA"/>
    <s v="NA"/>
    <s v="Hirano"/>
    <s v="Juri"/>
    <s v="Medium"/>
    <n v="4608"/>
  </r>
  <r>
    <n v="10199"/>
    <n v="38"/>
    <n v="82.4"/>
    <n v="3"/>
    <n v="3131.2"/>
    <d v="2003-12-01T00:00:00"/>
    <s v="Shipped"/>
    <n v="4"/>
    <x v="6"/>
    <n v="2003"/>
    <x v="4"/>
    <n v="80"/>
    <s v="S700_3167"/>
    <s v="West Coast Collectables Co."/>
    <n v="3105553722"/>
    <s v="3675 Furth Circle"/>
    <m/>
    <s v="Burbank"/>
    <s v="CA"/>
    <n v="94019"/>
    <s v="USA"/>
    <s v="NA"/>
    <s v="Thompson"/>
    <s v="Steve"/>
    <s v="Medium"/>
    <n v="3131.2000000000003"/>
  </r>
  <r>
    <n v="10210"/>
    <n v="31"/>
    <n v="86.4"/>
    <n v="13"/>
    <n v="2678.4"/>
    <d v="2004-01-12T00:00:00"/>
    <s v="Shipped"/>
    <n v="1"/>
    <x v="7"/>
    <n v="2004"/>
    <x v="4"/>
    <n v="80"/>
    <s v="S700_3167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2678.4"/>
  </r>
  <r>
    <n v="10223"/>
    <n v="26"/>
    <n v="67.2"/>
    <n v="15"/>
    <n v="1747.2"/>
    <d v="2004-02-20T00:00:00"/>
    <s v="Shipped"/>
    <n v="1"/>
    <x v="0"/>
    <n v="2004"/>
    <x v="4"/>
    <n v="80"/>
    <s v="S700_316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  <n v="1747.2"/>
  </r>
  <r>
    <n v="10235"/>
    <n v="32"/>
    <n v="92"/>
    <n v="9"/>
    <n v="2944"/>
    <d v="2004-04-02T00:00:00"/>
    <s v="Shipped"/>
    <n v="2"/>
    <x v="8"/>
    <n v="2004"/>
    <x v="4"/>
    <n v="80"/>
    <s v="S700_316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944"/>
  </r>
  <r>
    <n v="10250"/>
    <n v="44"/>
    <n v="67.2"/>
    <n v="10"/>
    <n v="2956.8"/>
    <d v="2004-05-11T00:00:00"/>
    <s v="Shipped"/>
    <n v="2"/>
    <x v="1"/>
    <n v="2004"/>
    <x v="4"/>
    <n v="80"/>
    <s v="S700_3167"/>
    <s v="The Sharp Gifts Warehouse"/>
    <n v="4085553659"/>
    <s v="3086 Ingle Ln."/>
    <m/>
    <s v="San Jose"/>
    <s v="CA"/>
    <n v="94217"/>
    <s v="USA"/>
    <s v="NA"/>
    <s v="Frick"/>
    <s v="Sue"/>
    <s v="Small"/>
    <n v="2956.8"/>
  </r>
  <r>
    <n v="10262"/>
    <n v="27"/>
    <n v="76"/>
    <n v="5"/>
    <n v="2052"/>
    <d v="2004-06-24T00:00:00"/>
    <s v="Cancelled"/>
    <n v="2"/>
    <x v="9"/>
    <n v="2004"/>
    <x v="4"/>
    <n v="80"/>
    <s v="S700_3167"/>
    <s v="Euro Shopping Channel"/>
    <s v="(91) 555 94 44"/>
    <s v="C/ Moralzarzal, 86"/>
    <m/>
    <s v="Madrid"/>
    <m/>
    <n v="28034"/>
    <s v="Spain"/>
    <s v="EMEA"/>
    <s v="Freyre"/>
    <s v="Diego"/>
    <s v="Small"/>
    <n v="2052"/>
  </r>
  <r>
    <n v="10275"/>
    <n v="43"/>
    <n v="73.599999999999994"/>
    <n v="15"/>
    <n v="3164.8"/>
    <d v="2004-07-23T00:00:00"/>
    <s v="Shipped"/>
    <n v="3"/>
    <x v="2"/>
    <n v="2004"/>
    <x v="4"/>
    <n v="80"/>
    <s v="S700_3167"/>
    <s v="La Rochelle Gifts"/>
    <s v="40.67.8555"/>
    <s v="67, rue des Cinquante Otages"/>
    <m/>
    <s v="Nantes"/>
    <m/>
    <n v="44000"/>
    <s v="France"/>
    <s v="EMEA"/>
    <s v="Labrune"/>
    <s v="Janine"/>
    <s v="Medium"/>
    <n v="3164.7999999999997"/>
  </r>
  <r>
    <n v="10284"/>
    <n v="25"/>
    <n v="69.599999999999994"/>
    <n v="7"/>
    <n v="1740"/>
    <d v="2004-08-21T00:00:00"/>
    <s v="Shipped"/>
    <n v="3"/>
    <x v="3"/>
    <n v="2004"/>
    <x v="4"/>
    <n v="80"/>
    <s v="S700_3167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1739.9999999999998"/>
  </r>
  <r>
    <n v="10296"/>
    <n v="22"/>
    <n v="80.8"/>
    <n v="3"/>
    <n v="1777.6"/>
    <d v="2004-09-15T00:00:00"/>
    <s v="Shipped"/>
    <n v="3"/>
    <x v="10"/>
    <n v="2004"/>
    <x v="4"/>
    <n v="80"/>
    <s v="S700_3167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1777.6"/>
  </r>
  <r>
    <n v="10308"/>
    <n v="21"/>
    <n v="87.2"/>
    <n v="13"/>
    <n v="1831.2"/>
    <d v="2004-10-15T00:00:00"/>
    <s v="Shipped"/>
    <n v="4"/>
    <x v="4"/>
    <n v="2004"/>
    <x v="4"/>
    <n v="80"/>
    <s v="S700_3167"/>
    <s v="Mini Classics"/>
    <n v="9145554562"/>
    <s v="3758 North Pendale Street"/>
    <m/>
    <s v="White Plains"/>
    <s v="NY"/>
    <n v="24067"/>
    <s v="USA"/>
    <s v="NA"/>
    <s v="Frick"/>
    <s v="Steve"/>
    <s v="Small"/>
    <n v="1831.2"/>
  </r>
  <r>
    <n v="10316"/>
    <n v="48"/>
    <n v="75.2"/>
    <n v="5"/>
    <n v="3609.6"/>
    <d v="2004-11-01T00:00:00"/>
    <s v="Shipped"/>
    <n v="4"/>
    <x v="5"/>
    <n v="2004"/>
    <x v="4"/>
    <n v="80"/>
    <s v="S700_3167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3609.6000000000004"/>
  </r>
  <r>
    <n v="10328"/>
    <n v="33"/>
    <n v="64"/>
    <n v="13"/>
    <n v="2112"/>
    <d v="2004-11-12T00:00:00"/>
    <s v="Shipped"/>
    <n v="4"/>
    <x v="5"/>
    <n v="2004"/>
    <x v="4"/>
    <n v="80"/>
    <s v="S700_3167"/>
    <s v="Rovelli Gifts"/>
    <s v="035-640555"/>
    <s v="Via Ludovico il Moro 22"/>
    <m/>
    <s v="Bergamo"/>
    <m/>
    <n v="24100"/>
    <s v="Italy"/>
    <s v="EMEA"/>
    <s v="Rovelli"/>
    <s v="Giovanni"/>
    <s v="Small"/>
    <n v="2112"/>
  </r>
  <r>
    <n v="10341"/>
    <n v="34"/>
    <n v="100"/>
    <n v="5"/>
    <n v="3644.12"/>
    <d v="2004-11-24T00:00:00"/>
    <s v="Shipped"/>
    <n v="4"/>
    <x v="5"/>
    <n v="2004"/>
    <x v="4"/>
    <n v="80"/>
    <s v="S700_3167"/>
    <s v="Salzburg Collectables"/>
    <s v="6562-9555"/>
    <s v="Geislweg 14"/>
    <m/>
    <s v="Salzburg"/>
    <m/>
    <n v="5020"/>
    <s v="Austria"/>
    <s v="EMEA"/>
    <s v="Pipps"/>
    <s v="Georg"/>
    <s v="Medium"/>
    <n v="3400"/>
  </r>
  <r>
    <n v="10353"/>
    <n v="43"/>
    <n v="81.95"/>
    <n v="6"/>
    <n v="3523.85"/>
    <d v="2004-12-04T00:00:00"/>
    <s v="Shipped"/>
    <n v="4"/>
    <x v="6"/>
    <n v="2004"/>
    <x v="4"/>
    <n v="80"/>
    <s v="S700_3167"/>
    <s v="Gift Ideas Corp."/>
    <n v="2035554407"/>
    <s v="2440 Pompton St."/>
    <m/>
    <s v="Glendale"/>
    <s v="CT"/>
    <n v="97561"/>
    <s v="USA"/>
    <s v="NA"/>
    <s v="Lewis"/>
    <s v="Dan"/>
    <s v="Medium"/>
    <n v="3523.85"/>
  </r>
  <r>
    <n v="10361"/>
    <n v="44"/>
    <n v="100"/>
    <n v="10"/>
    <n v="5001.92"/>
    <d v="2004-12-17T00:00:00"/>
    <s v="Shipped"/>
    <n v="4"/>
    <x v="6"/>
    <n v="2004"/>
    <x v="4"/>
    <n v="80"/>
    <s v="S700_316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4400"/>
  </r>
  <r>
    <n v="10375"/>
    <n v="44"/>
    <n v="100"/>
    <n v="11"/>
    <n v="5208.72"/>
    <d v="2005-02-03T00:00:00"/>
    <s v="Shipped"/>
    <n v="1"/>
    <x v="0"/>
    <n v="2005"/>
    <x v="4"/>
    <n v="80"/>
    <s v="S700_3167"/>
    <s v="La Rochelle Gifts"/>
    <s v="40.67.8555"/>
    <s v="67, rue des Cinquante Otages"/>
    <m/>
    <s v="Nantes"/>
    <m/>
    <n v="44000"/>
    <s v="France"/>
    <s v="EMEA"/>
    <s v="Labrune"/>
    <s v="Janine"/>
    <s v="Medium"/>
    <n v="4400"/>
  </r>
  <r>
    <n v="10386"/>
    <n v="32"/>
    <n v="94.34"/>
    <n v="17"/>
    <n v="3018.88"/>
    <d v="2005-03-01T00:00:00"/>
    <s v="Resolved"/>
    <n v="1"/>
    <x v="11"/>
    <n v="2005"/>
    <x v="4"/>
    <n v="80"/>
    <s v="S700_3167"/>
    <s v="Euro Shopping Channel"/>
    <s v="(91) 555 94 44"/>
    <s v="C/ Moralzarzal, 86"/>
    <m/>
    <s v="Madrid"/>
    <m/>
    <n v="28034"/>
    <s v="Spain"/>
    <s v="EMEA"/>
    <s v="Freyre"/>
    <s v="Diego"/>
    <s v="Medium"/>
    <n v="3018.88"/>
  </r>
  <r>
    <n v="10398"/>
    <n v="29"/>
    <n v="65.599999999999994"/>
    <n v="10"/>
    <n v="1902.4"/>
    <d v="2005-03-30T00:00:00"/>
    <s v="Shipped"/>
    <n v="1"/>
    <x v="11"/>
    <n v="2005"/>
    <x v="4"/>
    <n v="80"/>
    <s v="S700_3167"/>
    <s v="Reims Collectables"/>
    <s v="26.47.1555"/>
    <s v="59 rue de l'Abbaye"/>
    <m/>
    <s v="Reims"/>
    <m/>
    <n v="51100"/>
    <s v="France"/>
    <s v="EMEA"/>
    <s v="Henriot"/>
    <s v="Paul"/>
    <s v="Small"/>
    <n v="1902.3999999999999"/>
  </r>
  <r>
    <n v="10401"/>
    <n v="77"/>
    <n v="92"/>
    <n v="9"/>
    <n v="7084"/>
    <d v="2005-04-03T00:00:00"/>
    <s v="On Hold"/>
    <n v="2"/>
    <x v="8"/>
    <n v="2005"/>
    <x v="4"/>
    <n v="80"/>
    <s v="S700_3167"/>
    <s v="Tekni Collectables Inc."/>
    <n v="2015559350"/>
    <s v="7476 Moss Rd."/>
    <m/>
    <s v="Newark"/>
    <s v="NJ"/>
    <n v="94019"/>
    <s v="USA"/>
    <s v="NA"/>
    <s v="Brown"/>
    <s v="William"/>
    <s v="Large"/>
    <n v="7084"/>
  </r>
  <r>
    <n v="10416"/>
    <n v="39"/>
    <n v="67.2"/>
    <n v="10"/>
    <n v="2620.8000000000002"/>
    <d v="2005-05-10T00:00:00"/>
    <s v="Shipped"/>
    <n v="2"/>
    <x v="1"/>
    <n v="2005"/>
    <x v="4"/>
    <n v="80"/>
    <s v="S700_3167"/>
    <s v="L'ordine Souveniers"/>
    <s v="0522-556555"/>
    <s v="Strada Provinciale 124"/>
    <m/>
    <s v="Reggio Emilia"/>
    <m/>
    <n v="42100"/>
    <s v="Italy"/>
    <s v="EMEA"/>
    <s v="Moroni"/>
    <s v="Maurizio"/>
    <s v="Small"/>
    <n v="2620.8000000000002"/>
  </r>
  <r>
    <n v="10105"/>
    <n v="39"/>
    <n v="81.14"/>
    <n v="6"/>
    <n v="3164.46"/>
    <d v="2003-02-11T00:00:00"/>
    <s v="Shipped"/>
    <n v="1"/>
    <x v="0"/>
    <n v="2003"/>
    <x v="5"/>
    <n v="100"/>
    <s v="S700_3505"/>
    <s v="Danish Wholesale Imports"/>
    <s v="31 12 3555"/>
    <s v="Vinb'ltet 34"/>
    <m/>
    <s v="Kobenhavn"/>
    <m/>
    <n v="1734"/>
    <s v="Denmark"/>
    <s v="EMEA"/>
    <s v="Petersen"/>
    <s v="Jytte"/>
    <s v="Medium"/>
    <n v="3164.46"/>
  </r>
  <r>
    <n v="10118"/>
    <n v="36"/>
    <n v="100"/>
    <n v="1"/>
    <n v="4219.2"/>
    <d v="2003-04-21T00:00:00"/>
    <s v="Shipped"/>
    <n v="2"/>
    <x v="8"/>
    <n v="2003"/>
    <x v="5"/>
    <n v="100"/>
    <s v="S700_3505"/>
    <s v="Enaco Distributors"/>
    <s v="(93) 203 4555"/>
    <s v="Rambla de Catalu¤a, 23"/>
    <m/>
    <s v="Barcelona"/>
    <m/>
    <n v="8022"/>
    <s v="Spain"/>
    <s v="EMEA"/>
    <s v="Saavedra"/>
    <s v="Eduardo"/>
    <s v="Medium"/>
    <n v="3600"/>
  </r>
  <r>
    <n v="10129"/>
    <n v="42"/>
    <n v="91.15"/>
    <n v="6"/>
    <n v="3828.3"/>
    <d v="2003-06-12T00:00:00"/>
    <s v="Shipped"/>
    <n v="2"/>
    <x v="9"/>
    <n v="2003"/>
    <x v="5"/>
    <n v="100"/>
    <s v="S700_3505"/>
    <s v="Stylish Desk Decors, Co."/>
    <s v="(171) 555-0297"/>
    <s v="35 King George"/>
    <m/>
    <s v="London"/>
    <m/>
    <s v="WX3 6FW"/>
    <s v="UK"/>
    <s v="EMEA"/>
    <s v="Brown"/>
    <s v="Ann"/>
    <s v="Medium"/>
    <n v="3828.3"/>
  </r>
  <r>
    <n v="10142"/>
    <n v="21"/>
    <n v="100"/>
    <n v="3"/>
    <n v="2334.9899999999998"/>
    <d v="2003-08-08T00:00:00"/>
    <s v="Shipped"/>
    <n v="3"/>
    <x v="3"/>
    <n v="2003"/>
    <x v="5"/>
    <n v="100"/>
    <s v="S700_3505"/>
    <s v="Mini Gifts Distributors Ltd."/>
    <n v="4155551450"/>
    <s v="5677 Strong St."/>
    <m/>
    <s v="San Rafael"/>
    <s v="CA"/>
    <n v="97562"/>
    <s v="USA"/>
    <s v="NA"/>
    <s v="Nelson"/>
    <s v="Valarie"/>
    <s v="Small"/>
    <n v="2100"/>
  </r>
  <r>
    <n v="10153"/>
    <n v="50"/>
    <n v="88.15"/>
    <n v="2"/>
    <n v="4407.5"/>
    <d v="2003-09-28T00:00:00"/>
    <s v="Shipped"/>
    <n v="3"/>
    <x v="10"/>
    <n v="2003"/>
    <x v="5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Medium"/>
    <n v="4407.5"/>
  </r>
  <r>
    <n v="10167"/>
    <n v="24"/>
    <n v="100"/>
    <n v="13"/>
    <n v="2812.8"/>
    <d v="2003-10-23T00:00:00"/>
    <s v="Cancelled"/>
    <n v="4"/>
    <x v="4"/>
    <n v="2003"/>
    <x v="5"/>
    <n v="100"/>
    <s v="S700_3505"/>
    <s v="Scandinavian Gift Ideas"/>
    <s v="0695-34 6555"/>
    <s v="?kergatan 24"/>
    <m/>
    <s v="Boras"/>
    <m/>
    <s v="S-844 67"/>
    <s v="Sweden"/>
    <s v="EMEA"/>
    <s v="Larsson"/>
    <s v="Maria"/>
    <s v="Small"/>
    <n v="2400"/>
  </r>
  <r>
    <n v="10177"/>
    <n v="44"/>
    <n v="92.16"/>
    <n v="4"/>
    <n v="4055.04"/>
    <d v="2003-11-07T00:00:00"/>
    <s v="Shipped"/>
    <n v="4"/>
    <x v="5"/>
    <n v="2003"/>
    <x v="5"/>
    <n v="100"/>
    <s v="S700_3505"/>
    <s v="CAF Imports"/>
    <s v="+34 913 728 555"/>
    <s v="Merchants House, 27-30 Merchant's Quay"/>
    <m/>
    <s v="Madrid"/>
    <m/>
    <n v="28023"/>
    <s v="Spain"/>
    <s v="EMEA"/>
    <s v="Fernandez"/>
    <s v="Jesus"/>
    <s v="Medium"/>
    <n v="4055.04"/>
  </r>
  <r>
    <n v="10185"/>
    <n v="37"/>
    <n v="100"/>
    <n v="4"/>
    <n v="3891.66"/>
    <d v="2003-11-14T00:00:00"/>
    <s v="Shipped"/>
    <n v="4"/>
    <x v="5"/>
    <n v="2003"/>
    <x v="5"/>
    <n v="100"/>
    <s v="S700_3505"/>
    <s v="Mini Creations Ltd."/>
    <n v="5085559555"/>
    <s v="4575 Hillside Dr."/>
    <m/>
    <s v="New Bedford"/>
    <s v="MA"/>
    <n v="50553"/>
    <s v="USA"/>
    <s v="NA"/>
    <s v="Tam"/>
    <s v="Wing C"/>
    <s v="Medium"/>
    <n v="3700"/>
  </r>
  <r>
    <n v="10197"/>
    <n v="27"/>
    <n v="92.16"/>
    <n v="10"/>
    <n v="2488.3200000000002"/>
    <d v="2003-11-26T00:00:00"/>
    <s v="Shipped"/>
    <n v="4"/>
    <x v="5"/>
    <n v="2003"/>
    <x v="5"/>
    <n v="100"/>
    <s v="S700_3505"/>
    <s v="Enaco Distributors"/>
    <s v="(93) 203 4555"/>
    <s v="Rambla de Catalu¤a, 23"/>
    <m/>
    <s v="Barcelona"/>
    <m/>
    <n v="8022"/>
    <s v="Spain"/>
    <s v="EMEA"/>
    <s v="Saavedra"/>
    <s v="Eduardo"/>
    <s v="Small"/>
    <n v="2488.3199999999997"/>
  </r>
  <r>
    <n v="10208"/>
    <n v="37"/>
    <n v="100"/>
    <n v="4"/>
    <n v="4447.3999999999996"/>
    <d v="2004-01-02T00:00:00"/>
    <s v="Shipped"/>
    <n v="1"/>
    <x v="7"/>
    <n v="2004"/>
    <x v="5"/>
    <n v="100"/>
    <s v="S700_3505"/>
    <s v="Saveley &amp; Henriot, Co."/>
    <s v="78.32.5555"/>
    <s v="2, rue du Commerce"/>
    <m/>
    <s v="Lyon"/>
    <m/>
    <n v="69004"/>
    <s v="France"/>
    <s v="EMEA"/>
    <s v="Saveley"/>
    <s v="Mary"/>
    <s v="Medium"/>
    <n v="3700"/>
  </r>
  <r>
    <n v="10222"/>
    <n v="38"/>
    <n v="100"/>
    <n v="16"/>
    <n v="4187.22"/>
    <d v="2004-02-19T00:00:00"/>
    <s v="Shipped"/>
    <n v="1"/>
    <x v="0"/>
    <n v="2004"/>
    <x v="5"/>
    <n v="100"/>
    <s v="S700_3505"/>
    <s v="Collectable Mini Designs Co."/>
    <n v="7605558146"/>
    <s v="361 Furth Circle"/>
    <m/>
    <s v="San Diego"/>
    <s v="CA"/>
    <n v="91217"/>
    <s v="USA"/>
    <s v="NA"/>
    <s v="Thompson"/>
    <s v="Valarie"/>
    <s v="Medium"/>
    <n v="3800"/>
  </r>
  <r>
    <n v="10232"/>
    <n v="48"/>
    <n v="96.16"/>
    <n v="1"/>
    <n v="4615.68"/>
    <d v="2004-03-20T00:00:00"/>
    <s v="Shipped"/>
    <n v="1"/>
    <x v="11"/>
    <n v="2004"/>
    <x v="5"/>
    <n v="100"/>
    <s v="S700_3505"/>
    <s v="giftsbymail.co.uk"/>
    <s v="(198) 555-8888"/>
    <s v="Garden House Crowther Way"/>
    <m/>
    <s v="Cowes"/>
    <s v="Isle of Wight"/>
    <s v="PO31 7PJ"/>
    <s v="UK"/>
    <s v="EMEA"/>
    <s v="Bennett"/>
    <s v="Helen"/>
    <s v="Medium"/>
    <n v="4615.68"/>
  </r>
  <r>
    <n v="10248"/>
    <n v="30"/>
    <n v="100"/>
    <n v="7"/>
    <n v="3245.4"/>
    <d v="2004-05-07T00:00:00"/>
    <s v="Cancelled"/>
    <n v="2"/>
    <x v="1"/>
    <n v="2004"/>
    <x v="5"/>
    <n v="100"/>
    <s v="S700_3505"/>
    <s v="Land of Toys Inc."/>
    <n v="2125557818"/>
    <s v="897 Long Airport Avenue"/>
    <m/>
    <s v="NYC"/>
    <s v="NY"/>
    <n v="10022"/>
    <s v="USA"/>
    <s v="NA"/>
    <s v="Yu"/>
    <s v="Kwai"/>
    <s v="Medium"/>
    <n v="3000"/>
  </r>
  <r>
    <n v="10261"/>
    <n v="25"/>
    <n v="88.15"/>
    <n v="5"/>
    <n v="2203.75"/>
    <d v="2004-06-17T00:00:00"/>
    <s v="Shipped"/>
    <n v="2"/>
    <x v="9"/>
    <n v="2004"/>
    <x v="5"/>
    <n v="100"/>
    <s v="S700_3505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2203.75"/>
  </r>
  <r>
    <n v="10273"/>
    <n v="40"/>
    <n v="86.15"/>
    <n v="8"/>
    <n v="3446"/>
    <d v="2004-07-21T00:00:00"/>
    <s v="Shipped"/>
    <n v="3"/>
    <x v="2"/>
    <n v="2004"/>
    <x v="5"/>
    <n v="100"/>
    <s v="S700_3505"/>
    <s v="Petit Auto"/>
    <s v="(02) 5554 67"/>
    <s v="Rue Joseph-Bens 532"/>
    <m/>
    <s v="Bruxelles"/>
    <m/>
    <s v="B-1180"/>
    <s v="Belgium"/>
    <s v="EMEA"/>
    <s v="Dewey"/>
    <s v="Catherine"/>
    <s v="Medium"/>
    <n v="3446"/>
  </r>
  <r>
    <n v="10283"/>
    <n v="22"/>
    <n v="88.15"/>
    <n v="10"/>
    <n v="1939.3"/>
    <d v="2004-08-20T00:00:00"/>
    <s v="Shipped"/>
    <n v="3"/>
    <x v="3"/>
    <n v="2004"/>
    <x v="5"/>
    <n v="100"/>
    <s v="S700_3505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1939.3000000000002"/>
  </r>
  <r>
    <n v="10295"/>
    <n v="34"/>
    <n v="100"/>
    <n v="5"/>
    <n v="3473.78"/>
    <d v="2004-09-10T00:00:00"/>
    <s v="Shipped"/>
    <n v="3"/>
    <x v="10"/>
    <n v="2004"/>
    <x v="5"/>
    <n v="100"/>
    <s v="S700_3505"/>
    <s v="Gifts4AllAges.com"/>
    <n v="6175559555"/>
    <s v="8616 Spinnaker Dr."/>
    <m/>
    <s v="Boston"/>
    <s v="MA"/>
    <n v="51003"/>
    <s v="USA"/>
    <s v="NA"/>
    <s v="Yoshido"/>
    <s v="Juri"/>
    <s v="Medium"/>
    <n v="3400"/>
  </r>
  <r>
    <n v="10306"/>
    <n v="32"/>
    <n v="90.15"/>
    <n v="4"/>
    <n v="2884.8"/>
    <d v="2004-10-14T00:00:00"/>
    <s v="Shipped"/>
    <n v="4"/>
    <x v="4"/>
    <n v="2004"/>
    <x v="5"/>
    <n v="100"/>
    <s v="S700_3505"/>
    <s v="AV Stores, Co."/>
    <s v="(171) 555-1555"/>
    <s v="Fauntleroy Circus"/>
    <m/>
    <s v="Manchester"/>
    <m/>
    <s v="EC2 5NT"/>
    <s v="UK"/>
    <s v="EMEA"/>
    <s v="Ashworth"/>
    <s v="Victoria"/>
    <s v="Small"/>
    <n v="2884.8"/>
  </r>
  <r>
    <n v="10315"/>
    <n v="31"/>
    <n v="86.15"/>
    <n v="3"/>
    <n v="2670.65"/>
    <d v="2004-10-29T00:00:00"/>
    <s v="Shipped"/>
    <n v="4"/>
    <x v="4"/>
    <n v="2004"/>
    <x v="5"/>
    <n v="100"/>
    <s v="S700_3505"/>
    <s v="La Rochelle Gifts"/>
    <s v="40.67.8555"/>
    <s v="67, rue des Cinquante Otages"/>
    <m/>
    <s v="Nantes"/>
    <m/>
    <n v="44000"/>
    <s v="France"/>
    <s v="EMEA"/>
    <s v="Labrune"/>
    <s v="Janine"/>
    <s v="Small"/>
    <n v="2670.65"/>
  </r>
  <r>
    <n v="10327"/>
    <n v="43"/>
    <n v="80"/>
    <n v="2"/>
    <n v="3440"/>
    <d v="2004-11-10T00:00:00"/>
    <s v="Resolved"/>
    <n v="4"/>
    <x v="5"/>
    <n v="2004"/>
    <x v="5"/>
    <n v="100"/>
    <s v="S700_3505"/>
    <s v="Danish Wholesale Imports"/>
    <s v="31 12 3555"/>
    <s v="Vinb'ltet 34"/>
    <m/>
    <s v="Kobenhavn"/>
    <m/>
    <n v="1734"/>
    <s v="Denmark"/>
    <s v="EMEA"/>
    <s v="Petersen"/>
    <s v="Jytte"/>
    <s v="Medium"/>
    <n v="3440"/>
  </r>
  <r>
    <n v="10337"/>
    <n v="31"/>
    <n v="89.38"/>
    <n v="1"/>
    <n v="2770.78"/>
    <d v="2004-11-21T00:00:00"/>
    <s v="Shipped"/>
    <n v="4"/>
    <x v="5"/>
    <n v="2004"/>
    <x v="5"/>
    <n v="100"/>
    <s v="S700_3505"/>
    <s v="Classic Legends Inc."/>
    <n v="2125558493"/>
    <s v="5905 Pompton St."/>
    <s v="Suite 750"/>
    <s v="NYC"/>
    <s v="NY"/>
    <n v="10022"/>
    <s v="USA"/>
    <s v="NA"/>
    <s v="Hernandez"/>
    <s v="Maria"/>
    <s v="Small"/>
    <n v="2770.7799999999997"/>
  </r>
  <r>
    <n v="10350"/>
    <n v="31"/>
    <n v="77.34"/>
    <n v="13"/>
    <n v="2397.54"/>
    <d v="2004-12-02T00:00:00"/>
    <s v="Shipped"/>
    <n v="4"/>
    <x v="6"/>
    <n v="2004"/>
    <x v="5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Small"/>
    <n v="2397.54"/>
  </r>
  <r>
    <n v="10373"/>
    <n v="34"/>
    <n v="96.34"/>
    <n v="2"/>
    <n v="3275.56"/>
    <d v="2005-01-31T00:00:00"/>
    <s v="Shipped"/>
    <n v="1"/>
    <x v="7"/>
    <n v="2005"/>
    <x v="5"/>
    <n v="100"/>
    <s v="S700_3505"/>
    <s v="Oulu Toy Supplies, Inc."/>
    <s v="981-443655"/>
    <s v="Torikatu 38"/>
    <m/>
    <s v="Oulu"/>
    <m/>
    <n v="90110"/>
    <s v="Finland"/>
    <s v="EMEA"/>
    <s v="Koskitalo"/>
    <s v="Pirkko"/>
    <s v="Medium"/>
    <n v="3275.56"/>
  </r>
  <r>
    <n v="10386"/>
    <n v="45"/>
    <n v="92.08"/>
    <n v="2"/>
    <n v="4143.6000000000004"/>
    <d v="2005-03-01T00:00:00"/>
    <s v="Resolved"/>
    <n v="1"/>
    <x v="11"/>
    <n v="2005"/>
    <x v="5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Medium"/>
    <n v="4143.6000000000004"/>
  </r>
  <r>
    <n v="10397"/>
    <n v="48"/>
    <n v="100"/>
    <n v="3"/>
    <n v="5192.6400000000003"/>
    <d v="2005-03-28T00:00:00"/>
    <s v="Shipped"/>
    <n v="1"/>
    <x v="11"/>
    <n v="2005"/>
    <x v="5"/>
    <n v="100"/>
    <s v="S700_3505"/>
    <s v="Alpha Cognac"/>
    <s v="61.77.6555"/>
    <s v="1 rue Alsace-Lorraine"/>
    <m/>
    <s v="Toulouse"/>
    <m/>
    <n v="31000"/>
    <s v="France"/>
    <s v="EMEA"/>
    <s v="Roulet"/>
    <s v="Annette"/>
    <s v="Medium"/>
    <n v="4800"/>
  </r>
  <r>
    <n v="10414"/>
    <n v="28"/>
    <n v="100"/>
    <n v="7"/>
    <n v="3029.04"/>
    <d v="2005-05-06T00:00:00"/>
    <s v="On Hold"/>
    <n v="2"/>
    <x v="1"/>
    <n v="2005"/>
    <x v="5"/>
    <n v="100"/>
    <s v="S700_3505"/>
    <s v="Gifts4AllAges.com"/>
    <n v="6175559555"/>
    <s v="8616 Spinnaker Dr."/>
    <m/>
    <s v="Boston"/>
    <s v="MA"/>
    <n v="51003"/>
    <s v="USA"/>
    <s v="NA"/>
    <s v="Yoshido"/>
    <s v="Juri"/>
    <s v="Medium"/>
    <n v="2800"/>
  </r>
  <r>
    <n v="10105"/>
    <n v="22"/>
    <n v="100"/>
    <n v="7"/>
    <n v="2556.1799999999998"/>
    <d v="2003-02-11T00:00:00"/>
    <s v="Shipped"/>
    <n v="1"/>
    <x v="0"/>
    <n v="2003"/>
    <x v="5"/>
    <n v="99"/>
    <s v="S700_3962"/>
    <s v="Danish Wholesale Imports"/>
    <s v="31 12 3555"/>
    <s v="Vinb'ltet 34"/>
    <m/>
    <s v="Kobenhavn"/>
    <m/>
    <n v="1734"/>
    <s v="Denmark"/>
    <s v="EMEA"/>
    <s v="Petersen"/>
    <s v="Jytte"/>
    <s v="Small"/>
    <n v="2200"/>
  </r>
  <r>
    <n v="10117"/>
    <n v="45"/>
    <n v="83.42"/>
    <n v="1"/>
    <n v="3753.9"/>
    <d v="2003-04-16T00:00:00"/>
    <s v="Shipped"/>
    <n v="2"/>
    <x v="8"/>
    <n v="2003"/>
    <x v="5"/>
    <n v="99"/>
    <s v="S700_396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  <n v="3753.9"/>
  </r>
  <r>
    <n v="10129"/>
    <n v="30"/>
    <n v="85.41"/>
    <n v="7"/>
    <n v="2562.3000000000002"/>
    <d v="2003-06-12T00:00:00"/>
    <s v="Shipped"/>
    <n v="2"/>
    <x v="9"/>
    <n v="2003"/>
    <x v="5"/>
    <n v="99"/>
    <s v="S700_3962"/>
    <s v="Stylish Desk Decors, Co."/>
    <s v="(171) 555-0297"/>
    <s v="35 King George"/>
    <m/>
    <s v="London"/>
    <m/>
    <s v="WX3 6FW"/>
    <s v="UK"/>
    <s v="EMEA"/>
    <s v="Brown"/>
    <s v="Ann"/>
    <s v="Small"/>
    <n v="2562.2999999999997"/>
  </r>
  <r>
    <n v="10142"/>
    <n v="38"/>
    <n v="85.41"/>
    <n v="4"/>
    <n v="3245.58"/>
    <d v="2003-08-08T00:00:00"/>
    <s v="Shipped"/>
    <n v="3"/>
    <x v="3"/>
    <n v="2003"/>
    <x v="5"/>
    <n v="99"/>
    <s v="S700_3962"/>
    <s v="Mini Gifts Distributors Ltd."/>
    <n v="4155551450"/>
    <s v="5677 Strong St."/>
    <m/>
    <s v="San Rafael"/>
    <s v="CA"/>
    <n v="97562"/>
    <s v="USA"/>
    <s v="NA"/>
    <s v="Nelson"/>
    <s v="Valarie"/>
    <s v="Medium"/>
    <n v="3245.58"/>
  </r>
  <r>
    <n v="10153"/>
    <n v="20"/>
    <n v="100"/>
    <n v="3"/>
    <n v="2204.6"/>
    <d v="2003-09-28T00:00:00"/>
    <s v="Shipped"/>
    <n v="3"/>
    <x v="10"/>
    <n v="2003"/>
    <x v="5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  <n v="2000"/>
  </r>
  <r>
    <n v="10167"/>
    <n v="28"/>
    <n v="100"/>
    <n v="14"/>
    <n v="3003"/>
    <d v="2003-10-23T00:00:00"/>
    <s v="Cancelled"/>
    <n v="4"/>
    <x v="4"/>
    <n v="2003"/>
    <x v="5"/>
    <n v="99"/>
    <s v="S700_3962"/>
    <s v="Scandinavian Gift Ideas"/>
    <s v="0695-34 6555"/>
    <s v="?kergatan 24"/>
    <m/>
    <s v="Boras"/>
    <m/>
    <s v="S-844 67"/>
    <s v="Sweden"/>
    <s v="EMEA"/>
    <s v="Larsson"/>
    <s v="Maria"/>
    <s v="Medium"/>
    <n v="2800"/>
  </r>
  <r>
    <n v="10177"/>
    <n v="24"/>
    <n v="100"/>
    <n v="5"/>
    <n v="2526.48"/>
    <d v="2003-11-07T00:00:00"/>
    <s v="Shipped"/>
    <n v="4"/>
    <x v="5"/>
    <n v="2003"/>
    <x v="5"/>
    <n v="99"/>
    <s v="S700_3962"/>
    <s v="CAF Imports"/>
    <s v="+34 913 728 555"/>
    <s v="Merchants House, 27-30 Merchant's Quay"/>
    <m/>
    <s v="Madrid"/>
    <m/>
    <n v="28023"/>
    <s v="Spain"/>
    <s v="EMEA"/>
    <s v="Fernandez"/>
    <s v="Jesus"/>
    <s v="Small"/>
    <n v="2400"/>
  </r>
  <r>
    <n v="10185"/>
    <n v="22"/>
    <n v="79.45"/>
    <n v="5"/>
    <n v="1747.9"/>
    <d v="2003-11-14T00:00:00"/>
    <s v="Shipped"/>
    <n v="4"/>
    <x v="5"/>
    <n v="2003"/>
    <x v="5"/>
    <n v="99"/>
    <s v="S700_3962"/>
    <s v="Mini Creations Ltd."/>
    <n v="5085559555"/>
    <s v="4575 Hillside Dr."/>
    <m/>
    <s v="New Bedford"/>
    <s v="MA"/>
    <n v="50553"/>
    <s v="USA"/>
    <s v="NA"/>
    <s v="Tam"/>
    <s v="Wing C"/>
    <s v="Small"/>
    <n v="1747.9"/>
  </r>
  <r>
    <n v="10197"/>
    <n v="35"/>
    <n v="93.35"/>
    <n v="11"/>
    <n v="3267.25"/>
    <d v="2003-11-26T00:00:00"/>
    <s v="Shipped"/>
    <n v="4"/>
    <x v="5"/>
    <n v="2003"/>
    <x v="5"/>
    <n v="99"/>
    <s v="S700_3962"/>
    <s v="Enaco Distributors"/>
    <s v="(93) 203 4555"/>
    <s v="Rambla de Catalu¤a, 23"/>
    <m/>
    <s v="Barcelona"/>
    <m/>
    <n v="8022"/>
    <s v="Spain"/>
    <s v="EMEA"/>
    <s v="Saavedra"/>
    <s v="Eduardo"/>
    <s v="Medium"/>
    <n v="3267.25"/>
  </r>
  <r>
    <n v="10208"/>
    <n v="33"/>
    <n v="85.41"/>
    <n v="5"/>
    <n v="2818.53"/>
    <d v="2004-01-02T00:00:00"/>
    <s v="Shipped"/>
    <n v="1"/>
    <x v="7"/>
    <n v="2004"/>
    <x v="5"/>
    <n v="99"/>
    <s v="S700_3962"/>
    <s v="Saveley &amp; Henriot, Co."/>
    <s v="78.32.5555"/>
    <s v="2, rue du Commerce"/>
    <m/>
    <s v="Lyon"/>
    <m/>
    <n v="69004"/>
    <s v="France"/>
    <s v="EMEA"/>
    <s v="Saveley"/>
    <s v="Mary"/>
    <s v="Small"/>
    <n v="2818.5299999999997"/>
  </r>
  <r>
    <n v="10222"/>
    <n v="31"/>
    <n v="95.34"/>
    <n v="17"/>
    <n v="2955.54"/>
    <d v="2004-02-19T00:00:00"/>
    <s v="Shipped"/>
    <n v="1"/>
    <x v="0"/>
    <n v="2004"/>
    <x v="5"/>
    <n v="99"/>
    <s v="S700_3962"/>
    <s v="Collectable Mini Designs Co."/>
    <n v="7605558146"/>
    <s v="361 Furth Circle"/>
    <m/>
    <s v="San Diego"/>
    <s v="CA"/>
    <n v="91217"/>
    <s v="USA"/>
    <s v="NA"/>
    <s v="Thompson"/>
    <s v="Valarie"/>
    <s v="Small"/>
    <n v="2955.54"/>
  </r>
  <r>
    <n v="10232"/>
    <n v="35"/>
    <n v="82.43"/>
    <n v="2"/>
    <n v="2885.05"/>
    <d v="2004-03-20T00:00:00"/>
    <s v="Shipped"/>
    <n v="1"/>
    <x v="11"/>
    <n v="2004"/>
    <x v="5"/>
    <n v="99"/>
    <s v="S700_3962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885.05"/>
  </r>
  <r>
    <n v="10248"/>
    <n v="35"/>
    <n v="90.37"/>
    <n v="8"/>
    <n v="3162.95"/>
    <d v="2004-05-07T00:00:00"/>
    <s v="Cancelled"/>
    <n v="2"/>
    <x v="1"/>
    <n v="2004"/>
    <x v="5"/>
    <n v="99"/>
    <s v="S700_3962"/>
    <s v="Land of Toys Inc."/>
    <n v="2125557818"/>
    <s v="897 Long Airport Avenue"/>
    <m/>
    <s v="NYC"/>
    <s v="NY"/>
    <n v="10022"/>
    <s v="USA"/>
    <s v="NA"/>
    <s v="Yu"/>
    <s v="Kwai"/>
    <s v="Medium"/>
    <n v="3162.9500000000003"/>
  </r>
  <r>
    <n v="10261"/>
    <n v="50"/>
    <n v="81.430000000000007"/>
    <n v="6"/>
    <n v="4071.5"/>
    <d v="2004-06-17T00:00:00"/>
    <s v="Shipped"/>
    <n v="2"/>
    <x v="9"/>
    <n v="2004"/>
    <x v="5"/>
    <n v="99"/>
    <s v="S700_3962"/>
    <s v="Quebec Home Shopping Network"/>
    <s v="(514) 555-8054"/>
    <s v="43 rue St. Laurent"/>
    <m/>
    <s v="Montreal"/>
    <s v="Quebec"/>
    <s v="H1J 1C3"/>
    <s v="Canada"/>
    <s v="NA"/>
    <s v="Fresnisre"/>
    <s v="Jean"/>
    <s v="Medium"/>
    <n v="4071.5000000000005"/>
  </r>
  <r>
    <n v="10273"/>
    <n v="26"/>
    <n v="100"/>
    <n v="9"/>
    <n v="2969.46"/>
    <d v="2004-07-21T00:00:00"/>
    <s v="Shipped"/>
    <n v="3"/>
    <x v="2"/>
    <n v="2004"/>
    <x v="5"/>
    <n v="99"/>
    <s v="S700_3962"/>
    <s v="Petit Auto"/>
    <s v="(02) 5554 67"/>
    <s v="Rue Joseph-Bens 532"/>
    <m/>
    <s v="Bruxelles"/>
    <m/>
    <s v="B-1180"/>
    <s v="Belgium"/>
    <s v="EMEA"/>
    <s v="Dewey"/>
    <s v="Catherine"/>
    <s v="Small"/>
    <n v="2600"/>
  </r>
  <r>
    <n v="10283"/>
    <n v="38"/>
    <n v="89.38"/>
    <n v="11"/>
    <n v="3396.44"/>
    <d v="2004-08-20T00:00:00"/>
    <s v="Shipped"/>
    <n v="3"/>
    <x v="3"/>
    <n v="2004"/>
    <x v="5"/>
    <n v="99"/>
    <s v="S700_3962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  <n v="3396.4399999999996"/>
  </r>
  <r>
    <n v="10294"/>
    <n v="45"/>
    <n v="100"/>
    <n v="1"/>
    <n v="4692.6000000000004"/>
    <d v="2004-09-10T00:00:00"/>
    <s v="Shipped"/>
    <n v="3"/>
    <x v="10"/>
    <n v="2004"/>
    <x v="5"/>
    <n v="99"/>
    <s v="S700_3962"/>
    <s v="Online Mini Collectables"/>
    <n v="6175557555"/>
    <s v="7635 Spinnaker Dr."/>
    <m/>
    <s v="Brickhaven"/>
    <s v="MA"/>
    <n v="58339"/>
    <s v="USA"/>
    <s v="NA"/>
    <s v="Barajas"/>
    <s v="Miguel"/>
    <s v="Medium"/>
    <n v="4500"/>
  </r>
  <r>
    <n v="10306"/>
    <n v="30"/>
    <n v="100"/>
    <n v="5"/>
    <n v="3515.7"/>
    <d v="2004-10-14T00:00:00"/>
    <s v="Shipped"/>
    <n v="4"/>
    <x v="4"/>
    <n v="2004"/>
    <x v="5"/>
    <n v="99"/>
    <s v="S700_3962"/>
    <s v="AV Stores, Co."/>
    <s v="(171) 555-1555"/>
    <s v="Fauntleroy Circus"/>
    <m/>
    <s v="Manchester"/>
    <m/>
    <s v="EC2 5NT"/>
    <s v="UK"/>
    <s v="EMEA"/>
    <s v="Ashworth"/>
    <s v="Victoria"/>
    <s v="Medium"/>
    <n v="3000"/>
  </r>
  <r>
    <n v="10315"/>
    <n v="37"/>
    <n v="91.37"/>
    <n v="4"/>
    <n v="3380.69"/>
    <d v="2004-10-29T00:00:00"/>
    <s v="Shipped"/>
    <n v="4"/>
    <x v="4"/>
    <n v="2004"/>
    <x v="5"/>
    <n v="99"/>
    <s v="S700_3962"/>
    <s v="La Rochelle Gifts"/>
    <s v="40.67.8555"/>
    <s v="67, rue des Cinquante Otages"/>
    <m/>
    <s v="Nantes"/>
    <m/>
    <n v="44000"/>
    <s v="France"/>
    <s v="EMEA"/>
    <s v="Labrune"/>
    <s v="Janine"/>
    <s v="Medium"/>
    <n v="3380.69"/>
  </r>
  <r>
    <n v="10327"/>
    <n v="37"/>
    <n v="86.61"/>
    <n v="3"/>
    <n v="3204.57"/>
    <d v="2004-11-10T00:00:00"/>
    <s v="Resolved"/>
    <n v="4"/>
    <x v="5"/>
    <n v="2004"/>
    <x v="5"/>
    <n v="99"/>
    <s v="S700_3962"/>
    <s v="Danish Wholesale Imports"/>
    <s v="31 12 3555"/>
    <s v="Vinb'ltet 34"/>
    <m/>
    <s v="Kobenhavn"/>
    <m/>
    <n v="1734"/>
    <s v="Denmark"/>
    <s v="EMEA"/>
    <s v="Petersen"/>
    <s v="Jytte"/>
    <s v="Medium"/>
    <n v="3204.57"/>
  </r>
  <r>
    <n v="10337"/>
    <n v="36"/>
    <n v="71.89"/>
    <n v="7"/>
    <n v="2588.04"/>
    <d v="2004-11-21T00:00:00"/>
    <s v="Shipped"/>
    <n v="4"/>
    <x v="5"/>
    <n v="2004"/>
    <x v="5"/>
    <n v="99"/>
    <s v="S700_3962"/>
    <s v="Classic Legends Inc."/>
    <n v="2125558493"/>
    <s v="5905 Pompton St."/>
    <s v="Suite 750"/>
    <s v="NYC"/>
    <s v="NY"/>
    <n v="10022"/>
    <s v="USA"/>
    <s v="NA"/>
    <s v="Hernandez"/>
    <s v="Maria"/>
    <s v="Small"/>
    <n v="2588.04"/>
  </r>
  <r>
    <n v="10350"/>
    <n v="25"/>
    <n v="100"/>
    <n v="16"/>
    <n v="2854.75"/>
    <d v="2004-12-02T00:00:00"/>
    <s v="Shipped"/>
    <n v="4"/>
    <x v="6"/>
    <n v="2004"/>
    <x v="5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  <n v="2500"/>
  </r>
  <r>
    <n v="10373"/>
    <n v="37"/>
    <n v="100"/>
    <n v="8"/>
    <n v="4025.6"/>
    <d v="2005-01-31T00:00:00"/>
    <s v="Shipped"/>
    <n v="1"/>
    <x v="7"/>
    <n v="2005"/>
    <x v="5"/>
    <n v="99"/>
    <s v="S700_3962"/>
    <s v="Oulu Toy Supplies, Inc."/>
    <s v="981-443655"/>
    <s v="Torikatu 38"/>
    <m/>
    <s v="Oulu"/>
    <m/>
    <n v="90110"/>
    <s v="Finland"/>
    <s v="EMEA"/>
    <s v="Koskitalo"/>
    <s v="Pirkko"/>
    <s v="Medium"/>
    <n v="3700"/>
  </r>
  <r>
    <n v="10386"/>
    <n v="30"/>
    <n v="95.48"/>
    <n v="3"/>
    <n v="2864.4"/>
    <d v="2005-03-01T00:00:00"/>
    <s v="Resolved"/>
    <n v="1"/>
    <x v="11"/>
    <n v="2005"/>
    <x v="5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  <n v="2864.4"/>
  </r>
  <r>
    <n v="10397"/>
    <n v="36"/>
    <n v="100"/>
    <n v="2"/>
    <n v="3789.72"/>
    <d v="2005-03-28T00:00:00"/>
    <s v="Shipped"/>
    <n v="1"/>
    <x v="11"/>
    <n v="2005"/>
    <x v="5"/>
    <n v="99"/>
    <s v="S700_3962"/>
    <s v="Alpha Cognac"/>
    <s v="61.77.6555"/>
    <s v="1 rue Alsace-Lorraine"/>
    <m/>
    <s v="Toulouse"/>
    <m/>
    <n v="31000"/>
    <s v="France"/>
    <s v="EMEA"/>
    <s v="Roulet"/>
    <s v="Annette"/>
    <s v="Medium"/>
    <n v="3600"/>
  </r>
  <r>
    <n v="10414"/>
    <n v="27"/>
    <n v="90.37"/>
    <n v="8"/>
    <n v="2439.9899999999998"/>
    <d v="2005-05-06T00:00:00"/>
    <s v="On Hold"/>
    <n v="2"/>
    <x v="1"/>
    <n v="2005"/>
    <x v="5"/>
    <n v="99"/>
    <s v="S700_3962"/>
    <s v="Gifts4AllAges.com"/>
    <n v="6175559555"/>
    <s v="8616 Spinnaker Dr."/>
    <m/>
    <s v="Boston"/>
    <s v="MA"/>
    <n v="51003"/>
    <s v="USA"/>
    <s v="NA"/>
    <s v="Yoshido"/>
    <s v="Juri"/>
    <s v="Small"/>
    <n v="2439.9900000000002"/>
  </r>
  <r>
    <n v="10106"/>
    <n v="48"/>
    <n v="61.44"/>
    <n v="10"/>
    <n v="2949.12"/>
    <d v="2003-02-17T00:00:00"/>
    <s v="Shipped"/>
    <n v="1"/>
    <x v="0"/>
    <n v="2003"/>
    <x v="4"/>
    <n v="74"/>
    <s v="S700_4002"/>
    <s v="Rovelli Gifts"/>
    <s v="035-640555"/>
    <s v="Via Ludovico il Moro 22"/>
    <m/>
    <s v="Bergamo"/>
    <m/>
    <n v="24100"/>
    <s v="Italy"/>
    <s v="EMEA"/>
    <s v="Rovelli"/>
    <s v="Giovanni"/>
    <s v="Small"/>
    <n v="2949.12"/>
  </r>
  <r>
    <n v="10119"/>
    <n v="26"/>
    <n v="59.22"/>
    <n v="1"/>
    <n v="1539.72"/>
    <d v="2003-04-28T00:00:00"/>
    <s v="Shipped"/>
    <n v="2"/>
    <x v="8"/>
    <n v="2003"/>
    <x v="4"/>
    <n v="74"/>
    <s v="S700_4002"/>
    <s v="Salzburg Collectables"/>
    <s v="6562-9555"/>
    <s v="Geislweg 14"/>
    <m/>
    <s v="Salzburg"/>
    <m/>
    <n v="5020"/>
    <s v="Austria"/>
    <s v="EMEA"/>
    <s v="Pipps"/>
    <s v="Georg"/>
    <s v="Small"/>
    <n v="1539.72"/>
  </r>
  <r>
    <n v="10131"/>
    <n v="26"/>
    <n v="85.13"/>
    <n v="2"/>
    <n v="2213.38"/>
    <d v="2003-06-16T00:00:00"/>
    <s v="Shipped"/>
    <n v="2"/>
    <x v="9"/>
    <n v="2003"/>
    <x v="4"/>
    <n v="74"/>
    <s v="S700_4002"/>
    <s v="Gift Ideas Corp."/>
    <n v="2035554407"/>
    <s v="2440 Pompton St."/>
    <m/>
    <s v="Glendale"/>
    <s v="CT"/>
    <n v="97561"/>
    <s v="USA"/>
    <s v="NA"/>
    <s v="Lewis"/>
    <s v="Dan"/>
    <s v="Small"/>
    <n v="2213.38"/>
  </r>
  <r>
    <n v="10143"/>
    <n v="34"/>
    <n v="85.87"/>
    <n v="5"/>
    <n v="2919.58"/>
    <d v="2003-08-10T00:00:00"/>
    <s v="Shipped"/>
    <n v="3"/>
    <x v="3"/>
    <n v="2003"/>
    <x v="4"/>
    <n v="74"/>
    <s v="S700_4002"/>
    <s v="Mini Creations Ltd."/>
    <n v="5085559555"/>
    <s v="4575 Hillside Dr."/>
    <m/>
    <s v="New Bedford"/>
    <s v="MA"/>
    <n v="50553"/>
    <s v="USA"/>
    <s v="NA"/>
    <s v="Tam"/>
    <s v="Wing C"/>
    <s v="Small"/>
    <n v="2919.58"/>
  </r>
  <r>
    <n v="10155"/>
    <n v="44"/>
    <n v="85.87"/>
    <n v="3"/>
    <n v="3778.28"/>
    <d v="2003-10-06T00:00:00"/>
    <s v="Shipped"/>
    <n v="4"/>
    <x v="4"/>
    <n v="2003"/>
    <x v="4"/>
    <n v="74"/>
    <s v="S700_4002"/>
    <s v="Toys of Finland, Co."/>
    <s v="90-224 8555"/>
    <s v="Keskuskatu 45"/>
    <m/>
    <s v="Helsinki"/>
    <m/>
    <n v="21240"/>
    <s v="Finland"/>
    <s v="EMEA"/>
    <s v="Karttunen"/>
    <s v="Matti"/>
    <s v="Medium"/>
    <n v="3778.28"/>
  </r>
  <r>
    <n v="10168"/>
    <n v="39"/>
    <n v="82.91"/>
    <n v="17"/>
    <n v="3233.49"/>
    <d v="2003-10-28T00:00:00"/>
    <s v="Shipped"/>
    <n v="4"/>
    <x v="4"/>
    <n v="2003"/>
    <x v="4"/>
    <n v="74"/>
    <s v="S700_4002"/>
    <s v="Technics Stores Inc."/>
    <n v="6505556809"/>
    <s v="9408 Furth Circle"/>
    <m/>
    <s v="Burlingame"/>
    <s v="CA"/>
    <n v="94217"/>
    <s v="USA"/>
    <s v="NA"/>
    <s v="Hirano"/>
    <s v="Juri"/>
    <s v="Medium"/>
    <n v="3233.49"/>
  </r>
  <r>
    <n v="10178"/>
    <n v="45"/>
    <n v="76.25"/>
    <n v="2"/>
    <n v="3431.25"/>
    <d v="2003-11-08T00:00:00"/>
    <s v="Shipped"/>
    <n v="4"/>
    <x v="5"/>
    <n v="2003"/>
    <x v="4"/>
    <n v="74"/>
    <s v="S700_4002"/>
    <s v="Alpha Cognac"/>
    <s v="61.77.6555"/>
    <s v="1 rue Alsace-Lorraine"/>
    <m/>
    <s v="Toulouse"/>
    <m/>
    <n v="31000"/>
    <s v="France"/>
    <s v="EMEA"/>
    <s v="Roulet"/>
    <s v="Annette"/>
    <s v="Medium"/>
    <n v="3431.25"/>
  </r>
  <r>
    <n v="10198"/>
    <n v="40"/>
    <n v="63.67"/>
    <n v="2"/>
    <n v="2546.8000000000002"/>
    <d v="2003-11-27T00:00:00"/>
    <s v="Shipped"/>
    <n v="4"/>
    <x v="5"/>
    <n v="2003"/>
    <x v="4"/>
    <n v="74"/>
    <s v="S700_400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  <n v="2546.8000000000002"/>
  </r>
  <r>
    <n v="10210"/>
    <n v="42"/>
    <n v="70.33"/>
    <n v="15"/>
    <n v="2953.86"/>
    <d v="2004-01-12T00:00:00"/>
    <s v="Shipped"/>
    <n v="1"/>
    <x v="7"/>
    <n v="2004"/>
    <x v="4"/>
    <n v="74"/>
    <s v="S700_4002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  <n v="2953.86"/>
  </r>
  <r>
    <n v="10222"/>
    <n v="43"/>
    <n v="74.03"/>
    <n v="2"/>
    <n v="3183.29"/>
    <d v="2004-02-19T00:00:00"/>
    <s v="Shipped"/>
    <n v="1"/>
    <x v="0"/>
    <n v="2004"/>
    <x v="4"/>
    <n v="74"/>
    <s v="S700_4002"/>
    <s v="Collectable Mini Designs Co."/>
    <n v="7605558146"/>
    <s v="361 Furth Circle"/>
    <m/>
    <s v="San Diego"/>
    <s v="CA"/>
    <n v="91217"/>
    <s v="USA"/>
    <s v="NA"/>
    <s v="Thompson"/>
    <s v="Valarie"/>
    <s v="Medium"/>
    <n v="3183.29"/>
  </r>
  <r>
    <n v="10235"/>
    <n v="34"/>
    <n v="72.55"/>
    <n v="11"/>
    <n v="2466.6999999999998"/>
    <d v="2004-04-02T00:00:00"/>
    <s v="Shipped"/>
    <n v="2"/>
    <x v="8"/>
    <n v="2004"/>
    <x v="4"/>
    <n v="74"/>
    <s v="S700_4002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466.6999999999998"/>
  </r>
  <r>
    <n v="10250"/>
    <n v="38"/>
    <n v="62.19"/>
    <n v="12"/>
    <n v="2363.2199999999998"/>
    <d v="2004-05-11T00:00:00"/>
    <s v="Shipped"/>
    <n v="2"/>
    <x v="1"/>
    <n v="2004"/>
    <x v="4"/>
    <n v="74"/>
    <s v="S700_4002"/>
    <s v="The Sharp Gifts Warehouse"/>
    <n v="4085553659"/>
    <s v="3086 Ingle Ln."/>
    <m/>
    <s v="San Jose"/>
    <s v="CA"/>
    <n v="94217"/>
    <s v="USA"/>
    <s v="NA"/>
    <s v="Frick"/>
    <s v="Sue"/>
    <s v="Small"/>
    <n v="2363.2199999999998"/>
  </r>
  <r>
    <n v="10262"/>
    <n v="35"/>
    <n v="71.069999999999993"/>
    <n v="7"/>
    <n v="2487.4499999999998"/>
    <d v="2004-06-24T00:00:00"/>
    <s v="Cancelled"/>
    <n v="2"/>
    <x v="9"/>
    <n v="2004"/>
    <x v="4"/>
    <n v="74"/>
    <s v="S700_4002"/>
    <s v="Euro Shopping Channel"/>
    <s v="(91) 555 94 44"/>
    <s v="C/ Moralzarzal, 86"/>
    <m/>
    <s v="Madrid"/>
    <m/>
    <n v="28034"/>
    <s v="Spain"/>
    <s v="EMEA"/>
    <s v="Freyre"/>
    <s v="Diego"/>
    <s v="Small"/>
    <n v="2487.4499999999998"/>
  </r>
  <r>
    <n v="10275"/>
    <n v="31"/>
    <n v="72.55"/>
    <n v="17"/>
    <n v="2249.0500000000002"/>
    <d v="2004-07-23T00:00:00"/>
    <s v="Shipped"/>
    <n v="3"/>
    <x v="2"/>
    <n v="2004"/>
    <x v="4"/>
    <n v="74"/>
    <s v="S700_4002"/>
    <s v="La Rochelle Gifts"/>
    <s v="40.67.8555"/>
    <s v="67, rue des Cinquante Otages"/>
    <m/>
    <s v="Nantes"/>
    <m/>
    <n v="44000"/>
    <s v="France"/>
    <s v="EMEA"/>
    <s v="Labrune"/>
    <s v="Janine"/>
    <s v="Small"/>
    <n v="2249.0499999999997"/>
  </r>
  <r>
    <n v="10284"/>
    <n v="32"/>
    <n v="64.41"/>
    <n v="9"/>
    <n v="2061.12"/>
    <d v="2004-08-21T00:00:00"/>
    <s v="Shipped"/>
    <n v="3"/>
    <x v="3"/>
    <n v="2004"/>
    <x v="4"/>
    <n v="74"/>
    <s v="S700_4002"/>
    <s v="Norway Gifts By Mail, Co."/>
    <s v="+47 2212 1555"/>
    <s v="Drammensveien 126 A, PB 744 Sentrum"/>
    <m/>
    <s v="Oslo"/>
    <m/>
    <s v="N 0106"/>
    <s v="Norway"/>
    <s v="EMEA"/>
    <s v="Klaeboe"/>
    <s v="Jan"/>
    <s v="Small"/>
    <n v="2061.12"/>
  </r>
  <r>
    <n v="10296"/>
    <n v="47"/>
    <n v="86.62"/>
    <n v="5"/>
    <n v="4071.14"/>
    <d v="2004-09-15T00:00:00"/>
    <s v="Shipped"/>
    <n v="3"/>
    <x v="10"/>
    <n v="2004"/>
    <x v="4"/>
    <n v="74"/>
    <s v="S700_4002"/>
    <s v="Bavarian Collectables Imports, Co."/>
    <s v="+49 89 61 08 9555"/>
    <s v="Hansastr. 15"/>
    <m/>
    <s v="Munich"/>
    <m/>
    <n v="80686"/>
    <s v="Germany"/>
    <s v="EMEA"/>
    <s v="Donnermeyer"/>
    <s v="Michael"/>
    <s v="Medium"/>
    <n v="4071.1400000000003"/>
  </r>
  <r>
    <n v="10308"/>
    <n v="39"/>
    <n v="68.11"/>
    <n v="15"/>
    <n v="2656.29"/>
    <d v="2004-10-15T00:00:00"/>
    <s v="Shipped"/>
    <n v="4"/>
    <x v="4"/>
    <n v="2004"/>
    <x v="4"/>
    <n v="74"/>
    <s v="S700_4002"/>
    <s v="Mini Classics"/>
    <n v="9145554562"/>
    <s v="3758 North Pendale Street"/>
    <m/>
    <s v="White Plains"/>
    <s v="NY"/>
    <n v="24067"/>
    <s v="USA"/>
    <s v="NA"/>
    <s v="Frick"/>
    <s v="Steve"/>
    <s v="Small"/>
    <n v="2656.29"/>
  </r>
  <r>
    <n v="10316"/>
    <n v="44"/>
    <n v="62.19"/>
    <n v="7"/>
    <n v="2736.36"/>
    <d v="2004-11-01T00:00:00"/>
    <s v="Shipped"/>
    <n v="4"/>
    <x v="5"/>
    <n v="2004"/>
    <x v="4"/>
    <n v="74"/>
    <s v="S700_4002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2736.3599999999997"/>
  </r>
  <r>
    <n v="10328"/>
    <n v="39"/>
    <n v="85.87"/>
    <n v="12"/>
    <n v="3348.93"/>
    <d v="2004-11-12T00:00:00"/>
    <s v="Shipped"/>
    <n v="4"/>
    <x v="5"/>
    <n v="2004"/>
    <x v="4"/>
    <n v="74"/>
    <s v="S700_4002"/>
    <s v="Rovelli Gifts"/>
    <s v="035-640555"/>
    <s v="Via Ludovico il Moro 22"/>
    <m/>
    <s v="Bergamo"/>
    <m/>
    <n v="24100"/>
    <s v="Italy"/>
    <s v="EMEA"/>
    <s v="Rovelli"/>
    <s v="Giovanni"/>
    <s v="Medium"/>
    <n v="3348.9300000000003"/>
  </r>
  <r>
    <n v="10339"/>
    <n v="50"/>
    <n v="57.86"/>
    <n v="8"/>
    <n v="2893"/>
    <d v="2004-11-23T00:00:00"/>
    <s v="Shipped"/>
    <n v="4"/>
    <x v="5"/>
    <n v="2004"/>
    <x v="4"/>
    <n v="74"/>
    <s v="S700_4002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893"/>
  </r>
  <r>
    <n v="10352"/>
    <n v="22"/>
    <n v="75.510000000000005"/>
    <n v="1"/>
    <n v="1661.22"/>
    <d v="2004-12-03T00:00:00"/>
    <s v="Shipped"/>
    <n v="4"/>
    <x v="6"/>
    <n v="2004"/>
    <x v="4"/>
    <n v="74"/>
    <s v="S700_4002"/>
    <s v="Auto-Moto Classics Inc."/>
    <n v="6175558428"/>
    <s v="16780 Pompton St."/>
    <m/>
    <s v="Brickhaven"/>
    <s v="MA"/>
    <n v="58339"/>
    <s v="USA"/>
    <s v="NA"/>
    <s v="Taylor"/>
    <s v="Leslie"/>
    <s v="Small"/>
    <n v="1661.22"/>
  </r>
  <r>
    <n v="10361"/>
    <n v="35"/>
    <n v="100"/>
    <n v="11"/>
    <n v="4277.3500000000004"/>
    <d v="2004-12-17T00:00:00"/>
    <s v="Shipped"/>
    <n v="4"/>
    <x v="6"/>
    <n v="2004"/>
    <x v="4"/>
    <n v="74"/>
    <s v="S700_400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  <n v="3500"/>
  </r>
  <r>
    <n v="10373"/>
    <n v="45"/>
    <n v="55.62"/>
    <n v="17"/>
    <n v="2502.9"/>
    <d v="2005-01-31T00:00:00"/>
    <s v="Shipped"/>
    <n v="1"/>
    <x v="7"/>
    <n v="2005"/>
    <x v="4"/>
    <n v="74"/>
    <s v="S700_4002"/>
    <s v="Oulu Toy Supplies, Inc."/>
    <s v="981-443655"/>
    <s v="Torikatu 38"/>
    <m/>
    <s v="Oulu"/>
    <m/>
    <n v="90110"/>
    <s v="Finland"/>
    <s v="EMEA"/>
    <s v="Koskitalo"/>
    <s v="Pirkko"/>
    <s v="Small"/>
    <n v="2502.9"/>
  </r>
  <r>
    <n v="10386"/>
    <n v="44"/>
    <n v="86.4"/>
    <n v="15"/>
    <n v="3801.6"/>
    <d v="2005-03-01T00:00:00"/>
    <s v="Resolved"/>
    <n v="1"/>
    <x v="11"/>
    <n v="2005"/>
    <x v="4"/>
    <n v="74"/>
    <s v="S700_4002"/>
    <s v="Euro Shopping Channel"/>
    <s v="(91) 555 94 44"/>
    <s v="C/ Moralzarzal, 86"/>
    <m/>
    <s v="Madrid"/>
    <m/>
    <n v="28034"/>
    <s v="Spain"/>
    <s v="EMEA"/>
    <s v="Freyre"/>
    <s v="Diego"/>
    <s v="Medium"/>
    <n v="3801.6000000000004"/>
  </r>
  <r>
    <n v="10398"/>
    <n v="36"/>
    <n v="87.36"/>
    <n v="12"/>
    <n v="3144.96"/>
    <d v="2005-03-30T00:00:00"/>
    <s v="Shipped"/>
    <n v="1"/>
    <x v="11"/>
    <n v="2005"/>
    <x v="4"/>
    <n v="74"/>
    <s v="S700_4002"/>
    <s v="Reims Collectables"/>
    <s v="26.47.1555"/>
    <s v="59 rue de l'Abbaye"/>
    <m/>
    <s v="Reims"/>
    <m/>
    <n v="51100"/>
    <s v="France"/>
    <s v="EMEA"/>
    <s v="Henriot"/>
    <s v="Paul"/>
    <s v="Medium"/>
    <n v="3144.96"/>
  </r>
  <r>
    <n v="10401"/>
    <n v="28"/>
    <n v="72.55"/>
    <n v="11"/>
    <n v="2031.4"/>
    <d v="2005-04-03T00:00:00"/>
    <s v="On Hold"/>
    <n v="2"/>
    <x v="8"/>
    <n v="2005"/>
    <x v="4"/>
    <n v="74"/>
    <s v="S700_4002"/>
    <s v="Tekni Collectables Inc."/>
    <n v="2015559350"/>
    <s v="7476 Moss Rd."/>
    <m/>
    <s v="Newark"/>
    <s v="NJ"/>
    <n v="94019"/>
    <s v="USA"/>
    <s v="NA"/>
    <s v="Brown"/>
    <s v="William"/>
    <s v="Small"/>
    <n v="2031.3999999999999"/>
  </r>
  <r>
    <n v="10416"/>
    <n v="43"/>
    <n v="62.19"/>
    <n v="12"/>
    <n v="2674.17"/>
    <d v="2005-05-10T00:00:00"/>
    <s v="Shipped"/>
    <n v="2"/>
    <x v="1"/>
    <n v="2005"/>
    <x v="4"/>
    <n v="74"/>
    <s v="S700_4002"/>
    <s v="L'ordine Souveniers"/>
    <s v="0522-556555"/>
    <s v="Strada Provinciale 124"/>
    <m/>
    <s v="Reggio Emilia"/>
    <m/>
    <n v="42100"/>
    <s v="Italy"/>
    <s v="EMEA"/>
    <s v="Moroni"/>
    <s v="Maurizio"/>
    <s v="Small"/>
    <n v="2674.17"/>
  </r>
  <r>
    <n v="10106"/>
    <n v="48"/>
    <n v="52.64"/>
    <n v="15"/>
    <n v="2526.7199999999998"/>
    <d v="2003-02-17T00:00:00"/>
    <s v="Shipped"/>
    <n v="1"/>
    <x v="0"/>
    <n v="2003"/>
    <x v="4"/>
    <n v="49"/>
    <s v="S72_1253"/>
    <s v="Rovelli Gifts"/>
    <s v="035-640555"/>
    <s v="Via Ludovico il Moro 22"/>
    <m/>
    <s v="Bergamo"/>
    <m/>
    <n v="24100"/>
    <s v="Italy"/>
    <s v="EMEA"/>
    <s v="Rovelli"/>
    <s v="Giovanni"/>
    <s v="Small"/>
    <n v="2526.7200000000003"/>
  </r>
  <r>
    <n v="10119"/>
    <n v="28"/>
    <n v="48.17"/>
    <n v="6"/>
    <n v="1348.76"/>
    <d v="2003-04-28T00:00:00"/>
    <s v="Shipped"/>
    <n v="2"/>
    <x v="8"/>
    <n v="2003"/>
    <x v="4"/>
    <n v="49"/>
    <s v="S72_1253"/>
    <s v="Salzburg Collectables"/>
    <s v="6562-9555"/>
    <s v="Geislweg 14"/>
    <m/>
    <s v="Salzburg"/>
    <m/>
    <n v="5020"/>
    <s v="Austria"/>
    <s v="EMEA"/>
    <s v="Pipps"/>
    <s v="Georg"/>
    <s v="Small"/>
    <n v="1348.76"/>
  </r>
  <r>
    <n v="10131"/>
    <n v="21"/>
    <n v="41.71"/>
    <n v="7"/>
    <n v="875.91"/>
    <d v="2003-06-16T00:00:00"/>
    <s v="Shipped"/>
    <n v="2"/>
    <x v="9"/>
    <n v="2003"/>
    <x v="4"/>
    <n v="49"/>
    <s v="S72_1253"/>
    <s v="Gift Ideas Corp."/>
    <n v="2035554407"/>
    <s v="2440 Pompton St."/>
    <m/>
    <s v="Glendale"/>
    <s v="CT"/>
    <n v="97561"/>
    <s v="USA"/>
    <s v="NA"/>
    <s v="Lewis"/>
    <s v="Dan"/>
    <s v="Small"/>
    <n v="875.91"/>
  </r>
  <r>
    <n v="10143"/>
    <n v="37"/>
    <n v="50.65"/>
    <n v="10"/>
    <n v="1874.05"/>
    <d v="2003-08-10T00:00:00"/>
    <s v="Shipped"/>
    <n v="3"/>
    <x v="3"/>
    <n v="2003"/>
    <x v="4"/>
    <n v="49"/>
    <s v="S72_1253"/>
    <s v="Mini Creations Ltd."/>
    <n v="5085559555"/>
    <s v="4575 Hillside Dr."/>
    <m/>
    <s v="New Bedford"/>
    <s v="MA"/>
    <n v="50553"/>
    <s v="USA"/>
    <s v="NA"/>
    <s v="Tam"/>
    <s v="Wing C"/>
    <s v="Small"/>
    <n v="1874.05"/>
  </r>
  <r>
    <n v="10155"/>
    <n v="34"/>
    <n v="49.16"/>
    <n v="8"/>
    <n v="1671.44"/>
    <d v="2003-10-06T00:00:00"/>
    <s v="Shipped"/>
    <n v="4"/>
    <x v="4"/>
    <n v="2003"/>
    <x v="4"/>
    <n v="49"/>
    <s v="S72_1253"/>
    <s v="Toys of Finland, Co."/>
    <s v="90-224 8555"/>
    <s v="Keskuskatu 45"/>
    <m/>
    <s v="Helsinki"/>
    <m/>
    <n v="21240"/>
    <s v="Finland"/>
    <s v="EMEA"/>
    <s v="Karttunen"/>
    <s v="Matti"/>
    <s v="Small"/>
    <n v="1671.4399999999998"/>
  </r>
  <r>
    <n v="10167"/>
    <n v="40"/>
    <n v="41.71"/>
    <n v="4"/>
    <n v="1668.4"/>
    <d v="2003-10-23T00:00:00"/>
    <s v="Cancelled"/>
    <n v="4"/>
    <x v="4"/>
    <n v="2003"/>
    <x v="4"/>
    <n v="49"/>
    <s v="S72_1253"/>
    <s v="Scandinavian Gift Ideas"/>
    <s v="0695-34 6555"/>
    <s v="?kergatan 24"/>
    <m/>
    <s v="Boras"/>
    <m/>
    <s v="S-844 67"/>
    <s v="Sweden"/>
    <s v="EMEA"/>
    <s v="Larsson"/>
    <s v="Maria"/>
    <s v="Small"/>
    <n v="1668.4"/>
  </r>
  <r>
    <n v="10178"/>
    <n v="45"/>
    <n v="51.15"/>
    <n v="7"/>
    <n v="2301.75"/>
    <d v="2003-11-08T00:00:00"/>
    <s v="Shipped"/>
    <n v="4"/>
    <x v="5"/>
    <n v="2003"/>
    <x v="4"/>
    <n v="49"/>
    <s v="S72_1253"/>
    <s v="Alpha Cognac"/>
    <s v="61.77.6555"/>
    <s v="1 rue Alsace-Lorraine"/>
    <m/>
    <s v="Toulouse"/>
    <m/>
    <n v="31000"/>
    <s v="France"/>
    <s v="EMEA"/>
    <s v="Roulet"/>
    <s v="Annette"/>
    <s v="Small"/>
    <n v="2301.75"/>
  </r>
  <r>
    <n v="10186"/>
    <n v="28"/>
    <n v="52.14"/>
    <n v="4"/>
    <n v="1459.92"/>
    <d v="2003-11-14T00:00:00"/>
    <s v="Shipped"/>
    <n v="4"/>
    <x v="5"/>
    <n v="2003"/>
    <x v="4"/>
    <n v="49"/>
    <s v="S72_1253"/>
    <s v="Double Decker Gift Stores, Ltd"/>
    <s v="(171) 555-7555"/>
    <s v="120 Hanover Sq."/>
    <m/>
    <s v="London"/>
    <m/>
    <s v="WA1 1DP"/>
    <s v="UK"/>
    <s v="EMEA"/>
    <s v="Hardy"/>
    <s v="Thomas"/>
    <s v="Small"/>
    <n v="1459.92"/>
  </r>
  <r>
    <n v="10197"/>
    <n v="29"/>
    <n v="41.71"/>
    <n v="1"/>
    <n v="1209.5899999999999"/>
    <d v="2003-11-26T00:00:00"/>
    <s v="Shipped"/>
    <n v="4"/>
    <x v="5"/>
    <n v="2003"/>
    <x v="4"/>
    <n v="49"/>
    <s v="S72_1253"/>
    <s v="Enaco Distributors"/>
    <s v="(93) 203 4555"/>
    <s v="Rambla de Catalu¤a, 23"/>
    <m/>
    <s v="Barcelona"/>
    <m/>
    <n v="8022"/>
    <s v="Spain"/>
    <s v="EMEA"/>
    <s v="Saavedra"/>
    <s v="Eduardo"/>
    <s v="Small"/>
    <n v="1209.5899999999999"/>
  </r>
  <r>
    <n v="10209"/>
    <n v="48"/>
    <n v="44.69"/>
    <n v="3"/>
    <n v="2145.12"/>
    <d v="2004-01-09T00:00:00"/>
    <s v="Shipped"/>
    <n v="1"/>
    <x v="7"/>
    <n v="2004"/>
    <x v="4"/>
    <n v="49"/>
    <s v="S72_1253"/>
    <s v="Men 'R' US Retailers, Ltd."/>
    <n v="2155554369"/>
    <s v="6047 Douglas Av."/>
    <m/>
    <s v="Los Angeles"/>
    <s v="CA"/>
    <m/>
    <s v="USA"/>
    <s v="NA"/>
    <s v="Chandler"/>
    <s v="Michael"/>
    <s v="Small"/>
    <n v="2145.12"/>
  </r>
  <r>
    <n v="10222"/>
    <n v="31"/>
    <n v="45.69"/>
    <n v="7"/>
    <n v="1416.39"/>
    <d v="2004-02-19T00:00:00"/>
    <s v="Shipped"/>
    <n v="1"/>
    <x v="0"/>
    <n v="2004"/>
    <x v="4"/>
    <n v="49"/>
    <s v="S72_1253"/>
    <s v="Collectable Mini Designs Co."/>
    <n v="7605558146"/>
    <s v="361 Furth Circle"/>
    <m/>
    <s v="San Diego"/>
    <s v="CA"/>
    <n v="91217"/>
    <s v="USA"/>
    <s v="NA"/>
    <s v="Thompson"/>
    <s v="Valarie"/>
    <s v="Small"/>
    <n v="1416.3899999999999"/>
  </r>
  <r>
    <n v="10249"/>
    <n v="32"/>
    <n v="57.61"/>
    <n v="3"/>
    <n v="1843.52"/>
    <d v="2004-05-08T00:00:00"/>
    <s v="Shipped"/>
    <n v="2"/>
    <x v="1"/>
    <n v="2004"/>
    <x v="4"/>
    <n v="49"/>
    <s v="S72_1253"/>
    <s v="Cambridge Collectables Co."/>
    <n v="6175555555"/>
    <s v="4658 Baden Av."/>
    <m/>
    <s v="Cambridge"/>
    <s v="MA"/>
    <n v="51247"/>
    <s v="USA"/>
    <s v="NA"/>
    <s v="Tseng"/>
    <s v="Kyung"/>
    <s v="Small"/>
    <n v="1843.52"/>
  </r>
  <r>
    <n v="10262"/>
    <n v="21"/>
    <n v="57.11"/>
    <n v="12"/>
    <n v="1199.31"/>
    <d v="2004-06-24T00:00:00"/>
    <s v="Cancelled"/>
    <n v="2"/>
    <x v="9"/>
    <n v="2004"/>
    <x v="4"/>
    <n v="49"/>
    <s v="S72_1253"/>
    <s v="Euro Shopping Channel"/>
    <s v="(91) 555 94 44"/>
    <s v="C/ Moralzarzal, 86"/>
    <m/>
    <s v="Madrid"/>
    <m/>
    <n v="28034"/>
    <s v="Spain"/>
    <s v="EMEA"/>
    <s v="Freyre"/>
    <s v="Diego"/>
    <s v="Small"/>
    <n v="1199.31"/>
  </r>
  <r>
    <n v="10274"/>
    <n v="32"/>
    <n v="58.6"/>
    <n v="4"/>
    <n v="1875.2"/>
    <d v="2004-07-21T00:00:00"/>
    <s v="Shipped"/>
    <n v="3"/>
    <x v="2"/>
    <n v="2004"/>
    <x v="4"/>
    <n v="49"/>
    <s v="S72_1253"/>
    <s v="Collectables For Less Inc."/>
    <n v="6175558555"/>
    <s v="7825 Douglas Av."/>
    <m/>
    <s v="Brickhaven"/>
    <s v="MA"/>
    <n v="58339"/>
    <s v="USA"/>
    <s v="NA"/>
    <s v="Nelson"/>
    <s v="Allen"/>
    <s v="Small"/>
    <n v="1875.2"/>
  </r>
  <r>
    <n v="10283"/>
    <n v="43"/>
    <n v="57.61"/>
    <n v="1"/>
    <n v="2477.23"/>
    <d v="2004-08-20T00:00:00"/>
    <s v="Shipped"/>
    <n v="3"/>
    <x v="3"/>
    <n v="2004"/>
    <x v="4"/>
    <n v="49"/>
    <s v="S72_1253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2477.23"/>
  </r>
  <r>
    <n v="10296"/>
    <n v="21"/>
    <n v="45.19"/>
    <n v="10"/>
    <n v="948.99"/>
    <d v="2004-09-15T00:00:00"/>
    <s v="Shipped"/>
    <n v="3"/>
    <x v="10"/>
    <n v="2004"/>
    <x v="4"/>
    <n v="49"/>
    <s v="S72_1253"/>
    <s v="Bavarian Collectables Imports, Co."/>
    <s v="+49 89 61 08 9555"/>
    <s v="Hansastr. 15"/>
    <m/>
    <s v="Munich"/>
    <m/>
    <n v="80686"/>
    <s v="Germany"/>
    <s v="EMEA"/>
    <s v="Donnermeyer"/>
    <s v="Michael"/>
    <s v="Small"/>
    <n v="948.99"/>
  </r>
  <r>
    <n v="10307"/>
    <n v="34"/>
    <n v="53.63"/>
    <n v="4"/>
    <n v="1823.42"/>
    <d v="2004-10-14T00:00:00"/>
    <s v="Shipped"/>
    <n v="4"/>
    <x v="4"/>
    <n v="2004"/>
    <x v="4"/>
    <n v="49"/>
    <s v="S72_1253"/>
    <s v="Classic Gift Ideas, Inc"/>
    <n v="2155554695"/>
    <s v="782 First Street"/>
    <m/>
    <s v="Philadelphia"/>
    <s v="PA"/>
    <n v="71270"/>
    <s v="USA"/>
    <s v="NA"/>
    <s v="Cervantes"/>
    <s v="Francisca"/>
    <s v="Small"/>
    <n v="1823.42"/>
  </r>
  <r>
    <n v="10316"/>
    <n v="34"/>
    <n v="43.7"/>
    <n v="12"/>
    <n v="1485.8"/>
    <d v="2004-11-01T00:00:00"/>
    <s v="Shipped"/>
    <n v="4"/>
    <x v="5"/>
    <n v="2004"/>
    <x v="4"/>
    <n v="49"/>
    <s v="S72_1253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1485.8000000000002"/>
  </r>
  <r>
    <n v="10329"/>
    <n v="44"/>
    <n v="86.13"/>
    <n v="8"/>
    <n v="3789.72"/>
    <d v="2004-11-15T00:00:00"/>
    <s v="Shipped"/>
    <n v="4"/>
    <x v="5"/>
    <n v="2004"/>
    <x v="4"/>
    <n v="49"/>
    <s v="S72_1253"/>
    <s v="Land of Toys Inc."/>
    <n v="2125557818"/>
    <s v="897 Long Airport Avenue"/>
    <m/>
    <s v="NYC"/>
    <s v="NY"/>
    <n v="10022"/>
    <s v="USA"/>
    <s v="NA"/>
    <s v="Yu"/>
    <s v="Kwai"/>
    <s v="Medium"/>
    <n v="3789.72"/>
  </r>
  <r>
    <n v="10339"/>
    <n v="27"/>
    <n v="76.31"/>
    <n v="6"/>
    <n v="2060.37"/>
    <d v="2004-11-23T00:00:00"/>
    <s v="Shipped"/>
    <n v="4"/>
    <x v="5"/>
    <n v="2004"/>
    <x v="4"/>
    <n v="49"/>
    <s v="S72_1253"/>
    <s v="Tokyo Collectables, Ltd"/>
    <s v="+81 3 3584 0555"/>
    <s v="2-2-8 Roppongi"/>
    <m/>
    <s v="Minato-ku"/>
    <s v="Tokyo"/>
    <s v="106-0032"/>
    <s v="Japan"/>
    <s v="Japan"/>
    <s v="Shimamura"/>
    <s v="Akiko"/>
    <s v="Small"/>
    <n v="2060.37"/>
  </r>
  <r>
    <n v="10352"/>
    <n v="49"/>
    <n v="52.64"/>
    <n v="4"/>
    <n v="2579.36"/>
    <d v="2004-12-03T00:00:00"/>
    <s v="Shipped"/>
    <n v="4"/>
    <x v="6"/>
    <n v="2004"/>
    <x v="4"/>
    <n v="49"/>
    <s v="S72_1253"/>
    <s v="Auto-Moto Classics Inc."/>
    <n v="6175558428"/>
    <s v="16780 Pompton St."/>
    <m/>
    <s v="Brickhaven"/>
    <s v="MA"/>
    <n v="58339"/>
    <s v="USA"/>
    <s v="NA"/>
    <s v="Taylor"/>
    <s v="Leslie"/>
    <s v="Small"/>
    <n v="2579.36"/>
  </r>
  <r>
    <n v="10361"/>
    <n v="23"/>
    <n v="95.2"/>
    <n v="12"/>
    <n v="2189.6"/>
    <d v="2004-12-17T00:00:00"/>
    <s v="Shipped"/>
    <n v="4"/>
    <x v="6"/>
    <n v="2004"/>
    <x v="4"/>
    <n v="49"/>
    <s v="S72_1253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  <n v="2189.6"/>
  </r>
  <r>
    <n v="10373"/>
    <n v="25"/>
    <n v="64.97"/>
    <n v="9"/>
    <n v="1624.25"/>
    <d v="2005-01-31T00:00:00"/>
    <s v="Shipped"/>
    <n v="1"/>
    <x v="7"/>
    <n v="2005"/>
    <x v="4"/>
    <n v="49"/>
    <s v="S72_1253"/>
    <s v="Oulu Toy Supplies, Inc."/>
    <s v="981-443655"/>
    <s v="Torikatu 38"/>
    <m/>
    <s v="Oulu"/>
    <m/>
    <n v="90110"/>
    <s v="Finland"/>
    <s v="EMEA"/>
    <s v="Koskitalo"/>
    <s v="Pirkko"/>
    <s v="Small"/>
    <n v="1624.25"/>
  </r>
  <r>
    <n v="10386"/>
    <n v="50"/>
    <n v="87.15"/>
    <n v="16"/>
    <n v="4357.5"/>
    <d v="2005-03-01T00:00:00"/>
    <s v="Resolved"/>
    <n v="1"/>
    <x v="11"/>
    <n v="2005"/>
    <x v="4"/>
    <n v="49"/>
    <s v="S72_1253"/>
    <s v="Euro Shopping Channel"/>
    <s v="(91) 555 94 44"/>
    <s v="C/ Moralzarzal, 86"/>
    <m/>
    <s v="Madrid"/>
    <m/>
    <n v="28034"/>
    <s v="Spain"/>
    <s v="EMEA"/>
    <s v="Freyre"/>
    <s v="Diego"/>
    <s v="Medium"/>
    <n v="4357.5"/>
  </r>
  <r>
    <n v="10398"/>
    <n v="34"/>
    <n v="40.22"/>
    <n v="1"/>
    <n v="1367.48"/>
    <d v="2005-03-30T00:00:00"/>
    <s v="Shipped"/>
    <n v="1"/>
    <x v="11"/>
    <n v="2005"/>
    <x v="4"/>
    <n v="49"/>
    <s v="S72_1253"/>
    <s v="Reims Collectables"/>
    <s v="26.47.1555"/>
    <s v="59 rue de l'Abbaye"/>
    <m/>
    <s v="Reims"/>
    <m/>
    <n v="51100"/>
    <s v="France"/>
    <s v="EMEA"/>
    <s v="Henriot"/>
    <s v="Paul"/>
    <s v="Small"/>
    <n v="1367.48"/>
  </r>
  <r>
    <n v="10400"/>
    <n v="20"/>
    <n v="56.12"/>
    <n v="4"/>
    <n v="1122.4000000000001"/>
    <d v="2005-04-01T00:00:00"/>
    <s v="Shipped"/>
    <n v="2"/>
    <x v="8"/>
    <n v="2005"/>
    <x v="4"/>
    <n v="49"/>
    <s v="S72_1253"/>
    <s v="The Sharp Gifts Warehouse"/>
    <n v="4085553659"/>
    <s v="3086 Ingle Ln."/>
    <m/>
    <s v="San Jose"/>
    <s v="CA"/>
    <n v="94217"/>
    <s v="USA"/>
    <s v="NA"/>
    <s v="Frick"/>
    <s v="Sue"/>
    <s v="Small"/>
    <n v="1122.3999999999999"/>
  </r>
  <r>
    <n v="10415"/>
    <n v="42"/>
    <n v="57.61"/>
    <n v="3"/>
    <n v="2419.62"/>
    <d v="2005-05-09T00:00:00"/>
    <s v="Disputed"/>
    <n v="2"/>
    <x v="1"/>
    <n v="2005"/>
    <x v="4"/>
    <n v="49"/>
    <s v="S72_1253"/>
    <s v="Australian Collectables, Ltd"/>
    <s v="61-9-3844-6555"/>
    <s v="7 Allen Street"/>
    <m/>
    <s v="Glen Waverly"/>
    <s v="Victoria"/>
    <n v="3150"/>
    <s v="Australia"/>
    <s v="APAC"/>
    <s v="Connery"/>
    <s v="Sean"/>
    <s v="Small"/>
    <n v="2419.62"/>
  </r>
  <r>
    <n v="10105"/>
    <n v="25"/>
    <n v="56.78"/>
    <n v="8"/>
    <n v="1419.5"/>
    <d v="2003-02-11T00:00:00"/>
    <s v="Shipped"/>
    <n v="1"/>
    <x v="0"/>
    <n v="2003"/>
    <x v="5"/>
    <n v="54"/>
    <s v="S72_3212"/>
    <s v="Danish Wholesale Imports"/>
    <s v="31 12 3555"/>
    <s v="Vinb'ltet 34"/>
    <m/>
    <s v="Kobenhavn"/>
    <m/>
    <n v="1734"/>
    <s v="Denmark"/>
    <s v="EMEA"/>
    <s v="Petersen"/>
    <s v="Jytte"/>
    <s v="Small"/>
    <n v="1419.5"/>
  </r>
  <r>
    <n v="10117"/>
    <n v="50"/>
    <n v="43.68"/>
    <n v="2"/>
    <n v="2184"/>
    <d v="2003-04-16T00:00:00"/>
    <s v="Shipped"/>
    <n v="2"/>
    <x v="8"/>
    <n v="2003"/>
    <x v="5"/>
    <n v="54"/>
    <s v="S72_321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  <n v="2184"/>
  </r>
  <r>
    <n v="10129"/>
    <n v="32"/>
    <n v="64.97"/>
    <n v="8"/>
    <n v="2079.04"/>
    <d v="2003-06-12T00:00:00"/>
    <s v="Shipped"/>
    <n v="2"/>
    <x v="9"/>
    <n v="2003"/>
    <x v="5"/>
    <n v="54"/>
    <s v="S72_3212"/>
    <s v="Stylish Desk Decors, Co."/>
    <s v="(171) 555-0297"/>
    <s v="35 King George"/>
    <m/>
    <s v="London"/>
    <m/>
    <s v="WX3 6FW"/>
    <s v="UK"/>
    <s v="EMEA"/>
    <s v="Brown"/>
    <s v="Ann"/>
    <s v="Small"/>
    <n v="2079.04"/>
  </r>
  <r>
    <n v="10142"/>
    <n v="39"/>
    <n v="44.23"/>
    <n v="5"/>
    <n v="1724.97"/>
    <d v="2003-08-08T00:00:00"/>
    <s v="Shipped"/>
    <n v="3"/>
    <x v="3"/>
    <n v="2003"/>
    <x v="5"/>
    <n v="54"/>
    <s v="S72_3212"/>
    <s v="Mini Gifts Distributors Ltd."/>
    <n v="4155551450"/>
    <s v="5677 Strong St."/>
    <m/>
    <s v="San Rafael"/>
    <s v="CA"/>
    <n v="97562"/>
    <s v="USA"/>
    <s v="NA"/>
    <s v="Nelson"/>
    <s v="Valarie"/>
    <s v="Small"/>
    <n v="1724.9699999999998"/>
  </r>
  <r>
    <n v="10153"/>
    <n v="50"/>
    <n v="60.06"/>
    <n v="4"/>
    <n v="3003"/>
    <d v="2003-09-28T00:00:00"/>
    <s v="Shipped"/>
    <n v="3"/>
    <x v="10"/>
    <n v="2003"/>
    <x v="5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Medium"/>
    <n v="3003"/>
  </r>
  <r>
    <n v="10167"/>
    <n v="38"/>
    <n v="48.59"/>
    <n v="15"/>
    <n v="1846.42"/>
    <d v="2003-10-23T00:00:00"/>
    <s v="Cancelled"/>
    <n v="4"/>
    <x v="4"/>
    <n v="2003"/>
    <x v="5"/>
    <n v="54"/>
    <s v="S72_3212"/>
    <s v="Scandinavian Gift Ideas"/>
    <s v="0695-34 6555"/>
    <s v="?kergatan 24"/>
    <m/>
    <s v="Boras"/>
    <m/>
    <s v="S-844 67"/>
    <s v="Sweden"/>
    <s v="EMEA"/>
    <s v="Larsson"/>
    <s v="Maria"/>
    <s v="Small"/>
    <n v="1846.42"/>
  </r>
  <r>
    <n v="10177"/>
    <n v="40"/>
    <n v="50.23"/>
    <n v="6"/>
    <n v="2009.2"/>
    <d v="2003-11-07T00:00:00"/>
    <s v="Shipped"/>
    <n v="4"/>
    <x v="5"/>
    <n v="2003"/>
    <x v="5"/>
    <n v="54"/>
    <s v="S72_3212"/>
    <s v="CAF Imports"/>
    <s v="+34 913 728 555"/>
    <s v="Merchants House, 27-30 Merchant's Quay"/>
    <m/>
    <s v="Madrid"/>
    <m/>
    <n v="28023"/>
    <s v="Spain"/>
    <s v="EMEA"/>
    <s v="Fernandez"/>
    <s v="Jesus"/>
    <s v="Small"/>
    <n v="2009.1999999999998"/>
  </r>
  <r>
    <n v="10185"/>
    <n v="28"/>
    <n v="64.430000000000007"/>
    <n v="6"/>
    <n v="1804.04"/>
    <d v="2003-11-14T00:00:00"/>
    <s v="Shipped"/>
    <n v="4"/>
    <x v="5"/>
    <n v="2003"/>
    <x v="5"/>
    <n v="54"/>
    <s v="S72_3212"/>
    <s v="Mini Creations Ltd."/>
    <n v="5085559555"/>
    <s v="4575 Hillside Dr."/>
    <m/>
    <s v="New Bedford"/>
    <s v="MA"/>
    <n v="50553"/>
    <s v="USA"/>
    <s v="NA"/>
    <s v="Tam"/>
    <s v="Wing C"/>
    <s v="Small"/>
    <n v="1804.0400000000002"/>
  </r>
  <r>
    <n v="10197"/>
    <n v="42"/>
    <n v="50.23"/>
    <n v="12"/>
    <n v="2109.66"/>
    <d v="2003-11-26T00:00:00"/>
    <s v="Shipped"/>
    <n v="4"/>
    <x v="5"/>
    <n v="2003"/>
    <x v="5"/>
    <n v="54"/>
    <s v="S72_3212"/>
    <s v="Enaco Distributors"/>
    <s v="(93) 203 4555"/>
    <s v="Rambla de Catalu¤a, 23"/>
    <m/>
    <s v="Barcelona"/>
    <m/>
    <n v="8022"/>
    <s v="Spain"/>
    <s v="EMEA"/>
    <s v="Saavedra"/>
    <s v="Eduardo"/>
    <s v="Small"/>
    <n v="2109.66"/>
  </r>
  <r>
    <n v="10208"/>
    <n v="42"/>
    <n v="63.88"/>
    <n v="6"/>
    <n v="2682.96"/>
    <d v="2004-01-02T00:00:00"/>
    <s v="Shipped"/>
    <n v="1"/>
    <x v="7"/>
    <n v="2004"/>
    <x v="5"/>
    <n v="54"/>
    <s v="S72_3212"/>
    <s v="Saveley &amp; Henriot, Co."/>
    <s v="78.32.5555"/>
    <s v="2, rue du Commerce"/>
    <m/>
    <s v="Lyon"/>
    <m/>
    <n v="69004"/>
    <s v="France"/>
    <s v="EMEA"/>
    <s v="Saveley"/>
    <s v="Mary"/>
    <s v="Small"/>
    <n v="2682.96"/>
  </r>
  <r>
    <n v="10222"/>
    <n v="36"/>
    <n v="63.34"/>
    <n v="18"/>
    <n v="2280.2399999999998"/>
    <d v="2004-02-19T00:00:00"/>
    <s v="Shipped"/>
    <n v="1"/>
    <x v="0"/>
    <n v="2004"/>
    <x v="5"/>
    <n v="54"/>
    <s v="S72_3212"/>
    <s v="Collectable Mini Designs Co."/>
    <n v="7605558146"/>
    <s v="361 Furth Circle"/>
    <m/>
    <s v="San Diego"/>
    <s v="CA"/>
    <n v="91217"/>
    <s v="USA"/>
    <s v="NA"/>
    <s v="Thompson"/>
    <s v="Valarie"/>
    <s v="Small"/>
    <n v="2280.2400000000002"/>
  </r>
  <r>
    <n v="10232"/>
    <n v="24"/>
    <n v="49.69"/>
    <n v="3"/>
    <n v="1192.56"/>
    <d v="2004-03-20T00:00:00"/>
    <s v="Shipped"/>
    <n v="1"/>
    <x v="11"/>
    <n v="2004"/>
    <x v="5"/>
    <n v="54"/>
    <s v="S72_3212"/>
    <s v="giftsbymail.co.uk"/>
    <s v="(198) 555-8888"/>
    <s v="Garden House Crowther Way"/>
    <m/>
    <s v="Cowes"/>
    <s v="Isle of Wight"/>
    <s v="PO31 7PJ"/>
    <s v="UK"/>
    <s v="EMEA"/>
    <s v="Bennett"/>
    <s v="Helen"/>
    <s v="Small"/>
    <n v="1192.56"/>
  </r>
  <r>
    <n v="10248"/>
    <n v="23"/>
    <n v="65.52"/>
    <n v="9"/>
    <n v="1506.96"/>
    <d v="2004-05-07T00:00:00"/>
    <s v="Cancelled"/>
    <n v="2"/>
    <x v="1"/>
    <n v="2004"/>
    <x v="5"/>
    <n v="54"/>
    <s v="S72_3212"/>
    <s v="Land of Toys Inc."/>
    <n v="2125557818"/>
    <s v="897 Long Airport Avenue"/>
    <m/>
    <s v="NYC"/>
    <s v="NY"/>
    <n v="10022"/>
    <s v="USA"/>
    <s v="NA"/>
    <s v="Yu"/>
    <s v="Kwai"/>
    <s v="Small"/>
    <n v="1506.9599999999998"/>
  </r>
  <r>
    <n v="10261"/>
    <n v="29"/>
    <n v="50.78"/>
    <n v="7"/>
    <n v="1472.62"/>
    <d v="2004-06-17T00:00:00"/>
    <s v="Shipped"/>
    <n v="2"/>
    <x v="9"/>
    <n v="2004"/>
    <x v="5"/>
    <n v="54"/>
    <s v="S72_3212"/>
    <s v="Quebec Home Shopping Network"/>
    <s v="(514) 555-8054"/>
    <s v="43 rue St. Laurent"/>
    <m/>
    <s v="Montreal"/>
    <s v="Quebec"/>
    <s v="H1J 1C3"/>
    <s v="Canada"/>
    <s v="NA"/>
    <s v="Fresnisre"/>
    <s v="Jean"/>
    <s v="Small"/>
    <n v="1472.6200000000001"/>
  </r>
  <r>
    <n v="10273"/>
    <n v="37"/>
    <n v="45.86"/>
    <n v="10"/>
    <n v="1696.82"/>
    <d v="2004-07-21T00:00:00"/>
    <s v="Shipped"/>
    <n v="3"/>
    <x v="2"/>
    <n v="2004"/>
    <x v="5"/>
    <n v="54"/>
    <s v="S72_3212"/>
    <s v="Petit Auto"/>
    <s v="(02) 5554 67"/>
    <s v="Rue Joseph-Bens 532"/>
    <m/>
    <s v="Bruxelles"/>
    <m/>
    <s v="B-1180"/>
    <s v="Belgium"/>
    <s v="EMEA"/>
    <s v="Dewey"/>
    <s v="Catherine"/>
    <s v="Small"/>
    <n v="1696.82"/>
  </r>
  <r>
    <n v="10283"/>
    <n v="33"/>
    <n v="51.32"/>
    <n v="12"/>
    <n v="1693.56"/>
    <d v="2004-08-20T00:00:00"/>
    <s v="Shipped"/>
    <n v="3"/>
    <x v="3"/>
    <n v="2004"/>
    <x v="5"/>
    <n v="54"/>
    <s v="S72_3212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  <n v="1693.56"/>
  </r>
  <r>
    <n v="10293"/>
    <n v="32"/>
    <n v="60.06"/>
    <n v="1"/>
    <n v="1921.92"/>
    <d v="2004-09-09T00:00:00"/>
    <s v="Shipped"/>
    <n v="3"/>
    <x v="10"/>
    <n v="2004"/>
    <x v="5"/>
    <n v="54"/>
    <s v="S72_3212"/>
    <s v="Amica Models &amp; Co."/>
    <s v="011-4988555"/>
    <s v="Via Monte Bianco 34"/>
    <m/>
    <s v="Torino"/>
    <m/>
    <n v="10100"/>
    <s v="Italy"/>
    <s v="EMEA"/>
    <s v="Accorti"/>
    <s v="Paolo"/>
    <s v="Small"/>
    <n v="1921.92"/>
  </r>
  <r>
    <n v="10306"/>
    <n v="35"/>
    <n v="59.51"/>
    <n v="6"/>
    <n v="2082.85"/>
    <d v="2004-10-14T00:00:00"/>
    <s v="Shipped"/>
    <n v="4"/>
    <x v="4"/>
    <n v="2004"/>
    <x v="5"/>
    <n v="54"/>
    <s v="S72_3212"/>
    <s v="AV Stores, Co."/>
    <s v="(171) 555-1555"/>
    <s v="Fauntleroy Circus"/>
    <m/>
    <s v="Manchester"/>
    <m/>
    <s v="EC2 5NT"/>
    <s v="UK"/>
    <s v="EMEA"/>
    <s v="Ashworth"/>
    <s v="Victoria"/>
    <s v="Small"/>
    <n v="2082.85"/>
  </r>
  <r>
    <n v="10315"/>
    <n v="40"/>
    <n v="55.69"/>
    <n v="5"/>
    <n v="2227.6"/>
    <d v="2004-10-29T00:00:00"/>
    <s v="Shipped"/>
    <n v="4"/>
    <x v="4"/>
    <n v="2004"/>
    <x v="5"/>
    <n v="54"/>
    <s v="S72_3212"/>
    <s v="La Rochelle Gifts"/>
    <s v="40.67.8555"/>
    <s v="67, rue des Cinquante Otages"/>
    <m/>
    <s v="Nantes"/>
    <m/>
    <n v="44000"/>
    <s v="France"/>
    <s v="EMEA"/>
    <s v="Labrune"/>
    <s v="Janine"/>
    <s v="Small"/>
    <n v="2227.6"/>
  </r>
  <r>
    <n v="10327"/>
    <n v="37"/>
    <n v="86.74"/>
    <n v="4"/>
    <n v="3209.38"/>
    <d v="2004-11-10T00:00:00"/>
    <s v="Resolved"/>
    <n v="4"/>
    <x v="5"/>
    <n v="2004"/>
    <x v="5"/>
    <n v="54"/>
    <s v="S72_3212"/>
    <s v="Danish Wholesale Imports"/>
    <s v="31 12 3555"/>
    <s v="Vinb'ltet 34"/>
    <m/>
    <s v="Kobenhavn"/>
    <m/>
    <n v="1734"/>
    <s v="Denmark"/>
    <s v="EMEA"/>
    <s v="Petersen"/>
    <s v="Jytte"/>
    <s v="Medium"/>
    <n v="3209.3799999999997"/>
  </r>
  <r>
    <n v="10337"/>
    <n v="42"/>
    <n v="97.16"/>
    <n v="5"/>
    <n v="4080.72"/>
    <d v="2004-11-21T00:00:00"/>
    <s v="Shipped"/>
    <n v="4"/>
    <x v="5"/>
    <n v="2004"/>
    <x v="5"/>
    <n v="54"/>
    <s v="S72_3212"/>
    <s v="Classic Legends Inc."/>
    <n v="2125558493"/>
    <s v="5905 Pompton St."/>
    <s v="Suite 750"/>
    <s v="NYC"/>
    <s v="NY"/>
    <n v="10022"/>
    <s v="USA"/>
    <s v="NA"/>
    <s v="Hernandez"/>
    <s v="Maria"/>
    <s v="Medium"/>
    <n v="4080.72"/>
  </r>
  <r>
    <n v="10350"/>
    <n v="20"/>
    <n v="100"/>
    <n v="15"/>
    <n v="2244.4"/>
    <d v="2004-12-02T00:00:00"/>
    <s v="Shipped"/>
    <n v="4"/>
    <x v="6"/>
    <n v="2004"/>
    <x v="5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Small"/>
    <n v="2000"/>
  </r>
  <r>
    <n v="10373"/>
    <n v="29"/>
    <n v="100"/>
    <n v="1"/>
    <n v="3978.51"/>
    <d v="2005-01-31T00:00:00"/>
    <s v="Shipped"/>
    <n v="1"/>
    <x v="7"/>
    <n v="2005"/>
    <x v="5"/>
    <n v="54"/>
    <s v="S72_3212"/>
    <s v="Oulu Toy Supplies, Inc."/>
    <s v="981-443655"/>
    <s v="Torikatu 38"/>
    <m/>
    <s v="Oulu"/>
    <m/>
    <n v="90110"/>
    <s v="Finland"/>
    <s v="EMEA"/>
    <s v="Koskitalo"/>
    <s v="Pirkko"/>
    <s v="Medium"/>
    <n v="2900"/>
  </r>
  <r>
    <n v="10386"/>
    <n v="43"/>
    <n v="100"/>
    <n v="4"/>
    <n v="5417.57"/>
    <d v="2005-03-01T00:00:00"/>
    <s v="Resolved"/>
    <n v="1"/>
    <x v="11"/>
    <n v="2005"/>
    <x v="5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Medium"/>
    <n v="4300"/>
  </r>
  <r>
    <n v="10397"/>
    <n v="34"/>
    <n v="62.24"/>
    <n v="1"/>
    <n v="2116.16"/>
    <d v="2005-03-28T00:00:00"/>
    <s v="Shipped"/>
    <n v="1"/>
    <x v="11"/>
    <n v="2005"/>
    <x v="5"/>
    <n v="54"/>
    <s v="S72_3212"/>
    <s v="Alpha Cognac"/>
    <s v="61.77.6555"/>
    <s v="1 rue Alsace-Lorraine"/>
    <m/>
    <s v="Toulouse"/>
    <m/>
    <n v="31000"/>
    <s v="France"/>
    <s v="EMEA"/>
    <s v="Roulet"/>
    <s v="Annette"/>
    <s v="Small"/>
    <n v="2116.16"/>
  </r>
  <r>
    <n v="10414"/>
    <n v="47"/>
    <n v="65.52"/>
    <n v="9"/>
    <n v="3079.44"/>
    <d v="2005-05-06T00:00:00"/>
    <s v="On Hold"/>
    <n v="2"/>
    <x v="1"/>
    <n v="2005"/>
    <x v="5"/>
    <n v="54"/>
    <s v="S72_3212"/>
    <s v="Gifts4AllAges.com"/>
    <n v="6175559555"/>
    <s v="8616 Spinnaker Dr."/>
    <m/>
    <s v="Boston"/>
    <s v="MA"/>
    <n v="51003"/>
    <s v="USA"/>
    <s v="NA"/>
    <s v="Yoshido"/>
    <s v="Juri"/>
    <s v="Medium"/>
    <n v="3079.43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0A82E-CB08-4333-A222-F30B678970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2:B35" firstHeaderRow="1" firstDataRow="1" firstDataCol="1"/>
  <pivotFields count="26">
    <pivotField showAll="0"/>
    <pivotField showAll="0"/>
    <pivotField numFmtId="164" showAll="0"/>
    <pivotField showAll="0"/>
    <pivotField numFmtId="164" showAll="0"/>
    <pivotField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Sales" fld="25" baseField="0" baseItem="0" numFmtId="164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2A2DC-2C2C-45F5-9539-F1A42D5E42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26">
    <pivotField showAll="0"/>
    <pivotField showAll="0"/>
    <pivotField numFmtId="164"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Sales" fld="25" baseField="0" baseItem="0" numFmtId="164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6C2B1-1325-44FF-8729-E397FFB3E64D}" name="Table1" displayName="Table1" ref="A1:Z2824" totalsRowShown="0">
  <autoFilter ref="A1:Z2824" xr:uid="{6AA6C2B1-1325-44FF-8729-E397FFB3E64D}">
    <filterColumn colId="10">
      <filters>
        <filter val="Classic Cars"/>
      </filters>
    </filterColumn>
  </autoFilter>
  <tableColumns count="26">
    <tableColumn id="1" xr3:uid="{48CEE7A9-FCDA-479D-AFB5-34AE9CC6C209}" name="ORDERNUMBER"/>
    <tableColumn id="2" xr3:uid="{7E39B5DF-EC7B-4A77-9CD1-3444DCA36429}" name="QUANTITYORDERED" dataDxfId="5"/>
    <tableColumn id="3" xr3:uid="{4C6EE7D7-9BD5-4D20-A285-1165C0B54DCF}" name="PRICEEACH" dataDxfId="4"/>
    <tableColumn id="4" xr3:uid="{51E2D24B-B257-46CD-B0B1-1D36E3718EB0}" name="ORDERLINENUMBER"/>
    <tableColumn id="5" xr3:uid="{C9273908-77BA-4733-B962-A91AA57587D4}" name="SALES" dataDxfId="3"/>
    <tableColumn id="6" xr3:uid="{6605B45D-9C71-438E-9CE1-4F487570BD7B}" name="ORDERDATE" dataDxfId="2"/>
    <tableColumn id="7" xr3:uid="{28C83E1F-4B57-4858-947C-49254A74477C}" name="STATUS"/>
    <tableColumn id="8" xr3:uid="{C44AD7A6-AA7C-4695-AC70-C823AD8F2817}" name="QTR_ID"/>
    <tableColumn id="9" xr3:uid="{6DD9907A-9CF5-4F23-99B8-872E1A892998}" name="MONTH_ID"/>
    <tableColumn id="10" xr3:uid="{3A241C28-DBBA-41C4-BF94-F73294A717D6}" name="YEAR_ID"/>
    <tableColumn id="11" xr3:uid="{20188F4E-58A1-460B-AB13-261859FA5CAC}" name="PRODUCTLINE"/>
    <tableColumn id="12" xr3:uid="{3714C9B3-E410-490C-9396-85D570B26CE0}" name="MSRP" dataDxfId="1"/>
    <tableColumn id="13" xr3:uid="{B5EDA706-C6CE-4C82-9555-E1197C7A1EFF}" name="PRODUCTCODE"/>
    <tableColumn id="14" xr3:uid="{FF3736F0-E11E-4409-8667-E0931CC084F7}" name="CUSTOMERNAME"/>
    <tableColumn id="15" xr3:uid="{0560FC30-4247-40B6-83BB-CD9AF5459AB8}" name="PHONE"/>
    <tableColumn id="16" xr3:uid="{CAE5C92B-11AC-41A8-B5FB-CF0E4477A40B}" name="ADDRESSLINE1"/>
    <tableColumn id="17" xr3:uid="{E67C6179-2487-4DD0-83EE-E24B983BC258}" name="ADDRESSLINE2"/>
    <tableColumn id="18" xr3:uid="{6DA82ACD-49CC-46D2-8B58-A0E262094453}" name="CITY"/>
    <tableColumn id="19" xr3:uid="{28C27E96-FFFF-4F1E-A90A-718973A1D3C6}" name="STATE"/>
    <tableColumn id="20" xr3:uid="{B743BB53-BAD7-4949-9D45-51537ACABD9A}" name="POSTALCODE"/>
    <tableColumn id="21" xr3:uid="{57B19840-2289-465D-A1FF-264E34AEFE10}" name="COUNTRY"/>
    <tableColumn id="22" xr3:uid="{318C567F-AA11-45D9-816F-C8A835BA1FD8}" name="TERRITORY"/>
    <tableColumn id="23" xr3:uid="{0CBDC720-E291-4BF1-B220-49C109E4B2A3}" name="CONTACTLASTNAME"/>
    <tableColumn id="24" xr3:uid="{D22863E9-7FC5-41A2-B9BD-F6FFC972C169}" name="CONTACTFIRSTNAME"/>
    <tableColumn id="25" xr3:uid="{9119C5F4-BF82-4E30-8E2E-82EB6B5C07D0}" name="DEALSIZE"/>
    <tableColumn id="26" xr3:uid="{0CD84FCB-9CD7-4560-BCD1-A6BC56E641B7}" name="TotalSales" dataDxfId="0">
      <calculatedColumnFormula>Table1[[#This Row],[QUANTITYORDERED]]*Table1[[#This Row],[PRICEEACH]]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ADC9-AD55-450D-A0B9-586DDE81E2BA}">
  <dimension ref="A1:AB2824"/>
  <sheetViews>
    <sheetView tabSelected="1" topLeftCell="Y1" workbookViewId="0">
      <selection activeCell="AB33" sqref="AB33"/>
    </sheetView>
  </sheetViews>
  <sheetFormatPr defaultRowHeight="14.5" x14ac:dyDescent="0.35"/>
  <cols>
    <col min="1" max="1" width="16.36328125" bestFit="1" customWidth="1"/>
    <col min="2" max="2" width="19.81640625" bestFit="1" customWidth="1"/>
    <col min="3" max="3" width="12.81640625" style="3" bestFit="1" customWidth="1"/>
    <col min="4" max="4" width="20.1796875" bestFit="1" customWidth="1"/>
    <col min="5" max="5" width="9.90625" style="3" bestFit="1" customWidth="1"/>
    <col min="6" max="6" width="20.1796875" customWidth="1"/>
    <col min="7" max="7" width="9.453125" bestFit="1" customWidth="1"/>
    <col min="8" max="8" width="9.08984375" bestFit="1" customWidth="1"/>
    <col min="9" max="9" width="11.90625" bestFit="1" customWidth="1"/>
    <col min="10" max="10" width="10.08984375" bestFit="1" customWidth="1"/>
    <col min="11" max="11" width="15.1796875" bestFit="1" customWidth="1"/>
    <col min="12" max="12" width="7.90625" style="3" bestFit="1" customWidth="1"/>
    <col min="13" max="13" width="16.26953125" bestFit="1" customWidth="1"/>
    <col min="14" max="14" width="29" bestFit="1" customWidth="1"/>
    <col min="15" max="15" width="15.36328125" bestFit="1" customWidth="1"/>
    <col min="16" max="16" width="37.6328125" bestFit="1" customWidth="1"/>
    <col min="17" max="17" width="15.90625" bestFit="1" customWidth="1"/>
    <col min="18" max="18" width="13" bestFit="1" customWidth="1"/>
    <col min="19" max="19" width="10.54296875" bestFit="1" customWidth="1"/>
    <col min="20" max="20" width="14.26953125" bestFit="1" customWidth="1"/>
    <col min="21" max="21" width="11.36328125" bestFit="1" customWidth="1"/>
    <col min="22" max="22" width="12.36328125" bestFit="1" customWidth="1"/>
    <col min="23" max="23" width="20.08984375" bestFit="1" customWidth="1"/>
    <col min="24" max="24" width="20.81640625" bestFit="1" customWidth="1"/>
    <col min="25" max="25" width="11" bestFit="1" customWidth="1"/>
    <col min="26" max="26" width="8.90625" bestFit="1" customWidth="1"/>
  </cols>
  <sheetData>
    <row r="1" spans="1:26" x14ac:dyDescent="0.35">
      <c r="A1" t="s">
        <v>0</v>
      </c>
      <c r="B1" t="s">
        <v>1</v>
      </c>
      <c r="C1" s="3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681</v>
      </c>
    </row>
    <row r="2" spans="1:26" hidden="1" x14ac:dyDescent="0.35">
      <c r="A2">
        <v>10107</v>
      </c>
      <c r="B2">
        <v>60</v>
      </c>
      <c r="C2" s="3">
        <v>95.7</v>
      </c>
      <c r="D2">
        <v>2</v>
      </c>
      <c r="E2" s="3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 s="3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s="3">
        <f>Table1[[#This Row],[QUANTITYORDERED]]*Table1[[#This Row],[PRICEEACH]]</f>
        <v>5742</v>
      </c>
    </row>
    <row r="3" spans="1:26" hidden="1" x14ac:dyDescent="0.35">
      <c r="A3">
        <v>10121</v>
      </c>
      <c r="B3">
        <v>34</v>
      </c>
      <c r="C3" s="3">
        <v>81.349999999999994</v>
      </c>
      <c r="D3">
        <v>5</v>
      </c>
      <c r="E3" s="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 s="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  <c r="Z3" s="3">
        <f>Table1[[#This Row],[QUANTITYORDERED]]*Table1[[#This Row],[PRICEEACH]]</f>
        <v>2765.8999999999996</v>
      </c>
    </row>
    <row r="4" spans="1:26" hidden="1" x14ac:dyDescent="0.35">
      <c r="A4">
        <v>10134</v>
      </c>
      <c r="B4">
        <v>41</v>
      </c>
      <c r="C4" s="3">
        <v>94.74</v>
      </c>
      <c r="D4">
        <v>2</v>
      </c>
      <c r="E4" s="3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 s="3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  <c r="Z4" s="3">
        <f>Table1[[#This Row],[QUANTITYORDERED]]*Table1[[#This Row],[PRICEEACH]]</f>
        <v>3884.3399999999997</v>
      </c>
    </row>
    <row r="5" spans="1:26" hidden="1" x14ac:dyDescent="0.35">
      <c r="A5">
        <v>10145</v>
      </c>
      <c r="B5">
        <v>45</v>
      </c>
      <c r="C5" s="3">
        <v>83.26</v>
      </c>
      <c r="D5">
        <v>6</v>
      </c>
      <c r="E5" s="3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 s="3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  <c r="Z5" s="3">
        <f>Table1[[#This Row],[QUANTITYORDERED]]*Table1[[#This Row],[PRICEEACH]]</f>
        <v>3746.7000000000003</v>
      </c>
    </row>
    <row r="6" spans="1:26" hidden="1" x14ac:dyDescent="0.35">
      <c r="A6">
        <v>10159</v>
      </c>
      <c r="B6">
        <v>49</v>
      </c>
      <c r="C6" s="3">
        <v>100</v>
      </c>
      <c r="D6">
        <v>14</v>
      </c>
      <c r="E6" s="3">
        <v>5205.2700000000004</v>
      </c>
      <c r="F6" s="2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 s="3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  <c r="Z6" s="3">
        <f>Table1[[#This Row],[QUANTITYORDERED]]*Table1[[#This Row],[PRICEEACH]]</f>
        <v>4900</v>
      </c>
    </row>
    <row r="7" spans="1:26" hidden="1" x14ac:dyDescent="0.35">
      <c r="A7">
        <v>10168</v>
      </c>
      <c r="B7">
        <v>36</v>
      </c>
      <c r="C7" s="3">
        <v>96.66</v>
      </c>
      <c r="D7">
        <v>1</v>
      </c>
      <c r="E7" s="3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 s="3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  <c r="Z7" s="3">
        <f>Table1[[#This Row],[QUANTITYORDERED]]*Table1[[#This Row],[PRICEEACH]]</f>
        <v>3479.7599999999998</v>
      </c>
    </row>
    <row r="8" spans="1:26" hidden="1" x14ac:dyDescent="0.35">
      <c r="A8">
        <v>10180</v>
      </c>
      <c r="B8">
        <v>29</v>
      </c>
      <c r="C8" s="3">
        <v>86.13</v>
      </c>
      <c r="D8">
        <v>9</v>
      </c>
      <c r="E8" s="3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 s="3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  <c r="Z8" s="3">
        <f>Table1[[#This Row],[QUANTITYORDERED]]*Table1[[#This Row],[PRICEEACH]]</f>
        <v>2497.77</v>
      </c>
    </row>
    <row r="9" spans="1:26" hidden="1" x14ac:dyDescent="0.35">
      <c r="A9">
        <v>10188</v>
      </c>
      <c r="B9">
        <v>48</v>
      </c>
      <c r="C9" s="3">
        <v>100</v>
      </c>
      <c r="D9">
        <v>1</v>
      </c>
      <c r="E9" s="3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 s="3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  <c r="Z9" s="3">
        <f>Table1[[#This Row],[QUANTITYORDERED]]*Table1[[#This Row],[PRICEEACH]]</f>
        <v>4800</v>
      </c>
    </row>
    <row r="10" spans="1:26" hidden="1" x14ac:dyDescent="0.35">
      <c r="A10">
        <v>10201</v>
      </c>
      <c r="B10">
        <v>22</v>
      </c>
      <c r="C10" s="3">
        <v>98.57</v>
      </c>
      <c r="D10">
        <v>2</v>
      </c>
      <c r="E10" s="3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 s="3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  <c r="Z10" s="3">
        <f>Table1[[#This Row],[QUANTITYORDERED]]*Table1[[#This Row],[PRICEEACH]]</f>
        <v>2168.54</v>
      </c>
    </row>
    <row r="11" spans="1:26" hidden="1" x14ac:dyDescent="0.35">
      <c r="A11">
        <v>10211</v>
      </c>
      <c r="B11">
        <v>41</v>
      </c>
      <c r="C11" s="3">
        <v>100</v>
      </c>
      <c r="D11">
        <v>14</v>
      </c>
      <c r="E11" s="3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 s="3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  <c r="Z11" s="3">
        <f>Table1[[#This Row],[QUANTITYORDERED]]*Table1[[#This Row],[PRICEEACH]]</f>
        <v>4100</v>
      </c>
    </row>
    <row r="12" spans="1:26" hidden="1" x14ac:dyDescent="0.35">
      <c r="A12">
        <v>10223</v>
      </c>
      <c r="B12">
        <v>37</v>
      </c>
      <c r="C12" s="3">
        <v>100</v>
      </c>
      <c r="D12">
        <v>1</v>
      </c>
      <c r="E12" s="3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 s="3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  <c r="Z12" s="3">
        <f>Table1[[#This Row],[QUANTITYORDERED]]*Table1[[#This Row],[PRICEEACH]]</f>
        <v>3700</v>
      </c>
    </row>
    <row r="13" spans="1:26" hidden="1" x14ac:dyDescent="0.35">
      <c r="A13">
        <v>10237</v>
      </c>
      <c r="B13">
        <v>23</v>
      </c>
      <c r="C13" s="3">
        <v>100</v>
      </c>
      <c r="D13">
        <v>7</v>
      </c>
      <c r="E13" s="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 s="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  <c r="Z13" s="3">
        <f>Table1[[#This Row],[QUANTITYORDERED]]*Table1[[#This Row],[PRICEEACH]]</f>
        <v>2300</v>
      </c>
    </row>
    <row r="14" spans="1:26" hidden="1" x14ac:dyDescent="0.35">
      <c r="A14">
        <v>10251</v>
      </c>
      <c r="B14">
        <v>28</v>
      </c>
      <c r="C14" s="3">
        <v>100</v>
      </c>
      <c r="D14">
        <v>2</v>
      </c>
      <c r="E14" s="3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 s="3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  <c r="Z14" s="3">
        <f>Table1[[#This Row],[QUANTITYORDERED]]*Table1[[#This Row],[PRICEEACH]]</f>
        <v>2800</v>
      </c>
    </row>
    <row r="15" spans="1:26" hidden="1" x14ac:dyDescent="0.35">
      <c r="A15">
        <v>10263</v>
      </c>
      <c r="B15">
        <v>34</v>
      </c>
      <c r="C15" s="3">
        <v>100</v>
      </c>
      <c r="D15">
        <v>2</v>
      </c>
      <c r="E15" s="3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 s="3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  <c r="Z15" s="3">
        <f>Table1[[#This Row],[QUANTITYORDERED]]*Table1[[#This Row],[PRICEEACH]]</f>
        <v>3400</v>
      </c>
    </row>
    <row r="16" spans="1:26" hidden="1" x14ac:dyDescent="0.35">
      <c r="A16">
        <v>10275</v>
      </c>
      <c r="B16">
        <v>45</v>
      </c>
      <c r="C16" s="3">
        <v>92.83</v>
      </c>
      <c r="D16">
        <v>1</v>
      </c>
      <c r="E16" s="3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 s="3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  <c r="Z16" s="3">
        <f>Table1[[#This Row],[QUANTITYORDERED]]*Table1[[#This Row],[PRICEEACH]]</f>
        <v>4177.3500000000004</v>
      </c>
    </row>
    <row r="17" spans="1:28" hidden="1" x14ac:dyDescent="0.35">
      <c r="A17">
        <v>10285</v>
      </c>
      <c r="B17">
        <v>36</v>
      </c>
      <c r="C17" s="3">
        <v>100</v>
      </c>
      <c r="D17">
        <v>6</v>
      </c>
      <c r="E17" s="3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 s="3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  <c r="Z17" s="3">
        <f>Table1[[#This Row],[QUANTITYORDERED]]*Table1[[#This Row],[PRICEEACH]]</f>
        <v>3600</v>
      </c>
    </row>
    <row r="18" spans="1:28" hidden="1" x14ac:dyDescent="0.35">
      <c r="A18">
        <v>10299</v>
      </c>
      <c r="B18">
        <v>23</v>
      </c>
      <c r="C18" s="3">
        <v>100</v>
      </c>
      <c r="D18">
        <v>9</v>
      </c>
      <c r="E18" s="3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 s="3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  <c r="Z18" s="3">
        <f>Table1[[#This Row],[QUANTITYORDERED]]*Table1[[#This Row],[PRICEEACH]]</f>
        <v>2300</v>
      </c>
    </row>
    <row r="19" spans="1:28" hidden="1" x14ac:dyDescent="0.35">
      <c r="A19">
        <v>10309</v>
      </c>
      <c r="B19">
        <v>41</v>
      </c>
      <c r="C19" s="3">
        <v>100</v>
      </c>
      <c r="D19">
        <v>5</v>
      </c>
      <c r="E19" s="3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 s="3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  <c r="Z19" s="3">
        <f>Table1[[#This Row],[QUANTITYORDERED]]*Table1[[#This Row],[PRICEEACH]]</f>
        <v>4100</v>
      </c>
    </row>
    <row r="20" spans="1:28" hidden="1" x14ac:dyDescent="0.35">
      <c r="A20">
        <v>10318</v>
      </c>
      <c r="B20">
        <v>46</v>
      </c>
      <c r="C20" s="3">
        <v>94.74</v>
      </c>
      <c r="D20">
        <v>1</v>
      </c>
      <c r="E20" s="3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 s="3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  <c r="Z20" s="3">
        <f>Table1[[#This Row],[QUANTITYORDERED]]*Table1[[#This Row],[PRICEEACH]]</f>
        <v>4358.04</v>
      </c>
    </row>
    <row r="21" spans="1:28" hidden="1" x14ac:dyDescent="0.35">
      <c r="A21">
        <v>10329</v>
      </c>
      <c r="B21">
        <v>42</v>
      </c>
      <c r="C21" s="3">
        <v>100</v>
      </c>
      <c r="D21">
        <v>1</v>
      </c>
      <c r="E21" s="3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 s="3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  <c r="Z21" s="3">
        <f>Table1[[#This Row],[QUANTITYORDERED]]*Table1[[#This Row],[PRICEEACH]]</f>
        <v>4200</v>
      </c>
    </row>
    <row r="22" spans="1:28" hidden="1" x14ac:dyDescent="0.35">
      <c r="A22">
        <v>10341</v>
      </c>
      <c r="B22">
        <v>41</v>
      </c>
      <c r="C22" s="3">
        <v>100</v>
      </c>
      <c r="D22">
        <v>9</v>
      </c>
      <c r="E22" s="3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 s="3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  <c r="Z22" s="3">
        <f>Table1[[#This Row],[QUANTITYORDERED]]*Table1[[#This Row],[PRICEEACH]]</f>
        <v>4100</v>
      </c>
    </row>
    <row r="23" spans="1:28" hidden="1" x14ac:dyDescent="0.35">
      <c r="A23">
        <v>10361</v>
      </c>
      <c r="B23">
        <v>20</v>
      </c>
      <c r="C23" s="3">
        <v>72.55</v>
      </c>
      <c r="D23">
        <v>13</v>
      </c>
      <c r="E23" s="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 s="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  <c r="Z23" s="3">
        <f>Table1[[#This Row],[QUANTITYORDERED]]*Table1[[#This Row],[PRICEEACH]]</f>
        <v>1451</v>
      </c>
    </row>
    <row r="24" spans="1:28" hidden="1" x14ac:dyDescent="0.35">
      <c r="A24">
        <v>10375</v>
      </c>
      <c r="B24">
        <v>21</v>
      </c>
      <c r="C24" s="3">
        <v>34.909999999999997</v>
      </c>
      <c r="D24">
        <v>12</v>
      </c>
      <c r="E24" s="3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 s="3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  <c r="Z24" s="3">
        <f>Table1[[#This Row],[QUANTITYORDERED]]*Table1[[#This Row],[PRICEEACH]]</f>
        <v>733.1099999999999</v>
      </c>
    </row>
    <row r="25" spans="1:28" hidden="1" x14ac:dyDescent="0.35">
      <c r="A25">
        <v>10388</v>
      </c>
      <c r="B25">
        <v>42</v>
      </c>
      <c r="C25" s="3">
        <v>76.36</v>
      </c>
      <c r="D25">
        <v>4</v>
      </c>
      <c r="E25" s="3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 s="3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  <c r="Z25" s="3">
        <f>Table1[[#This Row],[QUANTITYORDERED]]*Table1[[#This Row],[PRICEEACH]]</f>
        <v>3207.12</v>
      </c>
    </row>
    <row r="26" spans="1:28" hidden="1" x14ac:dyDescent="0.35">
      <c r="A26">
        <v>10403</v>
      </c>
      <c r="B26">
        <v>24</v>
      </c>
      <c r="C26" s="3">
        <v>100</v>
      </c>
      <c r="D26">
        <v>7</v>
      </c>
      <c r="E26" s="3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 s="3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  <c r="Z26" s="3">
        <f>Table1[[#This Row],[QUANTITYORDERED]]*Table1[[#This Row],[PRICEEACH]]</f>
        <v>2400</v>
      </c>
    </row>
    <row r="27" spans="1:28" hidden="1" x14ac:dyDescent="0.35">
      <c r="A27">
        <v>10417</v>
      </c>
      <c r="B27">
        <v>66</v>
      </c>
      <c r="C27" s="3">
        <v>100</v>
      </c>
      <c r="D27">
        <v>2</v>
      </c>
      <c r="E27" s="3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 s="3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  <c r="Z27" s="3">
        <f>Table1[[#This Row],[QUANTITYORDERED]]*Table1[[#This Row],[PRICEEACH]]</f>
        <v>6600</v>
      </c>
    </row>
    <row r="28" spans="1:28" x14ac:dyDescent="0.35">
      <c r="A28">
        <v>10103</v>
      </c>
      <c r="B28">
        <v>26</v>
      </c>
      <c r="C28" s="3">
        <v>100</v>
      </c>
      <c r="D28">
        <v>11</v>
      </c>
      <c r="E28" s="3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 s="3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  <c r="Z28" s="3">
        <f>Table1[[#This Row],[QUANTITYORDERED]]*Table1[[#This Row],[PRICEEACH]]</f>
        <v>2600</v>
      </c>
    </row>
    <row r="29" spans="1:28" x14ac:dyDescent="0.35">
      <c r="A29">
        <v>10112</v>
      </c>
      <c r="B29">
        <v>29</v>
      </c>
      <c r="C29" s="3">
        <v>100</v>
      </c>
      <c r="D29">
        <v>1</v>
      </c>
      <c r="E29" s="3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 s="3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  <c r="Z29" s="3">
        <f>Table1[[#This Row],[QUANTITYORDERED]]*Table1[[#This Row],[PRICEEACH]]</f>
        <v>2900</v>
      </c>
      <c r="AB29">
        <f>SUM(Z:Z)</f>
        <v>8293757.7900000047</v>
      </c>
    </row>
    <row r="30" spans="1:28" x14ac:dyDescent="0.35">
      <c r="A30">
        <v>10126</v>
      </c>
      <c r="B30">
        <v>38</v>
      </c>
      <c r="C30" s="3">
        <v>100</v>
      </c>
      <c r="D30">
        <v>11</v>
      </c>
      <c r="E30" s="3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 s="3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  <c r="Z30" s="3">
        <f>Table1[[#This Row],[QUANTITYORDERED]]*Table1[[#This Row],[PRICEEACH]]</f>
        <v>3800</v>
      </c>
    </row>
    <row r="31" spans="1:28" x14ac:dyDescent="0.35">
      <c r="A31">
        <v>10140</v>
      </c>
      <c r="B31">
        <v>37</v>
      </c>
      <c r="C31" s="3">
        <v>100</v>
      </c>
      <c r="D31">
        <v>11</v>
      </c>
      <c r="E31" s="3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 s="3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  <c r="Z31" s="3">
        <f>Table1[[#This Row],[QUANTITYORDERED]]*Table1[[#This Row],[PRICEEACH]]</f>
        <v>3700</v>
      </c>
    </row>
    <row r="32" spans="1:28" x14ac:dyDescent="0.35">
      <c r="A32">
        <v>10150</v>
      </c>
      <c r="B32">
        <v>45</v>
      </c>
      <c r="C32" s="3">
        <v>100</v>
      </c>
      <c r="D32">
        <v>8</v>
      </c>
      <c r="E32" s="3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 s="3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  <c r="Z32" s="3">
        <f>Table1[[#This Row],[QUANTITYORDERED]]*Table1[[#This Row],[PRICEEACH]]</f>
        <v>4500</v>
      </c>
      <c r="AB32">
        <f>SUM(B:B)</f>
        <v>99097</v>
      </c>
    </row>
    <row r="33" spans="1:26" x14ac:dyDescent="0.35">
      <c r="A33">
        <v>10163</v>
      </c>
      <c r="B33">
        <v>21</v>
      </c>
      <c r="C33" s="3">
        <v>100</v>
      </c>
      <c r="D33">
        <v>1</v>
      </c>
      <c r="E33" s="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 s="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  <c r="Z33" s="3">
        <f>Table1[[#This Row],[QUANTITYORDERED]]*Table1[[#This Row],[PRICEEACH]]</f>
        <v>2100</v>
      </c>
    </row>
    <row r="34" spans="1:26" x14ac:dyDescent="0.35">
      <c r="A34">
        <v>10174</v>
      </c>
      <c r="B34">
        <v>34</v>
      </c>
      <c r="C34" s="3">
        <v>100</v>
      </c>
      <c r="D34">
        <v>4</v>
      </c>
      <c r="E34" s="3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 s="3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  <c r="Z34" s="3">
        <f>Table1[[#This Row],[QUANTITYORDERED]]*Table1[[#This Row],[PRICEEACH]]</f>
        <v>3400</v>
      </c>
    </row>
    <row r="35" spans="1:26" x14ac:dyDescent="0.35">
      <c r="A35">
        <v>10183</v>
      </c>
      <c r="B35">
        <v>23</v>
      </c>
      <c r="C35" s="3">
        <v>100</v>
      </c>
      <c r="D35">
        <v>8</v>
      </c>
      <c r="E35" s="3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 s="3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  <c r="Z35" s="3">
        <f>Table1[[#This Row],[QUANTITYORDERED]]*Table1[[#This Row],[PRICEEACH]]</f>
        <v>2300</v>
      </c>
    </row>
    <row r="36" spans="1:26" x14ac:dyDescent="0.35">
      <c r="A36">
        <v>10194</v>
      </c>
      <c r="B36">
        <v>42</v>
      </c>
      <c r="C36" s="3">
        <v>100</v>
      </c>
      <c r="D36">
        <v>11</v>
      </c>
      <c r="E36" s="3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 s="3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  <c r="Z36" s="3">
        <f>Table1[[#This Row],[QUANTITYORDERED]]*Table1[[#This Row],[PRICEEACH]]</f>
        <v>4200</v>
      </c>
    </row>
    <row r="37" spans="1:26" x14ac:dyDescent="0.35">
      <c r="A37">
        <v>10206</v>
      </c>
      <c r="B37">
        <v>47</v>
      </c>
      <c r="C37" s="3">
        <v>100</v>
      </c>
      <c r="D37">
        <v>6</v>
      </c>
      <c r="E37" s="3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 s="3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  <c r="Z37" s="3">
        <f>Table1[[#This Row],[QUANTITYORDERED]]*Table1[[#This Row],[PRICEEACH]]</f>
        <v>4700</v>
      </c>
    </row>
    <row r="38" spans="1:26" x14ac:dyDescent="0.35">
      <c r="A38">
        <v>10215</v>
      </c>
      <c r="B38">
        <v>35</v>
      </c>
      <c r="C38" s="3">
        <v>100</v>
      </c>
      <c r="D38">
        <v>3</v>
      </c>
      <c r="E38" s="3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 s="3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  <c r="Z38" s="3">
        <f>Table1[[#This Row],[QUANTITYORDERED]]*Table1[[#This Row],[PRICEEACH]]</f>
        <v>3500</v>
      </c>
    </row>
    <row r="39" spans="1:26" x14ac:dyDescent="0.35">
      <c r="A39">
        <v>10228</v>
      </c>
      <c r="B39">
        <v>29</v>
      </c>
      <c r="C39" s="3">
        <v>100</v>
      </c>
      <c r="D39">
        <v>2</v>
      </c>
      <c r="E39" s="3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 s="3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  <c r="Z39" s="3">
        <f>Table1[[#This Row],[QUANTITYORDERED]]*Table1[[#This Row],[PRICEEACH]]</f>
        <v>2900</v>
      </c>
    </row>
    <row r="40" spans="1:26" x14ac:dyDescent="0.35">
      <c r="A40">
        <v>10245</v>
      </c>
      <c r="B40">
        <v>34</v>
      </c>
      <c r="C40" s="3">
        <v>100</v>
      </c>
      <c r="D40">
        <v>9</v>
      </c>
      <c r="E40" s="3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 s="3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  <c r="Z40" s="3">
        <f>Table1[[#This Row],[QUANTITYORDERED]]*Table1[[#This Row],[PRICEEACH]]</f>
        <v>3400</v>
      </c>
    </row>
    <row r="41" spans="1:26" x14ac:dyDescent="0.35">
      <c r="A41">
        <v>10258</v>
      </c>
      <c r="B41">
        <v>32</v>
      </c>
      <c r="C41" s="3">
        <v>100</v>
      </c>
      <c r="D41">
        <v>6</v>
      </c>
      <c r="E41" s="3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 s="3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  <c r="Z41" s="3">
        <f>Table1[[#This Row],[QUANTITYORDERED]]*Table1[[#This Row],[PRICEEACH]]</f>
        <v>3200</v>
      </c>
    </row>
    <row r="42" spans="1:26" x14ac:dyDescent="0.35">
      <c r="A42">
        <v>10270</v>
      </c>
      <c r="B42">
        <v>21</v>
      </c>
      <c r="C42" s="3">
        <v>100</v>
      </c>
      <c r="D42">
        <v>9</v>
      </c>
      <c r="E42" s="3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 s="3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  <c r="Z42" s="3">
        <f>Table1[[#This Row],[QUANTITYORDERED]]*Table1[[#This Row],[PRICEEACH]]</f>
        <v>2100</v>
      </c>
    </row>
    <row r="43" spans="1:26" x14ac:dyDescent="0.35">
      <c r="A43">
        <v>10280</v>
      </c>
      <c r="B43">
        <v>34</v>
      </c>
      <c r="C43" s="3">
        <v>100</v>
      </c>
      <c r="D43">
        <v>2</v>
      </c>
      <c r="E43" s="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 s="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  <c r="Z43" s="3">
        <f>Table1[[#This Row],[QUANTITYORDERED]]*Table1[[#This Row],[PRICEEACH]]</f>
        <v>3400</v>
      </c>
    </row>
    <row r="44" spans="1:26" x14ac:dyDescent="0.35">
      <c r="A44">
        <v>10291</v>
      </c>
      <c r="B44">
        <v>37</v>
      </c>
      <c r="C44" s="3">
        <v>100</v>
      </c>
      <c r="D44">
        <v>11</v>
      </c>
      <c r="E44" s="3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 s="3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  <c r="Z44" s="3">
        <f>Table1[[#This Row],[QUANTITYORDERED]]*Table1[[#This Row],[PRICEEACH]]</f>
        <v>3700</v>
      </c>
    </row>
    <row r="45" spans="1:26" x14ac:dyDescent="0.35">
      <c r="A45">
        <v>10304</v>
      </c>
      <c r="B45">
        <v>47</v>
      </c>
      <c r="C45" s="3">
        <v>100</v>
      </c>
      <c r="D45">
        <v>6</v>
      </c>
      <c r="E45" s="3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 s="3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  <c r="Z45" s="3">
        <f>Table1[[#This Row],[QUANTITYORDERED]]*Table1[[#This Row],[PRICEEACH]]</f>
        <v>4700</v>
      </c>
    </row>
    <row r="46" spans="1:26" x14ac:dyDescent="0.35">
      <c r="A46">
        <v>10312</v>
      </c>
      <c r="B46">
        <v>48</v>
      </c>
      <c r="C46" s="3">
        <v>100</v>
      </c>
      <c r="D46">
        <v>3</v>
      </c>
      <c r="E46" s="3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 s="3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  <c r="Z46" s="3">
        <f>Table1[[#This Row],[QUANTITYORDERED]]*Table1[[#This Row],[PRICEEACH]]</f>
        <v>4800</v>
      </c>
    </row>
    <row r="47" spans="1:26" x14ac:dyDescent="0.35">
      <c r="A47">
        <v>10322</v>
      </c>
      <c r="B47">
        <v>40</v>
      </c>
      <c r="C47" s="3">
        <v>100</v>
      </c>
      <c r="D47">
        <v>1</v>
      </c>
      <c r="E47" s="3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 s="3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  <c r="Z47" s="3">
        <f>Table1[[#This Row],[QUANTITYORDERED]]*Table1[[#This Row],[PRICEEACH]]</f>
        <v>4000</v>
      </c>
    </row>
    <row r="48" spans="1:26" x14ac:dyDescent="0.35">
      <c r="A48">
        <v>10333</v>
      </c>
      <c r="B48">
        <v>26</v>
      </c>
      <c r="C48" s="3">
        <v>100</v>
      </c>
      <c r="D48">
        <v>3</v>
      </c>
      <c r="E48" s="3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 s="3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  <c r="Z48" s="3">
        <f>Table1[[#This Row],[QUANTITYORDERED]]*Table1[[#This Row],[PRICEEACH]]</f>
        <v>2600</v>
      </c>
    </row>
    <row r="49" spans="1:26" x14ac:dyDescent="0.35">
      <c r="A49">
        <v>10347</v>
      </c>
      <c r="B49">
        <v>30</v>
      </c>
      <c r="C49" s="3">
        <v>100</v>
      </c>
      <c r="D49">
        <v>1</v>
      </c>
      <c r="E49" s="3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 s="3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  <c r="Z49" s="3">
        <f>Table1[[#This Row],[QUANTITYORDERED]]*Table1[[#This Row],[PRICEEACH]]</f>
        <v>3000</v>
      </c>
    </row>
    <row r="50" spans="1:26" x14ac:dyDescent="0.35">
      <c r="A50">
        <v>10357</v>
      </c>
      <c r="B50">
        <v>32</v>
      </c>
      <c r="C50" s="3">
        <v>100</v>
      </c>
      <c r="D50">
        <v>10</v>
      </c>
      <c r="E50" s="3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 s="3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  <c r="Z50" s="3">
        <f>Table1[[#This Row],[QUANTITYORDERED]]*Table1[[#This Row],[PRICEEACH]]</f>
        <v>3200</v>
      </c>
    </row>
    <row r="51" spans="1:26" x14ac:dyDescent="0.35">
      <c r="A51">
        <v>10369</v>
      </c>
      <c r="B51">
        <v>41</v>
      </c>
      <c r="C51" s="3">
        <v>100</v>
      </c>
      <c r="D51">
        <v>2</v>
      </c>
      <c r="E51" s="3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 s="3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  <c r="Z51" s="3">
        <f>Table1[[#This Row],[QUANTITYORDERED]]*Table1[[#This Row],[PRICEEACH]]</f>
        <v>4100</v>
      </c>
    </row>
    <row r="52" spans="1:26" x14ac:dyDescent="0.35">
      <c r="A52">
        <v>10381</v>
      </c>
      <c r="B52">
        <v>36</v>
      </c>
      <c r="C52" s="3">
        <v>100</v>
      </c>
      <c r="D52">
        <v>3</v>
      </c>
      <c r="E52" s="3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 s="3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  <c r="Z52" s="3">
        <f>Table1[[#This Row],[QUANTITYORDERED]]*Table1[[#This Row],[PRICEEACH]]</f>
        <v>3600</v>
      </c>
    </row>
    <row r="53" spans="1:26" x14ac:dyDescent="0.35">
      <c r="A53">
        <v>10391</v>
      </c>
      <c r="B53">
        <v>24</v>
      </c>
      <c r="C53" s="3">
        <v>100</v>
      </c>
      <c r="D53">
        <v>4</v>
      </c>
      <c r="E53" s="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 s="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  <c r="Z53" s="3">
        <f>Table1[[#This Row],[QUANTITYORDERED]]*Table1[[#This Row],[PRICEEACH]]</f>
        <v>2400</v>
      </c>
    </row>
    <row r="54" spans="1:26" x14ac:dyDescent="0.35">
      <c r="A54">
        <v>10411</v>
      </c>
      <c r="B54">
        <v>23</v>
      </c>
      <c r="C54" s="3">
        <v>100</v>
      </c>
      <c r="D54">
        <v>9</v>
      </c>
      <c r="E54" s="3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 s="3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  <c r="Z54" s="3">
        <f>Table1[[#This Row],[QUANTITYORDERED]]*Table1[[#This Row],[PRICEEACH]]</f>
        <v>2300</v>
      </c>
    </row>
    <row r="55" spans="1:26" x14ac:dyDescent="0.35">
      <c r="A55">
        <v>10424</v>
      </c>
      <c r="B55">
        <v>50</v>
      </c>
      <c r="C55" s="3">
        <v>100</v>
      </c>
      <c r="D55">
        <v>6</v>
      </c>
      <c r="E55" s="3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 s="3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  <c r="Z55" s="3">
        <f>Table1[[#This Row],[QUANTITYORDERED]]*Table1[[#This Row],[PRICEEACH]]</f>
        <v>5000</v>
      </c>
    </row>
    <row r="56" spans="1:26" hidden="1" x14ac:dyDescent="0.35">
      <c r="A56">
        <v>10107</v>
      </c>
      <c r="B56">
        <v>39</v>
      </c>
      <c r="C56" s="3">
        <v>99.91</v>
      </c>
      <c r="D56">
        <v>5</v>
      </c>
      <c r="E56" s="3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 s="3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  <c r="Z56" s="3">
        <f>Table1[[#This Row],[QUANTITYORDERED]]*Table1[[#This Row],[PRICEEACH]]</f>
        <v>3896.49</v>
      </c>
    </row>
    <row r="57" spans="1:26" hidden="1" x14ac:dyDescent="0.35">
      <c r="A57">
        <v>10120</v>
      </c>
      <c r="B57">
        <v>29</v>
      </c>
      <c r="C57" s="3">
        <v>96.34</v>
      </c>
      <c r="D57">
        <v>3</v>
      </c>
      <c r="E57" s="3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 s="3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  <c r="Z57" s="3">
        <f>Table1[[#This Row],[QUANTITYORDERED]]*Table1[[#This Row],[PRICEEACH]]</f>
        <v>2793.86</v>
      </c>
    </row>
    <row r="58" spans="1:26" hidden="1" x14ac:dyDescent="0.35">
      <c r="A58">
        <v>10134</v>
      </c>
      <c r="B58">
        <v>27</v>
      </c>
      <c r="C58" s="3">
        <v>100</v>
      </c>
      <c r="D58">
        <v>5</v>
      </c>
      <c r="E58" s="3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 s="3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  <c r="Z58" s="3">
        <f>Table1[[#This Row],[QUANTITYORDERED]]*Table1[[#This Row],[PRICEEACH]]</f>
        <v>2700</v>
      </c>
    </row>
    <row r="59" spans="1:26" hidden="1" x14ac:dyDescent="0.35">
      <c r="A59">
        <v>10145</v>
      </c>
      <c r="B59">
        <v>37</v>
      </c>
      <c r="C59" s="3">
        <v>100</v>
      </c>
      <c r="D59">
        <v>9</v>
      </c>
      <c r="E59" s="3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 s="3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  <c r="Z59" s="3">
        <f>Table1[[#This Row],[QUANTITYORDERED]]*Table1[[#This Row],[PRICEEACH]]</f>
        <v>3700</v>
      </c>
    </row>
    <row r="60" spans="1:26" hidden="1" x14ac:dyDescent="0.35">
      <c r="A60">
        <v>10159</v>
      </c>
      <c r="B60">
        <v>37</v>
      </c>
      <c r="C60" s="3">
        <v>100</v>
      </c>
      <c r="D60">
        <v>17</v>
      </c>
      <c r="E60" s="3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 s="3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  <c r="Z60" s="3">
        <f>Table1[[#This Row],[QUANTITYORDERED]]*Table1[[#This Row],[PRICEEACH]]</f>
        <v>3700</v>
      </c>
    </row>
    <row r="61" spans="1:26" hidden="1" x14ac:dyDescent="0.35">
      <c r="A61">
        <v>10168</v>
      </c>
      <c r="B61">
        <v>27</v>
      </c>
      <c r="C61" s="3">
        <v>100</v>
      </c>
      <c r="D61">
        <v>4</v>
      </c>
      <c r="E61" s="3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 s="3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  <c r="Z61" s="3">
        <f>Table1[[#This Row],[QUANTITYORDERED]]*Table1[[#This Row],[PRICEEACH]]</f>
        <v>2700</v>
      </c>
    </row>
    <row r="62" spans="1:26" hidden="1" x14ac:dyDescent="0.35">
      <c r="A62">
        <v>10180</v>
      </c>
      <c r="B62">
        <v>42</v>
      </c>
      <c r="C62" s="3">
        <v>100</v>
      </c>
      <c r="D62">
        <v>12</v>
      </c>
      <c r="E62" s="3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 s="3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  <c r="Z62" s="3">
        <f>Table1[[#This Row],[QUANTITYORDERED]]*Table1[[#This Row],[PRICEEACH]]</f>
        <v>4200</v>
      </c>
    </row>
    <row r="63" spans="1:26" hidden="1" x14ac:dyDescent="0.35">
      <c r="A63">
        <v>10188</v>
      </c>
      <c r="B63">
        <v>38</v>
      </c>
      <c r="C63" s="3">
        <v>96.34</v>
      </c>
      <c r="D63">
        <v>4</v>
      </c>
      <c r="E63" s="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 s="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  <c r="Z63" s="3">
        <f>Table1[[#This Row],[QUANTITYORDERED]]*Table1[[#This Row],[PRICEEACH]]</f>
        <v>3660.92</v>
      </c>
    </row>
    <row r="64" spans="1:26" hidden="1" x14ac:dyDescent="0.35">
      <c r="A64">
        <v>10201</v>
      </c>
      <c r="B64">
        <v>24</v>
      </c>
      <c r="C64" s="3">
        <v>100</v>
      </c>
      <c r="D64">
        <v>5</v>
      </c>
      <c r="E64" s="3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 s="3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  <c r="Z64" s="3">
        <f>Table1[[#This Row],[QUANTITYORDERED]]*Table1[[#This Row],[PRICEEACH]]</f>
        <v>2400</v>
      </c>
    </row>
    <row r="65" spans="1:26" hidden="1" x14ac:dyDescent="0.35">
      <c r="A65">
        <v>10210</v>
      </c>
      <c r="B65">
        <v>23</v>
      </c>
      <c r="C65" s="3">
        <v>100</v>
      </c>
      <c r="D65">
        <v>2</v>
      </c>
      <c r="E65" s="3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 s="3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  <c r="Z65" s="3">
        <f>Table1[[#This Row],[QUANTITYORDERED]]*Table1[[#This Row],[PRICEEACH]]</f>
        <v>2300</v>
      </c>
    </row>
    <row r="66" spans="1:26" hidden="1" x14ac:dyDescent="0.35">
      <c r="A66">
        <v>10223</v>
      </c>
      <c r="B66">
        <v>47</v>
      </c>
      <c r="C66" s="3">
        <v>100</v>
      </c>
      <c r="D66">
        <v>4</v>
      </c>
      <c r="E66" s="3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 s="3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  <c r="Z66" s="3">
        <f>Table1[[#This Row],[QUANTITYORDERED]]*Table1[[#This Row],[PRICEEACH]]</f>
        <v>4700</v>
      </c>
    </row>
    <row r="67" spans="1:26" hidden="1" x14ac:dyDescent="0.35">
      <c r="A67">
        <v>10236</v>
      </c>
      <c r="B67">
        <v>22</v>
      </c>
      <c r="C67" s="3">
        <v>100</v>
      </c>
      <c r="D67">
        <v>1</v>
      </c>
      <c r="E67" s="3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 s="3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  <c r="Z67" s="3">
        <f>Table1[[#This Row],[QUANTITYORDERED]]*Table1[[#This Row],[PRICEEACH]]</f>
        <v>2200</v>
      </c>
    </row>
    <row r="68" spans="1:26" hidden="1" x14ac:dyDescent="0.35">
      <c r="A68">
        <v>10251</v>
      </c>
      <c r="B68">
        <v>44</v>
      </c>
      <c r="C68" s="3">
        <v>100</v>
      </c>
      <c r="D68">
        <v>5</v>
      </c>
      <c r="E68" s="3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 s="3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  <c r="Z68" s="3">
        <f>Table1[[#This Row],[QUANTITYORDERED]]*Table1[[#This Row],[PRICEEACH]]</f>
        <v>4400</v>
      </c>
    </row>
    <row r="69" spans="1:26" hidden="1" x14ac:dyDescent="0.35">
      <c r="A69">
        <v>10263</v>
      </c>
      <c r="B69">
        <v>40</v>
      </c>
      <c r="C69" s="3">
        <v>100</v>
      </c>
      <c r="D69">
        <v>5</v>
      </c>
      <c r="E69" s="3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 s="3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  <c r="Z69" s="3">
        <f>Table1[[#This Row],[QUANTITYORDERED]]*Table1[[#This Row],[PRICEEACH]]</f>
        <v>4000</v>
      </c>
    </row>
    <row r="70" spans="1:26" hidden="1" x14ac:dyDescent="0.35">
      <c r="A70">
        <v>10275</v>
      </c>
      <c r="B70">
        <v>22</v>
      </c>
      <c r="C70" s="3">
        <v>100</v>
      </c>
      <c r="D70">
        <v>4</v>
      </c>
      <c r="E70" s="3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 s="3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  <c r="Z70" s="3">
        <f>Table1[[#This Row],[QUANTITYORDERED]]*Table1[[#This Row],[PRICEEACH]]</f>
        <v>2200</v>
      </c>
    </row>
    <row r="71" spans="1:26" hidden="1" x14ac:dyDescent="0.35">
      <c r="A71">
        <v>10285</v>
      </c>
      <c r="B71">
        <v>47</v>
      </c>
      <c r="C71" s="3">
        <v>100</v>
      </c>
      <c r="D71">
        <v>9</v>
      </c>
      <c r="E71" s="3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 s="3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  <c r="Z71" s="3">
        <f>Table1[[#This Row],[QUANTITYORDERED]]*Table1[[#This Row],[PRICEEACH]]</f>
        <v>4700</v>
      </c>
    </row>
    <row r="72" spans="1:26" hidden="1" x14ac:dyDescent="0.35">
      <c r="A72">
        <v>10298</v>
      </c>
      <c r="B72">
        <v>39</v>
      </c>
      <c r="C72" s="3">
        <v>96.34</v>
      </c>
      <c r="D72">
        <v>1</v>
      </c>
      <c r="E72" s="3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 s="3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  <c r="Z72" s="3">
        <f>Table1[[#This Row],[QUANTITYORDERED]]*Table1[[#This Row],[PRICEEACH]]</f>
        <v>3757.26</v>
      </c>
    </row>
    <row r="73" spans="1:26" hidden="1" x14ac:dyDescent="0.35">
      <c r="A73">
        <v>10308</v>
      </c>
      <c r="B73">
        <v>34</v>
      </c>
      <c r="C73" s="3">
        <v>100</v>
      </c>
      <c r="D73">
        <v>2</v>
      </c>
      <c r="E73" s="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 s="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  <c r="Z73" s="3">
        <f>Table1[[#This Row],[QUANTITYORDERED]]*Table1[[#This Row],[PRICEEACH]]</f>
        <v>3400</v>
      </c>
    </row>
    <row r="74" spans="1:26" hidden="1" x14ac:dyDescent="0.35">
      <c r="A74">
        <v>10318</v>
      </c>
      <c r="B74">
        <v>45</v>
      </c>
      <c r="C74" s="3">
        <v>100</v>
      </c>
      <c r="D74">
        <v>4</v>
      </c>
      <c r="E74" s="3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 s="3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  <c r="Z74" s="3">
        <f>Table1[[#This Row],[QUANTITYORDERED]]*Table1[[#This Row],[PRICEEACH]]</f>
        <v>4500</v>
      </c>
    </row>
    <row r="75" spans="1:26" hidden="1" x14ac:dyDescent="0.35">
      <c r="A75">
        <v>10329</v>
      </c>
      <c r="B75">
        <v>20</v>
      </c>
      <c r="C75" s="3">
        <v>100</v>
      </c>
      <c r="D75">
        <v>2</v>
      </c>
      <c r="E75" s="3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 s="3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  <c r="Z75" s="3">
        <f>Table1[[#This Row],[QUANTITYORDERED]]*Table1[[#This Row],[PRICEEACH]]</f>
        <v>2000</v>
      </c>
    </row>
    <row r="76" spans="1:26" hidden="1" x14ac:dyDescent="0.35">
      <c r="A76">
        <v>10339</v>
      </c>
      <c r="B76">
        <v>40</v>
      </c>
      <c r="C76" s="3">
        <v>68.92</v>
      </c>
      <c r="D76">
        <v>4</v>
      </c>
      <c r="E76" s="3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 s="3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  <c r="Z76" s="3">
        <f>Table1[[#This Row],[QUANTITYORDERED]]*Table1[[#This Row],[PRICEEACH]]</f>
        <v>2756.8</v>
      </c>
    </row>
    <row r="77" spans="1:26" hidden="1" x14ac:dyDescent="0.35">
      <c r="A77">
        <v>10361</v>
      </c>
      <c r="B77">
        <v>26</v>
      </c>
      <c r="C77" s="3">
        <v>51.15</v>
      </c>
      <c r="D77">
        <v>8</v>
      </c>
      <c r="E77" s="3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 s="3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  <c r="Z77" s="3">
        <f>Table1[[#This Row],[QUANTITYORDERED]]*Table1[[#This Row],[PRICEEACH]]</f>
        <v>1329.8999999999999</v>
      </c>
    </row>
    <row r="78" spans="1:26" hidden="1" x14ac:dyDescent="0.35">
      <c r="A78">
        <v>10374</v>
      </c>
      <c r="B78">
        <v>39</v>
      </c>
      <c r="C78" s="3">
        <v>100</v>
      </c>
      <c r="D78">
        <v>5</v>
      </c>
      <c r="E78" s="3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 s="3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  <c r="Z78" s="3">
        <f>Table1[[#This Row],[QUANTITYORDERED]]*Table1[[#This Row],[PRICEEACH]]</f>
        <v>3900</v>
      </c>
    </row>
    <row r="79" spans="1:26" hidden="1" x14ac:dyDescent="0.35">
      <c r="A79">
        <v>10388</v>
      </c>
      <c r="B79">
        <v>50</v>
      </c>
      <c r="C79" s="3">
        <v>44.51</v>
      </c>
      <c r="D79">
        <v>5</v>
      </c>
      <c r="E79" s="3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 s="3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  <c r="Z79" s="3">
        <f>Table1[[#This Row],[QUANTITYORDERED]]*Table1[[#This Row],[PRICEEACH]]</f>
        <v>2225.5</v>
      </c>
    </row>
    <row r="80" spans="1:26" hidden="1" x14ac:dyDescent="0.35">
      <c r="A80">
        <v>10402</v>
      </c>
      <c r="B80">
        <v>45</v>
      </c>
      <c r="C80" s="3">
        <v>100</v>
      </c>
      <c r="D80">
        <v>1</v>
      </c>
      <c r="E80" s="3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 s="3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  <c r="Z80" s="3">
        <f>Table1[[#This Row],[QUANTITYORDERED]]*Table1[[#This Row],[PRICEEACH]]</f>
        <v>4500</v>
      </c>
    </row>
    <row r="81" spans="1:26" hidden="1" x14ac:dyDescent="0.35">
      <c r="A81">
        <v>10417</v>
      </c>
      <c r="B81">
        <v>45</v>
      </c>
      <c r="C81" s="3">
        <v>100</v>
      </c>
      <c r="D81">
        <v>5</v>
      </c>
      <c r="E81" s="3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 s="3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  <c r="Z81" s="3">
        <f>Table1[[#This Row],[QUANTITYORDERED]]*Table1[[#This Row],[PRICEEACH]]</f>
        <v>4500</v>
      </c>
    </row>
    <row r="82" spans="1:26" hidden="1" x14ac:dyDescent="0.35">
      <c r="A82">
        <v>10107</v>
      </c>
      <c r="B82">
        <v>27</v>
      </c>
      <c r="C82" s="3">
        <v>100</v>
      </c>
      <c r="D82">
        <v>4</v>
      </c>
      <c r="E82" s="3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 s="3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  <c r="Z82" s="3">
        <f>Table1[[#This Row],[QUANTITYORDERED]]*Table1[[#This Row],[PRICEEACH]]</f>
        <v>2700</v>
      </c>
    </row>
    <row r="83" spans="1:26" hidden="1" x14ac:dyDescent="0.35">
      <c r="A83">
        <v>10120</v>
      </c>
      <c r="B83">
        <v>46</v>
      </c>
      <c r="C83" s="3">
        <v>100</v>
      </c>
      <c r="D83">
        <v>2</v>
      </c>
      <c r="E83" s="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 s="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  <c r="Z83" s="3">
        <f>Table1[[#This Row],[QUANTITYORDERED]]*Table1[[#This Row],[PRICEEACH]]</f>
        <v>4600</v>
      </c>
    </row>
    <row r="84" spans="1:26" hidden="1" x14ac:dyDescent="0.35">
      <c r="A84">
        <v>10134</v>
      </c>
      <c r="B84">
        <v>31</v>
      </c>
      <c r="C84" s="3">
        <v>100</v>
      </c>
      <c r="D84">
        <v>4</v>
      </c>
      <c r="E84" s="3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 s="3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  <c r="Z84" s="3">
        <f>Table1[[#This Row],[QUANTITYORDERED]]*Table1[[#This Row],[PRICEEACH]]</f>
        <v>3100</v>
      </c>
    </row>
    <row r="85" spans="1:26" hidden="1" x14ac:dyDescent="0.35">
      <c r="A85">
        <v>10145</v>
      </c>
      <c r="B85">
        <v>33</v>
      </c>
      <c r="C85" s="3">
        <v>100</v>
      </c>
      <c r="D85">
        <v>8</v>
      </c>
      <c r="E85" s="3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 s="3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  <c r="Z85" s="3">
        <f>Table1[[#This Row],[QUANTITYORDERED]]*Table1[[#This Row],[PRICEEACH]]</f>
        <v>3300</v>
      </c>
    </row>
    <row r="86" spans="1:26" hidden="1" x14ac:dyDescent="0.35">
      <c r="A86">
        <v>10159</v>
      </c>
      <c r="B86">
        <v>22</v>
      </c>
      <c r="C86" s="3">
        <v>100</v>
      </c>
      <c r="D86">
        <v>16</v>
      </c>
      <c r="E86" s="3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 s="3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  <c r="Z86" s="3">
        <f>Table1[[#This Row],[QUANTITYORDERED]]*Table1[[#This Row],[PRICEEACH]]</f>
        <v>2200</v>
      </c>
    </row>
    <row r="87" spans="1:26" hidden="1" x14ac:dyDescent="0.35">
      <c r="A87">
        <v>10168</v>
      </c>
      <c r="B87">
        <v>20</v>
      </c>
      <c r="C87" s="3">
        <v>100</v>
      </c>
      <c r="D87">
        <v>3</v>
      </c>
      <c r="E87" s="3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 s="3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  <c r="Z87" s="3">
        <f>Table1[[#This Row],[QUANTITYORDERED]]*Table1[[#This Row],[PRICEEACH]]</f>
        <v>2000</v>
      </c>
    </row>
    <row r="88" spans="1:26" hidden="1" x14ac:dyDescent="0.35">
      <c r="A88">
        <v>10180</v>
      </c>
      <c r="B88">
        <v>41</v>
      </c>
      <c r="C88" s="3">
        <v>100</v>
      </c>
      <c r="D88">
        <v>11</v>
      </c>
      <c r="E88" s="3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 s="3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  <c r="Z88" s="3">
        <f>Table1[[#This Row],[QUANTITYORDERED]]*Table1[[#This Row],[PRICEEACH]]</f>
        <v>4100</v>
      </c>
    </row>
    <row r="89" spans="1:26" hidden="1" x14ac:dyDescent="0.35">
      <c r="A89">
        <v>10188</v>
      </c>
      <c r="B89">
        <v>45</v>
      </c>
      <c r="C89" s="3">
        <v>100</v>
      </c>
      <c r="D89">
        <v>3</v>
      </c>
      <c r="E89" s="3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 s="3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  <c r="Z89" s="3">
        <f>Table1[[#This Row],[QUANTITYORDERED]]*Table1[[#This Row],[PRICEEACH]]</f>
        <v>4500</v>
      </c>
    </row>
    <row r="90" spans="1:26" hidden="1" x14ac:dyDescent="0.35">
      <c r="A90">
        <v>10201</v>
      </c>
      <c r="B90">
        <v>49</v>
      </c>
      <c r="C90" s="3">
        <v>100</v>
      </c>
      <c r="D90">
        <v>4</v>
      </c>
      <c r="E90" s="3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 s="3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  <c r="Z90" s="3">
        <f>Table1[[#This Row],[QUANTITYORDERED]]*Table1[[#This Row],[PRICEEACH]]</f>
        <v>4900</v>
      </c>
    </row>
    <row r="91" spans="1:26" hidden="1" x14ac:dyDescent="0.35">
      <c r="A91">
        <v>10210</v>
      </c>
      <c r="B91">
        <v>34</v>
      </c>
      <c r="C91" s="3">
        <v>100</v>
      </c>
      <c r="D91">
        <v>1</v>
      </c>
      <c r="E91" s="3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 s="3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  <c r="Z91" s="3">
        <f>Table1[[#This Row],[QUANTITYORDERED]]*Table1[[#This Row],[PRICEEACH]]</f>
        <v>3400</v>
      </c>
    </row>
    <row r="92" spans="1:26" hidden="1" x14ac:dyDescent="0.35">
      <c r="A92">
        <v>10223</v>
      </c>
      <c r="B92">
        <v>49</v>
      </c>
      <c r="C92" s="3">
        <v>100</v>
      </c>
      <c r="D92">
        <v>3</v>
      </c>
      <c r="E92" s="3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 s="3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  <c r="Z92" s="3">
        <f>Table1[[#This Row],[QUANTITYORDERED]]*Table1[[#This Row],[PRICEEACH]]</f>
        <v>4900</v>
      </c>
    </row>
    <row r="93" spans="1:26" hidden="1" x14ac:dyDescent="0.35">
      <c r="A93">
        <v>10237</v>
      </c>
      <c r="B93">
        <v>39</v>
      </c>
      <c r="C93" s="3">
        <v>100</v>
      </c>
      <c r="D93">
        <v>9</v>
      </c>
      <c r="E93" s="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 s="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  <c r="Z93" s="3">
        <f>Table1[[#This Row],[QUANTITYORDERED]]*Table1[[#This Row],[PRICEEACH]]</f>
        <v>3900</v>
      </c>
    </row>
    <row r="94" spans="1:26" hidden="1" x14ac:dyDescent="0.35">
      <c r="A94">
        <v>10251</v>
      </c>
      <c r="B94">
        <v>43</v>
      </c>
      <c r="C94" s="3">
        <v>100</v>
      </c>
      <c r="D94">
        <v>4</v>
      </c>
      <c r="E94" s="3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 s="3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  <c r="Z94" s="3">
        <f>Table1[[#This Row],[QUANTITYORDERED]]*Table1[[#This Row],[PRICEEACH]]</f>
        <v>4300</v>
      </c>
    </row>
    <row r="95" spans="1:26" hidden="1" x14ac:dyDescent="0.35">
      <c r="A95">
        <v>10263</v>
      </c>
      <c r="B95">
        <v>41</v>
      </c>
      <c r="C95" s="3">
        <v>100</v>
      </c>
      <c r="D95">
        <v>4</v>
      </c>
      <c r="E95" s="3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 s="3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  <c r="Z95" s="3">
        <f>Table1[[#This Row],[QUANTITYORDERED]]*Table1[[#This Row],[PRICEEACH]]</f>
        <v>4100</v>
      </c>
    </row>
    <row r="96" spans="1:26" hidden="1" x14ac:dyDescent="0.35">
      <c r="A96">
        <v>10275</v>
      </c>
      <c r="B96">
        <v>36</v>
      </c>
      <c r="C96" s="3">
        <v>100</v>
      </c>
      <c r="D96">
        <v>3</v>
      </c>
      <c r="E96" s="3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 s="3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  <c r="Z96" s="3">
        <f>Table1[[#This Row],[QUANTITYORDERED]]*Table1[[#This Row],[PRICEEACH]]</f>
        <v>3600</v>
      </c>
    </row>
    <row r="97" spans="1:26" hidden="1" x14ac:dyDescent="0.35">
      <c r="A97">
        <v>10285</v>
      </c>
      <c r="B97">
        <v>27</v>
      </c>
      <c r="C97" s="3">
        <v>100</v>
      </c>
      <c r="D97">
        <v>8</v>
      </c>
      <c r="E97" s="3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 s="3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  <c r="Z97" s="3">
        <f>Table1[[#This Row],[QUANTITYORDERED]]*Table1[[#This Row],[PRICEEACH]]</f>
        <v>2700</v>
      </c>
    </row>
    <row r="98" spans="1:26" hidden="1" x14ac:dyDescent="0.35">
      <c r="A98">
        <v>10299</v>
      </c>
      <c r="B98">
        <v>29</v>
      </c>
      <c r="C98" s="3">
        <v>100</v>
      </c>
      <c r="D98">
        <v>11</v>
      </c>
      <c r="E98" s="3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 s="3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  <c r="Z98" s="3">
        <f>Table1[[#This Row],[QUANTITYORDERED]]*Table1[[#This Row],[PRICEEACH]]</f>
        <v>2900</v>
      </c>
    </row>
    <row r="99" spans="1:26" hidden="1" x14ac:dyDescent="0.35">
      <c r="A99">
        <v>10308</v>
      </c>
      <c r="B99">
        <v>20</v>
      </c>
      <c r="C99" s="3">
        <v>100</v>
      </c>
      <c r="D99">
        <v>1</v>
      </c>
      <c r="E99" s="3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 s="3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  <c r="Z99" s="3">
        <f>Table1[[#This Row],[QUANTITYORDERED]]*Table1[[#This Row],[PRICEEACH]]</f>
        <v>2000</v>
      </c>
    </row>
    <row r="100" spans="1:26" hidden="1" x14ac:dyDescent="0.35">
      <c r="A100">
        <v>10318</v>
      </c>
      <c r="B100">
        <v>37</v>
      </c>
      <c r="C100" s="3">
        <v>100</v>
      </c>
      <c r="D100">
        <v>3</v>
      </c>
      <c r="E100" s="3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 s="3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  <c r="Z100" s="3">
        <f>Table1[[#This Row],[QUANTITYORDERED]]*Table1[[#This Row],[PRICEEACH]]</f>
        <v>3700</v>
      </c>
    </row>
    <row r="101" spans="1:26" hidden="1" x14ac:dyDescent="0.35">
      <c r="A101">
        <v>10329</v>
      </c>
      <c r="B101">
        <v>26</v>
      </c>
      <c r="C101" s="3">
        <v>100</v>
      </c>
      <c r="D101">
        <v>3</v>
      </c>
      <c r="E101" s="3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 s="3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  <c r="Z101" s="3">
        <f>Table1[[#This Row],[QUANTITYORDERED]]*Table1[[#This Row],[PRICEEACH]]</f>
        <v>2600</v>
      </c>
    </row>
    <row r="102" spans="1:26" hidden="1" x14ac:dyDescent="0.35">
      <c r="A102">
        <v>10339</v>
      </c>
      <c r="B102">
        <v>39</v>
      </c>
      <c r="C102" s="3">
        <v>76.67</v>
      </c>
      <c r="D102">
        <v>3</v>
      </c>
      <c r="E102" s="3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 s="3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  <c r="Z102" s="3">
        <f>Table1[[#This Row],[QUANTITYORDERED]]*Table1[[#This Row],[PRICEEACH]]</f>
        <v>2990.13</v>
      </c>
    </row>
    <row r="103" spans="1:26" hidden="1" x14ac:dyDescent="0.35">
      <c r="A103">
        <v>10362</v>
      </c>
      <c r="B103">
        <v>22</v>
      </c>
      <c r="C103" s="3">
        <v>100</v>
      </c>
      <c r="D103">
        <v>4</v>
      </c>
      <c r="E103" s="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 s="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  <c r="Z103" s="3">
        <f>Table1[[#This Row],[QUANTITYORDERED]]*Table1[[#This Row],[PRICEEACH]]</f>
        <v>2200</v>
      </c>
    </row>
    <row r="104" spans="1:26" hidden="1" x14ac:dyDescent="0.35">
      <c r="A104">
        <v>10374</v>
      </c>
      <c r="B104">
        <v>22</v>
      </c>
      <c r="C104" s="3">
        <v>100</v>
      </c>
      <c r="D104">
        <v>1</v>
      </c>
      <c r="E104" s="3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 s="3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  <c r="Z104" s="3">
        <f>Table1[[#This Row],[QUANTITYORDERED]]*Table1[[#This Row],[PRICEEACH]]</f>
        <v>2200</v>
      </c>
    </row>
    <row r="105" spans="1:26" hidden="1" x14ac:dyDescent="0.35">
      <c r="A105">
        <v>10388</v>
      </c>
      <c r="B105">
        <v>21</v>
      </c>
      <c r="C105" s="3">
        <v>86.77</v>
      </c>
      <c r="D105">
        <v>7</v>
      </c>
      <c r="E105" s="3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 s="3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  <c r="Z105" s="3">
        <f>Table1[[#This Row],[QUANTITYORDERED]]*Table1[[#This Row],[PRICEEACH]]</f>
        <v>1822.1699999999998</v>
      </c>
    </row>
    <row r="106" spans="1:26" hidden="1" x14ac:dyDescent="0.35">
      <c r="A106">
        <v>10403</v>
      </c>
      <c r="B106">
        <v>66</v>
      </c>
      <c r="C106" s="3">
        <v>100</v>
      </c>
      <c r="D106">
        <v>9</v>
      </c>
      <c r="E106" s="3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 s="3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  <c r="Z106" s="3">
        <f>Table1[[#This Row],[QUANTITYORDERED]]*Table1[[#This Row],[PRICEEACH]]</f>
        <v>6600</v>
      </c>
    </row>
    <row r="107" spans="1:26" hidden="1" x14ac:dyDescent="0.35">
      <c r="A107">
        <v>10417</v>
      </c>
      <c r="B107">
        <v>56</v>
      </c>
      <c r="C107" s="3">
        <v>100</v>
      </c>
      <c r="D107">
        <v>4</v>
      </c>
      <c r="E107" s="3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 s="3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  <c r="Z107" s="3">
        <f>Table1[[#This Row],[QUANTITYORDERED]]*Table1[[#This Row],[PRICEEACH]]</f>
        <v>5600</v>
      </c>
    </row>
    <row r="108" spans="1:26" x14ac:dyDescent="0.35">
      <c r="A108">
        <v>10105</v>
      </c>
      <c r="B108">
        <v>50</v>
      </c>
      <c r="C108" s="3">
        <v>100</v>
      </c>
      <c r="D108">
        <v>2</v>
      </c>
      <c r="E108" s="3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 s="3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  <c r="Z108" s="3">
        <f>Table1[[#This Row],[QUANTITYORDERED]]*Table1[[#This Row],[PRICEEACH]]</f>
        <v>5000</v>
      </c>
    </row>
    <row r="109" spans="1:26" x14ac:dyDescent="0.35">
      <c r="A109">
        <v>10119</v>
      </c>
      <c r="B109">
        <v>46</v>
      </c>
      <c r="C109" s="3">
        <v>100</v>
      </c>
      <c r="D109">
        <v>11</v>
      </c>
      <c r="E109" s="3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 s="3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  <c r="Z109" s="3">
        <f>Table1[[#This Row],[QUANTITYORDERED]]*Table1[[#This Row],[PRICEEACH]]</f>
        <v>4600</v>
      </c>
    </row>
    <row r="110" spans="1:26" x14ac:dyDescent="0.35">
      <c r="A110">
        <v>10129</v>
      </c>
      <c r="B110">
        <v>33</v>
      </c>
      <c r="C110" s="3">
        <v>100</v>
      </c>
      <c r="D110">
        <v>2</v>
      </c>
      <c r="E110" s="3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 s="3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  <c r="Z110" s="3">
        <f>Table1[[#This Row],[QUANTITYORDERED]]*Table1[[#This Row],[PRICEEACH]]</f>
        <v>3300</v>
      </c>
    </row>
    <row r="111" spans="1:26" x14ac:dyDescent="0.35">
      <c r="A111">
        <v>10143</v>
      </c>
      <c r="B111">
        <v>49</v>
      </c>
      <c r="C111" s="3">
        <v>100</v>
      </c>
      <c r="D111">
        <v>15</v>
      </c>
      <c r="E111" s="3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 s="3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  <c r="Z111" s="3">
        <f>Table1[[#This Row],[QUANTITYORDERED]]*Table1[[#This Row],[PRICEEACH]]</f>
        <v>4900</v>
      </c>
    </row>
    <row r="112" spans="1:26" x14ac:dyDescent="0.35">
      <c r="A112">
        <v>10155</v>
      </c>
      <c r="B112">
        <v>32</v>
      </c>
      <c r="C112" s="3">
        <v>100</v>
      </c>
      <c r="D112">
        <v>13</v>
      </c>
      <c r="E112" s="3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 s="3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  <c r="Z112" s="3">
        <f>Table1[[#This Row],[QUANTITYORDERED]]*Table1[[#This Row],[PRICEEACH]]</f>
        <v>3200</v>
      </c>
    </row>
    <row r="113" spans="1:26" x14ac:dyDescent="0.35">
      <c r="A113">
        <v>10167</v>
      </c>
      <c r="B113">
        <v>44</v>
      </c>
      <c r="C113" s="3">
        <v>100</v>
      </c>
      <c r="D113">
        <v>9</v>
      </c>
      <c r="E113" s="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 s="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  <c r="Z113" s="3">
        <f>Table1[[#This Row],[QUANTITYORDERED]]*Table1[[#This Row],[PRICEEACH]]</f>
        <v>4400</v>
      </c>
    </row>
    <row r="114" spans="1:26" x14ac:dyDescent="0.35">
      <c r="A114">
        <v>10178</v>
      </c>
      <c r="B114">
        <v>24</v>
      </c>
      <c r="C114" s="3">
        <v>100</v>
      </c>
      <c r="D114">
        <v>12</v>
      </c>
      <c r="E114" s="3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 s="3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  <c r="Z114" s="3">
        <f>Table1[[#This Row],[QUANTITYORDERED]]*Table1[[#This Row],[PRICEEACH]]</f>
        <v>2400</v>
      </c>
    </row>
    <row r="115" spans="1:26" x14ac:dyDescent="0.35">
      <c r="A115">
        <v>10186</v>
      </c>
      <c r="B115">
        <v>26</v>
      </c>
      <c r="C115" s="3">
        <v>100</v>
      </c>
      <c r="D115">
        <v>9</v>
      </c>
      <c r="E115" s="3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 s="3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  <c r="Z115" s="3">
        <f>Table1[[#This Row],[QUANTITYORDERED]]*Table1[[#This Row],[PRICEEACH]]</f>
        <v>2600</v>
      </c>
    </row>
    <row r="116" spans="1:26" x14ac:dyDescent="0.35">
      <c r="A116">
        <v>10197</v>
      </c>
      <c r="B116">
        <v>45</v>
      </c>
      <c r="C116" s="3">
        <v>100</v>
      </c>
      <c r="D116">
        <v>6</v>
      </c>
      <c r="E116" s="3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 s="3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  <c r="Z116" s="3">
        <f>Table1[[#This Row],[QUANTITYORDERED]]*Table1[[#This Row],[PRICEEACH]]</f>
        <v>4500</v>
      </c>
    </row>
    <row r="117" spans="1:26" x14ac:dyDescent="0.35">
      <c r="A117">
        <v>10209</v>
      </c>
      <c r="B117">
        <v>39</v>
      </c>
      <c r="C117" s="3">
        <v>100</v>
      </c>
      <c r="D117">
        <v>8</v>
      </c>
      <c r="E117" s="3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 s="3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  <c r="Z117" s="3">
        <f>Table1[[#This Row],[QUANTITYORDERED]]*Table1[[#This Row],[PRICEEACH]]</f>
        <v>3900</v>
      </c>
    </row>
    <row r="118" spans="1:26" x14ac:dyDescent="0.35">
      <c r="A118">
        <v>10222</v>
      </c>
      <c r="B118">
        <v>49</v>
      </c>
      <c r="C118" s="3">
        <v>100</v>
      </c>
      <c r="D118">
        <v>12</v>
      </c>
      <c r="E118" s="3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 s="3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  <c r="Z118" s="3">
        <f>Table1[[#This Row],[QUANTITYORDERED]]*Table1[[#This Row],[PRICEEACH]]</f>
        <v>4900</v>
      </c>
    </row>
    <row r="119" spans="1:26" x14ac:dyDescent="0.35">
      <c r="A119">
        <v>10248</v>
      </c>
      <c r="B119">
        <v>20</v>
      </c>
      <c r="C119" s="3">
        <v>100</v>
      </c>
      <c r="D119">
        <v>3</v>
      </c>
      <c r="E119" s="3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 s="3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  <c r="Z119" s="3">
        <f>Table1[[#This Row],[QUANTITYORDERED]]*Table1[[#This Row],[PRICEEACH]]</f>
        <v>2000</v>
      </c>
    </row>
    <row r="120" spans="1:26" x14ac:dyDescent="0.35">
      <c r="A120">
        <v>10261</v>
      </c>
      <c r="B120">
        <v>27</v>
      </c>
      <c r="C120" s="3">
        <v>100</v>
      </c>
      <c r="D120">
        <v>1</v>
      </c>
      <c r="E120" s="3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 s="3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  <c r="Z120" s="3">
        <f>Table1[[#This Row],[QUANTITYORDERED]]*Table1[[#This Row],[PRICEEACH]]</f>
        <v>2700</v>
      </c>
    </row>
    <row r="121" spans="1:26" x14ac:dyDescent="0.35">
      <c r="A121">
        <v>10273</v>
      </c>
      <c r="B121">
        <v>30</v>
      </c>
      <c r="C121" s="3">
        <v>100</v>
      </c>
      <c r="D121">
        <v>4</v>
      </c>
      <c r="E121" s="3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 s="3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  <c r="Z121" s="3">
        <f>Table1[[#This Row],[QUANTITYORDERED]]*Table1[[#This Row],[PRICEEACH]]</f>
        <v>3000</v>
      </c>
    </row>
    <row r="122" spans="1:26" x14ac:dyDescent="0.35">
      <c r="A122">
        <v>10283</v>
      </c>
      <c r="B122">
        <v>25</v>
      </c>
      <c r="C122" s="3">
        <v>100</v>
      </c>
      <c r="D122">
        <v>6</v>
      </c>
      <c r="E122" s="3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 s="3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  <c r="Z122" s="3">
        <f>Table1[[#This Row],[QUANTITYORDERED]]*Table1[[#This Row],[PRICEEACH]]</f>
        <v>2500</v>
      </c>
    </row>
    <row r="123" spans="1:26" x14ac:dyDescent="0.35">
      <c r="A123">
        <v>10295</v>
      </c>
      <c r="B123">
        <v>24</v>
      </c>
      <c r="C123" s="3">
        <v>100</v>
      </c>
      <c r="D123">
        <v>1</v>
      </c>
      <c r="E123" s="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 s="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  <c r="Z123" s="3">
        <f>Table1[[#This Row],[QUANTITYORDERED]]*Table1[[#This Row],[PRICEEACH]]</f>
        <v>2400</v>
      </c>
    </row>
    <row r="124" spans="1:26" x14ac:dyDescent="0.35">
      <c r="A124">
        <v>10307</v>
      </c>
      <c r="B124">
        <v>22</v>
      </c>
      <c r="C124" s="3">
        <v>100</v>
      </c>
      <c r="D124">
        <v>9</v>
      </c>
      <c r="E124" s="3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 s="3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  <c r="Z124" s="3">
        <f>Table1[[#This Row],[QUANTITYORDERED]]*Table1[[#This Row],[PRICEEACH]]</f>
        <v>2200</v>
      </c>
    </row>
    <row r="125" spans="1:26" x14ac:dyDescent="0.35">
      <c r="A125">
        <v>10316</v>
      </c>
      <c r="B125">
        <v>33</v>
      </c>
      <c r="C125" s="3">
        <v>100</v>
      </c>
      <c r="D125">
        <v>17</v>
      </c>
      <c r="E125" s="3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 s="3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  <c r="Z125" s="3">
        <f>Table1[[#This Row],[QUANTITYORDERED]]*Table1[[#This Row],[PRICEEACH]]</f>
        <v>3300</v>
      </c>
    </row>
    <row r="126" spans="1:26" x14ac:dyDescent="0.35">
      <c r="A126">
        <v>10325</v>
      </c>
      <c r="B126">
        <v>47</v>
      </c>
      <c r="C126" s="3">
        <v>64.930000000000007</v>
      </c>
      <c r="D126">
        <v>6</v>
      </c>
      <c r="E126" s="3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 s="3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  <c r="Z126" s="3">
        <f>Table1[[#This Row],[QUANTITYORDERED]]*Table1[[#This Row],[PRICEEACH]]</f>
        <v>3051.7100000000005</v>
      </c>
    </row>
    <row r="127" spans="1:26" x14ac:dyDescent="0.35">
      <c r="A127">
        <v>10337</v>
      </c>
      <c r="B127">
        <v>25</v>
      </c>
      <c r="C127" s="3">
        <v>48.05</v>
      </c>
      <c r="D127">
        <v>8</v>
      </c>
      <c r="E127" s="3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 s="3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  <c r="Z127" s="3">
        <f>Table1[[#This Row],[QUANTITYORDERED]]*Table1[[#This Row],[PRICEEACH]]</f>
        <v>1201.25</v>
      </c>
    </row>
    <row r="128" spans="1:26" x14ac:dyDescent="0.35">
      <c r="A128">
        <v>10350</v>
      </c>
      <c r="B128">
        <v>26</v>
      </c>
      <c r="C128" s="3">
        <v>75.47</v>
      </c>
      <c r="D128">
        <v>5</v>
      </c>
      <c r="E128" s="3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 s="3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  <c r="Z128" s="3">
        <f>Table1[[#This Row],[QUANTITYORDERED]]*Table1[[#This Row],[PRICEEACH]]</f>
        <v>1962.22</v>
      </c>
    </row>
    <row r="129" spans="1:26" x14ac:dyDescent="0.35">
      <c r="A129">
        <v>10359</v>
      </c>
      <c r="B129">
        <v>48</v>
      </c>
      <c r="C129" s="3">
        <v>54.68</v>
      </c>
      <c r="D129">
        <v>6</v>
      </c>
      <c r="E129" s="3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 s="3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  <c r="Z129" s="3">
        <f>Table1[[#This Row],[QUANTITYORDERED]]*Table1[[#This Row],[PRICEEACH]]</f>
        <v>2624.64</v>
      </c>
    </row>
    <row r="130" spans="1:26" x14ac:dyDescent="0.35">
      <c r="A130">
        <v>10373</v>
      </c>
      <c r="B130">
        <v>39</v>
      </c>
      <c r="C130" s="3">
        <v>100</v>
      </c>
      <c r="D130">
        <v>3</v>
      </c>
      <c r="E130" s="3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 s="3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  <c r="Z130" s="3">
        <f>Table1[[#This Row],[QUANTITYORDERED]]*Table1[[#This Row],[PRICEEACH]]</f>
        <v>3900</v>
      </c>
    </row>
    <row r="131" spans="1:26" x14ac:dyDescent="0.35">
      <c r="A131">
        <v>10384</v>
      </c>
      <c r="B131">
        <v>34</v>
      </c>
      <c r="C131" s="3">
        <v>100</v>
      </c>
      <c r="D131">
        <v>4</v>
      </c>
      <c r="E131" s="3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 s="3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  <c r="Z131" s="3">
        <f>Table1[[#This Row],[QUANTITYORDERED]]*Table1[[#This Row],[PRICEEACH]]</f>
        <v>3400</v>
      </c>
    </row>
    <row r="132" spans="1:26" x14ac:dyDescent="0.35">
      <c r="A132">
        <v>10395</v>
      </c>
      <c r="B132">
        <v>32</v>
      </c>
      <c r="C132" s="3">
        <v>100</v>
      </c>
      <c r="D132">
        <v>2</v>
      </c>
      <c r="E132" s="3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 s="3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  <c r="Z132" s="3">
        <f>Table1[[#This Row],[QUANTITYORDERED]]*Table1[[#This Row],[PRICEEACH]]</f>
        <v>3200</v>
      </c>
    </row>
    <row r="133" spans="1:26" x14ac:dyDescent="0.35">
      <c r="A133">
        <v>10400</v>
      </c>
      <c r="B133">
        <v>64</v>
      </c>
      <c r="C133" s="3">
        <v>100</v>
      </c>
      <c r="D133">
        <v>9</v>
      </c>
      <c r="E133" s="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 s="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  <c r="Z133" s="3">
        <f>Table1[[#This Row],[QUANTITYORDERED]]*Table1[[#This Row],[PRICEEACH]]</f>
        <v>6400</v>
      </c>
    </row>
    <row r="134" spans="1:26" x14ac:dyDescent="0.35">
      <c r="A134">
        <v>10414</v>
      </c>
      <c r="B134">
        <v>19</v>
      </c>
      <c r="C134" s="3">
        <v>100</v>
      </c>
      <c r="D134">
        <v>3</v>
      </c>
      <c r="E134" s="3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 s="3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  <c r="Z134" s="3">
        <f>Table1[[#This Row],[QUANTITYORDERED]]*Table1[[#This Row],[PRICEEACH]]</f>
        <v>1900</v>
      </c>
    </row>
    <row r="135" spans="1:26" x14ac:dyDescent="0.35">
      <c r="A135">
        <v>10103</v>
      </c>
      <c r="B135">
        <v>42</v>
      </c>
      <c r="C135" s="3">
        <v>100</v>
      </c>
      <c r="D135">
        <v>4</v>
      </c>
      <c r="E135" s="3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 s="3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  <c r="Z135" s="3">
        <f>Table1[[#This Row],[QUANTITYORDERED]]*Table1[[#This Row],[PRICEEACH]]</f>
        <v>4200</v>
      </c>
    </row>
    <row r="136" spans="1:26" x14ac:dyDescent="0.35">
      <c r="A136">
        <v>10114</v>
      </c>
      <c r="B136">
        <v>31</v>
      </c>
      <c r="C136" s="3">
        <v>100</v>
      </c>
      <c r="D136">
        <v>8</v>
      </c>
      <c r="E136" s="3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 s="3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  <c r="Z136" s="3">
        <f>Table1[[#This Row],[QUANTITYORDERED]]*Table1[[#This Row],[PRICEEACH]]</f>
        <v>3100</v>
      </c>
    </row>
    <row r="137" spans="1:26" x14ac:dyDescent="0.35">
      <c r="A137">
        <v>10126</v>
      </c>
      <c r="B137">
        <v>22</v>
      </c>
      <c r="C137" s="3">
        <v>100</v>
      </c>
      <c r="D137">
        <v>4</v>
      </c>
      <c r="E137" s="3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 s="3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  <c r="Z137" s="3">
        <f>Table1[[#This Row],[QUANTITYORDERED]]*Table1[[#This Row],[PRICEEACH]]</f>
        <v>2200</v>
      </c>
    </row>
    <row r="138" spans="1:26" x14ac:dyDescent="0.35">
      <c r="A138">
        <v>10140</v>
      </c>
      <c r="B138">
        <v>26</v>
      </c>
      <c r="C138" s="3">
        <v>100</v>
      </c>
      <c r="D138">
        <v>4</v>
      </c>
      <c r="E138" s="3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 s="3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  <c r="Z138" s="3">
        <f>Table1[[#This Row],[QUANTITYORDERED]]*Table1[[#This Row],[PRICEEACH]]</f>
        <v>2600</v>
      </c>
    </row>
    <row r="139" spans="1:26" x14ac:dyDescent="0.35">
      <c r="A139">
        <v>10150</v>
      </c>
      <c r="B139">
        <v>20</v>
      </c>
      <c r="C139" s="3">
        <v>100</v>
      </c>
      <c r="D139">
        <v>1</v>
      </c>
      <c r="E139" s="3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 s="3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  <c r="Z139" s="3">
        <f>Table1[[#This Row],[QUANTITYORDERED]]*Table1[[#This Row],[PRICEEACH]]</f>
        <v>2000</v>
      </c>
    </row>
    <row r="140" spans="1:26" x14ac:dyDescent="0.35">
      <c r="A140">
        <v>10164</v>
      </c>
      <c r="B140">
        <v>21</v>
      </c>
      <c r="C140" s="3">
        <v>100</v>
      </c>
      <c r="D140">
        <v>2</v>
      </c>
      <c r="E140" s="3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 s="3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  <c r="Z140" s="3">
        <f>Table1[[#This Row],[QUANTITYORDERED]]*Table1[[#This Row],[PRICEEACH]]</f>
        <v>2100</v>
      </c>
    </row>
    <row r="141" spans="1:26" x14ac:dyDescent="0.35">
      <c r="A141">
        <v>10175</v>
      </c>
      <c r="B141">
        <v>33</v>
      </c>
      <c r="C141" s="3">
        <v>100</v>
      </c>
      <c r="D141">
        <v>9</v>
      </c>
      <c r="E141" s="3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 s="3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  <c r="Z141" s="3">
        <f>Table1[[#This Row],[QUANTITYORDERED]]*Table1[[#This Row],[PRICEEACH]]</f>
        <v>3300</v>
      </c>
    </row>
    <row r="142" spans="1:26" x14ac:dyDescent="0.35">
      <c r="A142">
        <v>10183</v>
      </c>
      <c r="B142">
        <v>28</v>
      </c>
      <c r="C142" s="3">
        <v>100</v>
      </c>
      <c r="D142">
        <v>1</v>
      </c>
      <c r="E142" s="3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 s="3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  <c r="Z142" s="3">
        <f>Table1[[#This Row],[QUANTITYORDERED]]*Table1[[#This Row],[PRICEEACH]]</f>
        <v>2800</v>
      </c>
    </row>
    <row r="143" spans="1:26" x14ac:dyDescent="0.35">
      <c r="A143">
        <v>10194</v>
      </c>
      <c r="B143">
        <v>26</v>
      </c>
      <c r="C143" s="3">
        <v>100</v>
      </c>
      <c r="D143">
        <v>4</v>
      </c>
      <c r="E143" s="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 s="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  <c r="Z143" s="3">
        <f>Table1[[#This Row],[QUANTITYORDERED]]*Table1[[#This Row],[PRICEEACH]]</f>
        <v>2600</v>
      </c>
    </row>
    <row r="144" spans="1:26" x14ac:dyDescent="0.35">
      <c r="A144">
        <v>10207</v>
      </c>
      <c r="B144">
        <v>31</v>
      </c>
      <c r="C144" s="3">
        <v>100</v>
      </c>
      <c r="D144">
        <v>15</v>
      </c>
      <c r="E144" s="3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 s="3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  <c r="Z144" s="3">
        <f>Table1[[#This Row],[QUANTITYORDERED]]*Table1[[#This Row],[PRICEEACH]]</f>
        <v>3100</v>
      </c>
    </row>
    <row r="145" spans="1:26" x14ac:dyDescent="0.35">
      <c r="A145">
        <v>10217</v>
      </c>
      <c r="B145">
        <v>48</v>
      </c>
      <c r="C145" s="3">
        <v>100</v>
      </c>
      <c r="D145">
        <v>4</v>
      </c>
      <c r="E145" s="3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 s="3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  <c r="Z145" s="3">
        <f>Table1[[#This Row],[QUANTITYORDERED]]*Table1[[#This Row],[PRICEEACH]]</f>
        <v>4800</v>
      </c>
    </row>
    <row r="146" spans="1:26" x14ac:dyDescent="0.35">
      <c r="A146">
        <v>10229</v>
      </c>
      <c r="B146">
        <v>50</v>
      </c>
      <c r="C146" s="3">
        <v>100</v>
      </c>
      <c r="D146">
        <v>9</v>
      </c>
      <c r="E146" s="3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 s="3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  <c r="Z146" s="3">
        <f>Table1[[#This Row],[QUANTITYORDERED]]*Table1[[#This Row],[PRICEEACH]]</f>
        <v>5000</v>
      </c>
    </row>
    <row r="147" spans="1:26" x14ac:dyDescent="0.35">
      <c r="A147">
        <v>10245</v>
      </c>
      <c r="B147">
        <v>28</v>
      </c>
      <c r="C147" s="3">
        <v>100</v>
      </c>
      <c r="D147">
        <v>2</v>
      </c>
      <c r="E147" s="3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 s="3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  <c r="Z147" s="3">
        <f>Table1[[#This Row],[QUANTITYORDERED]]*Table1[[#This Row],[PRICEEACH]]</f>
        <v>2800</v>
      </c>
    </row>
    <row r="148" spans="1:26" x14ac:dyDescent="0.35">
      <c r="A148">
        <v>10259</v>
      </c>
      <c r="B148">
        <v>26</v>
      </c>
      <c r="C148" s="3">
        <v>100</v>
      </c>
      <c r="D148">
        <v>12</v>
      </c>
      <c r="E148" s="3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 s="3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  <c r="Z148" s="3">
        <f>Table1[[#This Row],[QUANTITYORDERED]]*Table1[[#This Row],[PRICEEACH]]</f>
        <v>2600</v>
      </c>
    </row>
    <row r="149" spans="1:26" x14ac:dyDescent="0.35">
      <c r="A149">
        <v>10270</v>
      </c>
      <c r="B149">
        <v>32</v>
      </c>
      <c r="C149" s="3">
        <v>100</v>
      </c>
      <c r="D149">
        <v>2</v>
      </c>
      <c r="E149" s="3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 s="3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  <c r="Z149" s="3">
        <f>Table1[[#This Row],[QUANTITYORDERED]]*Table1[[#This Row],[PRICEEACH]]</f>
        <v>3200</v>
      </c>
    </row>
    <row r="150" spans="1:26" x14ac:dyDescent="0.35">
      <c r="A150">
        <v>10281</v>
      </c>
      <c r="B150">
        <v>44</v>
      </c>
      <c r="C150" s="3">
        <v>100</v>
      </c>
      <c r="D150">
        <v>9</v>
      </c>
      <c r="E150" s="3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 s="3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  <c r="Z150" s="3">
        <f>Table1[[#This Row],[QUANTITYORDERED]]*Table1[[#This Row],[PRICEEACH]]</f>
        <v>4400</v>
      </c>
    </row>
    <row r="151" spans="1:26" x14ac:dyDescent="0.35">
      <c r="A151">
        <v>10291</v>
      </c>
      <c r="B151">
        <v>30</v>
      </c>
      <c r="C151" s="3">
        <v>100</v>
      </c>
      <c r="D151">
        <v>4</v>
      </c>
      <c r="E151" s="3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 s="3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  <c r="Z151" s="3">
        <f>Table1[[#This Row],[QUANTITYORDERED]]*Table1[[#This Row],[PRICEEACH]]</f>
        <v>3000</v>
      </c>
    </row>
    <row r="152" spans="1:26" x14ac:dyDescent="0.35">
      <c r="A152">
        <v>10305</v>
      </c>
      <c r="B152">
        <v>38</v>
      </c>
      <c r="C152" s="3">
        <v>100</v>
      </c>
      <c r="D152">
        <v>13</v>
      </c>
      <c r="E152" s="3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 s="3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  <c r="Z152" s="3">
        <f>Table1[[#This Row],[QUANTITYORDERED]]*Table1[[#This Row],[PRICEEACH]]</f>
        <v>3800</v>
      </c>
    </row>
    <row r="153" spans="1:26" x14ac:dyDescent="0.35">
      <c r="A153">
        <v>10313</v>
      </c>
      <c r="B153">
        <v>40</v>
      </c>
      <c r="C153" s="3">
        <v>100</v>
      </c>
      <c r="D153">
        <v>7</v>
      </c>
      <c r="E153" s="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 s="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  <c r="Z153" s="3">
        <f>Table1[[#This Row],[QUANTITYORDERED]]*Table1[[#This Row],[PRICEEACH]]</f>
        <v>4000</v>
      </c>
    </row>
    <row r="154" spans="1:26" x14ac:dyDescent="0.35">
      <c r="A154">
        <v>10322</v>
      </c>
      <c r="B154">
        <v>46</v>
      </c>
      <c r="C154" s="3">
        <v>61.99</v>
      </c>
      <c r="D154">
        <v>8</v>
      </c>
      <c r="E154" s="3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 s="3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  <c r="Z154" s="3">
        <f>Table1[[#This Row],[QUANTITYORDERED]]*Table1[[#This Row],[PRICEEACH]]</f>
        <v>2851.54</v>
      </c>
    </row>
    <row r="155" spans="1:26" x14ac:dyDescent="0.35">
      <c r="A155">
        <v>10334</v>
      </c>
      <c r="B155">
        <v>26</v>
      </c>
      <c r="C155" s="3">
        <v>100</v>
      </c>
      <c r="D155">
        <v>2</v>
      </c>
      <c r="E155" s="3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 s="3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  <c r="Z155" s="3">
        <f>Table1[[#This Row],[QUANTITYORDERED]]*Table1[[#This Row],[PRICEEACH]]</f>
        <v>2600</v>
      </c>
    </row>
    <row r="156" spans="1:26" x14ac:dyDescent="0.35">
      <c r="A156">
        <v>10347</v>
      </c>
      <c r="B156">
        <v>27</v>
      </c>
      <c r="C156" s="3">
        <v>100</v>
      </c>
      <c r="D156">
        <v>2</v>
      </c>
      <c r="E156" s="3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 s="3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  <c r="Z156" s="3">
        <f>Table1[[#This Row],[QUANTITYORDERED]]*Table1[[#This Row],[PRICEEACH]]</f>
        <v>2700</v>
      </c>
    </row>
    <row r="157" spans="1:26" x14ac:dyDescent="0.35">
      <c r="A157">
        <v>10357</v>
      </c>
      <c r="B157">
        <v>43</v>
      </c>
      <c r="C157" s="3">
        <v>100</v>
      </c>
      <c r="D157">
        <v>9</v>
      </c>
      <c r="E157" s="3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 s="3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  <c r="Z157" s="3">
        <f>Table1[[#This Row],[QUANTITYORDERED]]*Table1[[#This Row],[PRICEEACH]]</f>
        <v>4300</v>
      </c>
    </row>
    <row r="158" spans="1:26" x14ac:dyDescent="0.35">
      <c r="A158">
        <v>10370</v>
      </c>
      <c r="B158">
        <v>35</v>
      </c>
      <c r="C158" s="3">
        <v>65.63</v>
      </c>
      <c r="D158">
        <v>4</v>
      </c>
      <c r="E158" s="3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 s="3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  <c r="Z158" s="3">
        <f>Table1[[#This Row],[QUANTITYORDERED]]*Table1[[#This Row],[PRICEEACH]]</f>
        <v>2297.0499999999997</v>
      </c>
    </row>
    <row r="159" spans="1:26" x14ac:dyDescent="0.35">
      <c r="A159">
        <v>10381</v>
      </c>
      <c r="B159">
        <v>37</v>
      </c>
      <c r="C159" s="3">
        <v>100</v>
      </c>
      <c r="D159">
        <v>6</v>
      </c>
      <c r="E159" s="3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 s="3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  <c r="Z159" s="3">
        <f>Table1[[#This Row],[QUANTITYORDERED]]*Table1[[#This Row],[PRICEEACH]]</f>
        <v>3700</v>
      </c>
    </row>
    <row r="160" spans="1:26" x14ac:dyDescent="0.35">
      <c r="A160">
        <v>10391</v>
      </c>
      <c r="B160">
        <v>37</v>
      </c>
      <c r="C160" s="3">
        <v>46.9</v>
      </c>
      <c r="D160">
        <v>7</v>
      </c>
      <c r="E160" s="3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 s="3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  <c r="Z160" s="3">
        <f>Table1[[#This Row],[QUANTITYORDERED]]*Table1[[#This Row],[PRICEEACH]]</f>
        <v>1735.3</v>
      </c>
    </row>
    <row r="161" spans="1:26" x14ac:dyDescent="0.35">
      <c r="A161">
        <v>10411</v>
      </c>
      <c r="B161">
        <v>27</v>
      </c>
      <c r="C161" s="3">
        <v>100</v>
      </c>
      <c r="D161">
        <v>2</v>
      </c>
      <c r="E161" s="3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 s="3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  <c r="Z161" s="3">
        <f>Table1[[#This Row],[QUANTITYORDERED]]*Table1[[#This Row],[PRICEEACH]]</f>
        <v>2700</v>
      </c>
    </row>
    <row r="162" spans="1:26" x14ac:dyDescent="0.35">
      <c r="A162">
        <v>10425</v>
      </c>
      <c r="B162">
        <v>38</v>
      </c>
      <c r="C162" s="3">
        <v>100</v>
      </c>
      <c r="D162">
        <v>12</v>
      </c>
      <c r="E162" s="3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 s="3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  <c r="Z162" s="3">
        <f>Table1[[#This Row],[QUANTITYORDERED]]*Table1[[#This Row],[PRICEEACH]]</f>
        <v>3800</v>
      </c>
    </row>
    <row r="163" spans="1:26" x14ac:dyDescent="0.35">
      <c r="A163">
        <v>10108</v>
      </c>
      <c r="B163">
        <v>33</v>
      </c>
      <c r="C163" s="3">
        <v>100</v>
      </c>
      <c r="D163">
        <v>6</v>
      </c>
      <c r="E163" s="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 s="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  <c r="Z163" s="3">
        <f>Table1[[#This Row],[QUANTITYORDERED]]*Table1[[#This Row],[PRICEEACH]]</f>
        <v>3300</v>
      </c>
    </row>
    <row r="164" spans="1:26" x14ac:dyDescent="0.35">
      <c r="A164">
        <v>10122</v>
      </c>
      <c r="B164">
        <v>42</v>
      </c>
      <c r="C164" s="3">
        <v>100</v>
      </c>
      <c r="D164">
        <v>10</v>
      </c>
      <c r="E164" s="3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 s="3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  <c r="Z164" s="3">
        <f>Table1[[#This Row],[QUANTITYORDERED]]*Table1[[#This Row],[PRICEEACH]]</f>
        <v>4200</v>
      </c>
    </row>
    <row r="165" spans="1:26" x14ac:dyDescent="0.35">
      <c r="A165">
        <v>10135</v>
      </c>
      <c r="B165">
        <v>42</v>
      </c>
      <c r="C165" s="3">
        <v>100</v>
      </c>
      <c r="D165">
        <v>7</v>
      </c>
      <c r="E165" s="3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 s="3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  <c r="Z165" s="3">
        <f>Table1[[#This Row],[QUANTITYORDERED]]*Table1[[#This Row],[PRICEEACH]]</f>
        <v>4200</v>
      </c>
    </row>
    <row r="166" spans="1:26" x14ac:dyDescent="0.35">
      <c r="A166">
        <v>10147</v>
      </c>
      <c r="B166">
        <v>48</v>
      </c>
      <c r="C166" s="3">
        <v>100</v>
      </c>
      <c r="D166">
        <v>7</v>
      </c>
      <c r="E166" s="3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 s="3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  <c r="Z166" s="3">
        <f>Table1[[#This Row],[QUANTITYORDERED]]*Table1[[#This Row],[PRICEEACH]]</f>
        <v>4800</v>
      </c>
    </row>
    <row r="167" spans="1:26" x14ac:dyDescent="0.35">
      <c r="A167">
        <v>10159</v>
      </c>
      <c r="B167">
        <v>41</v>
      </c>
      <c r="C167" s="3">
        <v>100</v>
      </c>
      <c r="D167">
        <v>2</v>
      </c>
      <c r="E167" s="3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 s="3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  <c r="Z167" s="3">
        <f>Table1[[#This Row],[QUANTITYORDERED]]*Table1[[#This Row],[PRICEEACH]]</f>
        <v>4100</v>
      </c>
    </row>
    <row r="168" spans="1:26" x14ac:dyDescent="0.35">
      <c r="A168">
        <v>10169</v>
      </c>
      <c r="B168">
        <v>30</v>
      </c>
      <c r="C168" s="3">
        <v>100</v>
      </c>
      <c r="D168">
        <v>2</v>
      </c>
      <c r="E168" s="3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 s="3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  <c r="Z168" s="3">
        <f>Table1[[#This Row],[QUANTITYORDERED]]*Table1[[#This Row],[PRICEEACH]]</f>
        <v>3000</v>
      </c>
    </row>
    <row r="169" spans="1:26" x14ac:dyDescent="0.35">
      <c r="A169">
        <v>10181</v>
      </c>
      <c r="B169">
        <v>27</v>
      </c>
      <c r="C169" s="3">
        <v>100</v>
      </c>
      <c r="D169">
        <v>14</v>
      </c>
      <c r="E169" s="3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 s="3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  <c r="Z169" s="3">
        <f>Table1[[#This Row],[QUANTITYORDERED]]*Table1[[#This Row],[PRICEEACH]]</f>
        <v>2700</v>
      </c>
    </row>
    <row r="170" spans="1:26" x14ac:dyDescent="0.35">
      <c r="A170">
        <v>10191</v>
      </c>
      <c r="B170">
        <v>21</v>
      </c>
      <c r="C170" s="3">
        <v>100</v>
      </c>
      <c r="D170">
        <v>3</v>
      </c>
      <c r="E170" s="3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 s="3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  <c r="Z170" s="3">
        <f>Table1[[#This Row],[QUANTITYORDERED]]*Table1[[#This Row],[PRICEEACH]]</f>
        <v>2100</v>
      </c>
    </row>
    <row r="171" spans="1:26" x14ac:dyDescent="0.35">
      <c r="A171">
        <v>10203</v>
      </c>
      <c r="B171">
        <v>20</v>
      </c>
      <c r="C171" s="3">
        <v>100</v>
      </c>
      <c r="D171">
        <v>8</v>
      </c>
      <c r="E171" s="3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 s="3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  <c r="Z171" s="3">
        <f>Table1[[#This Row],[QUANTITYORDERED]]*Table1[[#This Row],[PRICEEACH]]</f>
        <v>2000</v>
      </c>
    </row>
    <row r="172" spans="1:26" x14ac:dyDescent="0.35">
      <c r="A172">
        <v>10211</v>
      </c>
      <c r="B172">
        <v>41</v>
      </c>
      <c r="C172" s="3">
        <v>100</v>
      </c>
      <c r="D172">
        <v>2</v>
      </c>
      <c r="E172" s="3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 s="3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  <c r="Z172" s="3">
        <f>Table1[[#This Row],[QUANTITYORDERED]]*Table1[[#This Row],[PRICEEACH]]</f>
        <v>4100</v>
      </c>
    </row>
    <row r="173" spans="1:26" x14ac:dyDescent="0.35">
      <c r="A173">
        <v>10225</v>
      </c>
      <c r="B173">
        <v>27</v>
      </c>
      <c r="C173" s="3">
        <v>100</v>
      </c>
      <c r="D173">
        <v>9</v>
      </c>
      <c r="E173" s="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 s="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  <c r="Z173" s="3">
        <f>Table1[[#This Row],[QUANTITYORDERED]]*Table1[[#This Row],[PRICEEACH]]</f>
        <v>2700</v>
      </c>
    </row>
    <row r="174" spans="1:26" x14ac:dyDescent="0.35">
      <c r="A174">
        <v>10238</v>
      </c>
      <c r="B174">
        <v>28</v>
      </c>
      <c r="C174" s="3">
        <v>100</v>
      </c>
      <c r="D174">
        <v>3</v>
      </c>
      <c r="E174" s="3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 s="3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  <c r="Z174" s="3">
        <f>Table1[[#This Row],[QUANTITYORDERED]]*Table1[[#This Row],[PRICEEACH]]</f>
        <v>2800</v>
      </c>
    </row>
    <row r="175" spans="1:26" x14ac:dyDescent="0.35">
      <c r="A175">
        <v>10253</v>
      </c>
      <c r="B175">
        <v>24</v>
      </c>
      <c r="C175" s="3">
        <v>100</v>
      </c>
      <c r="D175">
        <v>13</v>
      </c>
      <c r="E175" s="3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 s="3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  <c r="Z175" s="3">
        <f>Table1[[#This Row],[QUANTITYORDERED]]*Table1[[#This Row],[PRICEEACH]]</f>
        <v>2400</v>
      </c>
    </row>
    <row r="176" spans="1:26" x14ac:dyDescent="0.35">
      <c r="A176">
        <v>10266</v>
      </c>
      <c r="B176">
        <v>44</v>
      </c>
      <c r="C176" s="3">
        <v>100</v>
      </c>
      <c r="D176">
        <v>14</v>
      </c>
      <c r="E176" s="3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 s="3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  <c r="Z176" s="3">
        <f>Table1[[#This Row],[QUANTITYORDERED]]*Table1[[#This Row],[PRICEEACH]]</f>
        <v>4400</v>
      </c>
    </row>
    <row r="177" spans="1:26" x14ac:dyDescent="0.35">
      <c r="A177">
        <v>10276</v>
      </c>
      <c r="B177">
        <v>50</v>
      </c>
      <c r="C177" s="3">
        <v>100</v>
      </c>
      <c r="D177">
        <v>3</v>
      </c>
      <c r="E177" s="3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 s="3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  <c r="Z177" s="3">
        <f>Table1[[#This Row],[QUANTITYORDERED]]*Table1[[#This Row],[PRICEEACH]]</f>
        <v>5000</v>
      </c>
    </row>
    <row r="178" spans="1:26" x14ac:dyDescent="0.35">
      <c r="A178">
        <v>10287</v>
      </c>
      <c r="B178">
        <v>21</v>
      </c>
      <c r="C178" s="3">
        <v>100</v>
      </c>
      <c r="D178">
        <v>12</v>
      </c>
      <c r="E178" s="3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 s="3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  <c r="Z178" s="3">
        <f>Table1[[#This Row],[QUANTITYORDERED]]*Table1[[#This Row],[PRICEEACH]]</f>
        <v>2100</v>
      </c>
    </row>
    <row r="179" spans="1:26" x14ac:dyDescent="0.35">
      <c r="A179">
        <v>10300</v>
      </c>
      <c r="B179">
        <v>33</v>
      </c>
      <c r="C179" s="3">
        <v>100</v>
      </c>
      <c r="D179">
        <v>5</v>
      </c>
      <c r="E179" s="3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 s="3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  <c r="Z179" s="3">
        <f>Table1[[#This Row],[QUANTITYORDERED]]*Table1[[#This Row],[PRICEEACH]]</f>
        <v>3300</v>
      </c>
    </row>
    <row r="180" spans="1:26" x14ac:dyDescent="0.35">
      <c r="A180">
        <v>10310</v>
      </c>
      <c r="B180">
        <v>33</v>
      </c>
      <c r="C180" s="3">
        <v>100</v>
      </c>
      <c r="D180">
        <v>10</v>
      </c>
      <c r="E180" s="3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 s="3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  <c r="Z180" s="3">
        <f>Table1[[#This Row],[QUANTITYORDERED]]*Table1[[#This Row],[PRICEEACH]]</f>
        <v>3300</v>
      </c>
    </row>
    <row r="181" spans="1:26" x14ac:dyDescent="0.35">
      <c r="A181">
        <v>10320</v>
      </c>
      <c r="B181">
        <v>31</v>
      </c>
      <c r="C181" s="3">
        <v>100</v>
      </c>
      <c r="D181">
        <v>3</v>
      </c>
      <c r="E181" s="3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 s="3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  <c r="Z181" s="3">
        <f>Table1[[#This Row],[QUANTITYORDERED]]*Table1[[#This Row],[PRICEEACH]]</f>
        <v>3100</v>
      </c>
    </row>
    <row r="182" spans="1:26" x14ac:dyDescent="0.35">
      <c r="A182">
        <v>10329</v>
      </c>
      <c r="B182">
        <v>41</v>
      </c>
      <c r="C182" s="3">
        <v>71.47</v>
      </c>
      <c r="D182">
        <v>5</v>
      </c>
      <c r="E182" s="3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 s="3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  <c r="Z182" s="3">
        <f>Table1[[#This Row],[QUANTITYORDERED]]*Table1[[#This Row],[PRICEEACH]]</f>
        <v>2930.27</v>
      </c>
    </row>
    <row r="183" spans="1:26" x14ac:dyDescent="0.35">
      <c r="A183">
        <v>10341</v>
      </c>
      <c r="B183">
        <v>45</v>
      </c>
      <c r="C183" s="3">
        <v>79.650000000000006</v>
      </c>
      <c r="D183">
        <v>2</v>
      </c>
      <c r="E183" s="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 s="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  <c r="Z183" s="3">
        <f>Table1[[#This Row],[QUANTITYORDERED]]*Table1[[#This Row],[PRICEEACH]]</f>
        <v>3584.2500000000005</v>
      </c>
    </row>
    <row r="184" spans="1:26" x14ac:dyDescent="0.35">
      <c r="A184">
        <v>10363</v>
      </c>
      <c r="B184">
        <v>33</v>
      </c>
      <c r="C184" s="3">
        <v>85.39</v>
      </c>
      <c r="D184">
        <v>3</v>
      </c>
      <c r="E184" s="3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 s="3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  <c r="Z184" s="3">
        <f>Table1[[#This Row],[QUANTITYORDERED]]*Table1[[#This Row],[PRICEEACH]]</f>
        <v>2817.87</v>
      </c>
    </row>
    <row r="185" spans="1:26" x14ac:dyDescent="0.35">
      <c r="A185">
        <v>10375</v>
      </c>
      <c r="B185">
        <v>45</v>
      </c>
      <c r="C185" s="3">
        <v>76</v>
      </c>
      <c r="D185">
        <v>7</v>
      </c>
      <c r="E185" s="3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 s="3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  <c r="Z185" s="3">
        <f>Table1[[#This Row],[QUANTITYORDERED]]*Table1[[#This Row],[PRICEEACH]]</f>
        <v>3420</v>
      </c>
    </row>
    <row r="186" spans="1:26" x14ac:dyDescent="0.35">
      <c r="A186">
        <v>10389</v>
      </c>
      <c r="B186">
        <v>26</v>
      </c>
      <c r="C186" s="3">
        <v>99.04</v>
      </c>
      <c r="D186">
        <v>4</v>
      </c>
      <c r="E186" s="3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 s="3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  <c r="Z186" s="3">
        <f>Table1[[#This Row],[QUANTITYORDERED]]*Table1[[#This Row],[PRICEEACH]]</f>
        <v>2575.04</v>
      </c>
    </row>
    <row r="187" spans="1:26" x14ac:dyDescent="0.35">
      <c r="A187">
        <v>10419</v>
      </c>
      <c r="B187">
        <v>12</v>
      </c>
      <c r="C187" s="3">
        <v>100</v>
      </c>
      <c r="D187">
        <v>13</v>
      </c>
      <c r="E187" s="3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 s="3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  <c r="Z187" s="3">
        <f>Table1[[#This Row],[QUANTITYORDERED]]*Table1[[#This Row],[PRICEEACH]]</f>
        <v>1200</v>
      </c>
    </row>
    <row r="188" spans="1:26" x14ac:dyDescent="0.35">
      <c r="A188">
        <v>10105</v>
      </c>
      <c r="B188">
        <v>41</v>
      </c>
      <c r="C188" s="3">
        <v>100</v>
      </c>
      <c r="D188">
        <v>15</v>
      </c>
      <c r="E188" s="3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 s="3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  <c r="Z188" s="3">
        <f>Table1[[#This Row],[QUANTITYORDERED]]*Table1[[#This Row],[PRICEEACH]]</f>
        <v>4100</v>
      </c>
    </row>
    <row r="189" spans="1:26" x14ac:dyDescent="0.35">
      <c r="A189">
        <v>10117</v>
      </c>
      <c r="B189">
        <v>33</v>
      </c>
      <c r="C189" s="3">
        <v>100</v>
      </c>
      <c r="D189">
        <v>9</v>
      </c>
      <c r="E189" s="3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 s="3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  <c r="Z189" s="3">
        <f>Table1[[#This Row],[QUANTITYORDERED]]*Table1[[#This Row],[PRICEEACH]]</f>
        <v>3300</v>
      </c>
    </row>
    <row r="190" spans="1:26" x14ac:dyDescent="0.35">
      <c r="A190">
        <v>10127</v>
      </c>
      <c r="B190">
        <v>46</v>
      </c>
      <c r="C190" s="3">
        <v>100</v>
      </c>
      <c r="D190">
        <v>2</v>
      </c>
      <c r="E190" s="3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 s="3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  <c r="Z190" s="3">
        <f>Table1[[#This Row],[QUANTITYORDERED]]*Table1[[#This Row],[PRICEEACH]]</f>
        <v>4600</v>
      </c>
    </row>
    <row r="191" spans="1:26" x14ac:dyDescent="0.35">
      <c r="A191">
        <v>10142</v>
      </c>
      <c r="B191">
        <v>33</v>
      </c>
      <c r="C191" s="3">
        <v>100</v>
      </c>
      <c r="D191">
        <v>12</v>
      </c>
      <c r="E191" s="3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 s="3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  <c r="Z191" s="3">
        <f>Table1[[#This Row],[QUANTITYORDERED]]*Table1[[#This Row],[PRICEEACH]]</f>
        <v>3300</v>
      </c>
    </row>
    <row r="192" spans="1:26" x14ac:dyDescent="0.35">
      <c r="A192">
        <v>10153</v>
      </c>
      <c r="B192">
        <v>20</v>
      </c>
      <c r="C192" s="3">
        <v>100</v>
      </c>
      <c r="D192">
        <v>11</v>
      </c>
      <c r="E192" s="3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 s="3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  <c r="Z192" s="3">
        <f>Table1[[#This Row],[QUANTITYORDERED]]*Table1[[#This Row],[PRICEEACH]]</f>
        <v>2000</v>
      </c>
    </row>
    <row r="193" spans="1:26" x14ac:dyDescent="0.35">
      <c r="A193">
        <v>10165</v>
      </c>
      <c r="B193">
        <v>44</v>
      </c>
      <c r="C193" s="3">
        <v>100</v>
      </c>
      <c r="D193">
        <v>3</v>
      </c>
      <c r="E193" s="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 s="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  <c r="Z193" s="3">
        <f>Table1[[#This Row],[QUANTITYORDERED]]*Table1[[#This Row],[PRICEEACH]]</f>
        <v>4400</v>
      </c>
    </row>
    <row r="194" spans="1:26" x14ac:dyDescent="0.35">
      <c r="A194">
        <v>10176</v>
      </c>
      <c r="B194">
        <v>33</v>
      </c>
      <c r="C194" s="3">
        <v>100</v>
      </c>
      <c r="D194">
        <v>2</v>
      </c>
      <c r="E194" s="3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 s="3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  <c r="Z194" s="3">
        <f>Table1[[#This Row],[QUANTITYORDERED]]*Table1[[#This Row],[PRICEEACH]]</f>
        <v>3300</v>
      </c>
    </row>
    <row r="195" spans="1:26" x14ac:dyDescent="0.35">
      <c r="A195">
        <v>10185</v>
      </c>
      <c r="B195">
        <v>21</v>
      </c>
      <c r="C195" s="3">
        <v>100</v>
      </c>
      <c r="D195">
        <v>13</v>
      </c>
      <c r="E195" s="3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 s="3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  <c r="Z195" s="3">
        <f>Table1[[#This Row],[QUANTITYORDERED]]*Table1[[#This Row],[PRICEEACH]]</f>
        <v>2100</v>
      </c>
    </row>
    <row r="196" spans="1:26" x14ac:dyDescent="0.35">
      <c r="A196">
        <v>10196</v>
      </c>
      <c r="B196">
        <v>47</v>
      </c>
      <c r="C196" s="3">
        <v>100</v>
      </c>
      <c r="D196">
        <v>5</v>
      </c>
      <c r="E196" s="3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 s="3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  <c r="Z196" s="3">
        <f>Table1[[#This Row],[QUANTITYORDERED]]*Table1[[#This Row],[PRICEEACH]]</f>
        <v>4700</v>
      </c>
    </row>
    <row r="197" spans="1:26" x14ac:dyDescent="0.35">
      <c r="A197">
        <v>10208</v>
      </c>
      <c r="B197">
        <v>46</v>
      </c>
      <c r="C197" s="3">
        <v>100</v>
      </c>
      <c r="D197">
        <v>13</v>
      </c>
      <c r="E197" s="3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 s="3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  <c r="Z197" s="3">
        <f>Table1[[#This Row],[QUANTITYORDERED]]*Table1[[#This Row],[PRICEEACH]]</f>
        <v>4600</v>
      </c>
    </row>
    <row r="198" spans="1:26" x14ac:dyDescent="0.35">
      <c r="A198">
        <v>10220</v>
      </c>
      <c r="B198">
        <v>32</v>
      </c>
      <c r="C198" s="3">
        <v>100</v>
      </c>
      <c r="D198">
        <v>2</v>
      </c>
      <c r="E198" s="3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 s="3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  <c r="Z198" s="3">
        <f>Table1[[#This Row],[QUANTITYORDERED]]*Table1[[#This Row],[PRICEEACH]]</f>
        <v>3200</v>
      </c>
    </row>
    <row r="199" spans="1:26" x14ac:dyDescent="0.35">
      <c r="A199">
        <v>10231</v>
      </c>
      <c r="B199">
        <v>42</v>
      </c>
      <c r="C199" s="3">
        <v>100</v>
      </c>
      <c r="D199">
        <v>2</v>
      </c>
      <c r="E199" s="3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 s="3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  <c r="Z199" s="3">
        <f>Table1[[#This Row],[QUANTITYORDERED]]*Table1[[#This Row],[PRICEEACH]]</f>
        <v>4200</v>
      </c>
    </row>
    <row r="200" spans="1:26" x14ac:dyDescent="0.35">
      <c r="A200">
        <v>10247</v>
      </c>
      <c r="B200">
        <v>44</v>
      </c>
      <c r="C200" s="3">
        <v>100</v>
      </c>
      <c r="D200">
        <v>2</v>
      </c>
      <c r="E200" s="3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 s="3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  <c r="Z200" s="3">
        <f>Table1[[#This Row],[QUANTITYORDERED]]*Table1[[#This Row],[PRICEEACH]]</f>
        <v>4400</v>
      </c>
    </row>
    <row r="201" spans="1:26" x14ac:dyDescent="0.35">
      <c r="A201">
        <v>10272</v>
      </c>
      <c r="B201">
        <v>35</v>
      </c>
      <c r="C201" s="3">
        <v>100</v>
      </c>
      <c r="D201">
        <v>2</v>
      </c>
      <c r="E201" s="3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 s="3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  <c r="Z201" s="3">
        <f>Table1[[#This Row],[QUANTITYORDERED]]*Table1[[#This Row],[PRICEEACH]]</f>
        <v>3500</v>
      </c>
    </row>
    <row r="202" spans="1:26" x14ac:dyDescent="0.35">
      <c r="A202">
        <v>10282</v>
      </c>
      <c r="B202">
        <v>41</v>
      </c>
      <c r="C202" s="3">
        <v>100</v>
      </c>
      <c r="D202">
        <v>5</v>
      </c>
      <c r="E202" s="3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 s="3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  <c r="Z202" s="3">
        <f>Table1[[#This Row],[QUANTITYORDERED]]*Table1[[#This Row],[PRICEEACH]]</f>
        <v>4100</v>
      </c>
    </row>
    <row r="203" spans="1:26" x14ac:dyDescent="0.35">
      <c r="A203">
        <v>10293</v>
      </c>
      <c r="B203">
        <v>46</v>
      </c>
      <c r="C203" s="3">
        <v>100</v>
      </c>
      <c r="D203">
        <v>8</v>
      </c>
      <c r="E203" s="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 s="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  <c r="Z203" s="3">
        <f>Table1[[#This Row],[QUANTITYORDERED]]*Table1[[#This Row],[PRICEEACH]]</f>
        <v>4600</v>
      </c>
    </row>
    <row r="204" spans="1:26" x14ac:dyDescent="0.35">
      <c r="A204">
        <v>10306</v>
      </c>
      <c r="B204">
        <v>31</v>
      </c>
      <c r="C204" s="3">
        <v>100</v>
      </c>
      <c r="D204">
        <v>13</v>
      </c>
      <c r="E204" s="3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 s="3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  <c r="Z204" s="3">
        <f>Table1[[#This Row],[QUANTITYORDERED]]*Table1[[#This Row],[PRICEEACH]]</f>
        <v>3100</v>
      </c>
    </row>
    <row r="205" spans="1:26" x14ac:dyDescent="0.35">
      <c r="A205">
        <v>10314</v>
      </c>
      <c r="B205">
        <v>38</v>
      </c>
      <c r="C205" s="3">
        <v>100</v>
      </c>
      <c r="D205">
        <v>5</v>
      </c>
      <c r="E205" s="3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 s="3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  <c r="Z205" s="3">
        <f>Table1[[#This Row],[QUANTITYORDERED]]*Table1[[#This Row],[PRICEEACH]]</f>
        <v>3800</v>
      </c>
    </row>
    <row r="206" spans="1:26" x14ac:dyDescent="0.35">
      <c r="A206">
        <v>10325</v>
      </c>
      <c r="B206">
        <v>42</v>
      </c>
      <c r="C206" s="3">
        <v>64</v>
      </c>
      <c r="D206">
        <v>8</v>
      </c>
      <c r="E206" s="3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 s="3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  <c r="Z206" s="3">
        <f>Table1[[#This Row],[QUANTITYORDERED]]*Table1[[#This Row],[PRICEEACH]]</f>
        <v>2688</v>
      </c>
    </row>
    <row r="207" spans="1:26" x14ac:dyDescent="0.35">
      <c r="A207">
        <v>10336</v>
      </c>
      <c r="B207">
        <v>33</v>
      </c>
      <c r="C207" s="3">
        <v>57.22</v>
      </c>
      <c r="D207">
        <v>10</v>
      </c>
      <c r="E207" s="3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 s="3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  <c r="Z207" s="3">
        <f>Table1[[#This Row],[QUANTITYORDERED]]*Table1[[#This Row],[PRICEEACH]]</f>
        <v>1888.26</v>
      </c>
    </row>
    <row r="208" spans="1:26" x14ac:dyDescent="0.35">
      <c r="A208">
        <v>10348</v>
      </c>
      <c r="B208">
        <v>48</v>
      </c>
      <c r="C208" s="3">
        <v>52.36</v>
      </c>
      <c r="D208">
        <v>8</v>
      </c>
      <c r="E208" s="3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 s="3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  <c r="Z208" s="3">
        <f>Table1[[#This Row],[QUANTITYORDERED]]*Table1[[#This Row],[PRICEEACH]]</f>
        <v>2513.2799999999997</v>
      </c>
    </row>
    <row r="209" spans="1:26" x14ac:dyDescent="0.35">
      <c r="A209">
        <v>10359</v>
      </c>
      <c r="B209">
        <v>42</v>
      </c>
      <c r="C209" s="3">
        <v>100</v>
      </c>
      <c r="D209">
        <v>8</v>
      </c>
      <c r="E209" s="3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 s="3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  <c r="Z209" s="3">
        <f>Table1[[#This Row],[QUANTITYORDERED]]*Table1[[#This Row],[PRICEEACH]]</f>
        <v>4200</v>
      </c>
    </row>
    <row r="210" spans="1:26" x14ac:dyDescent="0.35">
      <c r="A210">
        <v>10371</v>
      </c>
      <c r="B210">
        <v>32</v>
      </c>
      <c r="C210" s="3">
        <v>100</v>
      </c>
      <c r="D210">
        <v>6</v>
      </c>
      <c r="E210" s="3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 s="3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  <c r="Z210" s="3">
        <f>Table1[[#This Row],[QUANTITYORDERED]]*Table1[[#This Row],[PRICEEACH]]</f>
        <v>3200</v>
      </c>
    </row>
    <row r="211" spans="1:26" x14ac:dyDescent="0.35">
      <c r="A211">
        <v>10382</v>
      </c>
      <c r="B211">
        <v>34</v>
      </c>
      <c r="C211" s="3">
        <v>100</v>
      </c>
      <c r="D211">
        <v>10</v>
      </c>
      <c r="E211" s="3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 s="3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  <c r="Z211" s="3">
        <f>Table1[[#This Row],[QUANTITYORDERED]]*Table1[[#This Row],[PRICEEACH]]</f>
        <v>3400</v>
      </c>
    </row>
    <row r="212" spans="1:26" x14ac:dyDescent="0.35">
      <c r="A212">
        <v>10395</v>
      </c>
      <c r="B212">
        <v>33</v>
      </c>
      <c r="C212" s="3">
        <v>69.12</v>
      </c>
      <c r="D212">
        <v>1</v>
      </c>
      <c r="E212" s="3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 s="3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  <c r="Z212" s="3">
        <f>Table1[[#This Row],[QUANTITYORDERED]]*Table1[[#This Row],[PRICEEACH]]</f>
        <v>2280.96</v>
      </c>
    </row>
    <row r="213" spans="1:26" x14ac:dyDescent="0.35">
      <c r="A213">
        <v>10413</v>
      </c>
      <c r="B213">
        <v>36</v>
      </c>
      <c r="C213" s="3">
        <v>100</v>
      </c>
      <c r="D213">
        <v>2</v>
      </c>
      <c r="E213" s="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 s="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  <c r="Z213" s="3">
        <f>Table1[[#This Row],[QUANTITYORDERED]]*Table1[[#This Row],[PRICEEACH]]</f>
        <v>3600</v>
      </c>
    </row>
    <row r="214" spans="1:26" hidden="1" x14ac:dyDescent="0.35">
      <c r="A214">
        <v>10103</v>
      </c>
      <c r="B214">
        <v>27</v>
      </c>
      <c r="C214" s="3">
        <v>100</v>
      </c>
      <c r="D214">
        <v>8</v>
      </c>
      <c r="E214" s="3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 s="3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  <c r="Z214" s="3">
        <f>Table1[[#This Row],[QUANTITYORDERED]]*Table1[[#This Row],[PRICEEACH]]</f>
        <v>2700</v>
      </c>
    </row>
    <row r="215" spans="1:26" hidden="1" x14ac:dyDescent="0.35">
      <c r="A215">
        <v>10113</v>
      </c>
      <c r="B215">
        <v>21</v>
      </c>
      <c r="C215" s="3">
        <v>100</v>
      </c>
      <c r="D215">
        <v>2</v>
      </c>
      <c r="E215" s="3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 s="3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  <c r="Z215" s="3">
        <f>Table1[[#This Row],[QUANTITYORDERED]]*Table1[[#This Row],[PRICEEACH]]</f>
        <v>2100</v>
      </c>
    </row>
    <row r="216" spans="1:26" hidden="1" x14ac:dyDescent="0.35">
      <c r="A216">
        <v>10126</v>
      </c>
      <c r="B216">
        <v>21</v>
      </c>
      <c r="C216" s="3">
        <v>100</v>
      </c>
      <c r="D216">
        <v>8</v>
      </c>
      <c r="E216" s="3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 s="3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  <c r="Z216" s="3">
        <f>Table1[[#This Row],[QUANTITYORDERED]]*Table1[[#This Row],[PRICEEACH]]</f>
        <v>2100</v>
      </c>
    </row>
    <row r="217" spans="1:26" hidden="1" x14ac:dyDescent="0.35">
      <c r="A217">
        <v>10140</v>
      </c>
      <c r="B217">
        <v>38</v>
      </c>
      <c r="C217" s="3">
        <v>100</v>
      </c>
      <c r="D217">
        <v>8</v>
      </c>
      <c r="E217" s="3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 s="3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  <c r="Z217" s="3">
        <f>Table1[[#This Row],[QUANTITYORDERED]]*Table1[[#This Row],[PRICEEACH]]</f>
        <v>3800</v>
      </c>
    </row>
    <row r="218" spans="1:26" hidden="1" x14ac:dyDescent="0.35">
      <c r="A218">
        <v>10150</v>
      </c>
      <c r="B218">
        <v>30</v>
      </c>
      <c r="C218" s="3">
        <v>100</v>
      </c>
      <c r="D218">
        <v>5</v>
      </c>
      <c r="E218" s="3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 s="3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  <c r="Z218" s="3">
        <f>Table1[[#This Row],[QUANTITYORDERED]]*Table1[[#This Row],[PRICEEACH]]</f>
        <v>3000</v>
      </c>
    </row>
    <row r="219" spans="1:26" hidden="1" x14ac:dyDescent="0.35">
      <c r="A219">
        <v>10164</v>
      </c>
      <c r="B219">
        <v>49</v>
      </c>
      <c r="C219" s="3">
        <v>100</v>
      </c>
      <c r="D219">
        <v>6</v>
      </c>
      <c r="E219" s="3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 s="3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  <c r="Z219" s="3">
        <f>Table1[[#This Row],[QUANTITYORDERED]]*Table1[[#This Row],[PRICEEACH]]</f>
        <v>4900</v>
      </c>
    </row>
    <row r="220" spans="1:26" hidden="1" x14ac:dyDescent="0.35">
      <c r="A220">
        <v>10174</v>
      </c>
      <c r="B220">
        <v>43</v>
      </c>
      <c r="C220" s="3">
        <v>100</v>
      </c>
      <c r="D220">
        <v>1</v>
      </c>
      <c r="E220" s="3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 s="3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  <c r="Z220" s="3">
        <f>Table1[[#This Row],[QUANTITYORDERED]]*Table1[[#This Row],[PRICEEACH]]</f>
        <v>4300</v>
      </c>
    </row>
    <row r="221" spans="1:26" hidden="1" x14ac:dyDescent="0.35">
      <c r="A221">
        <v>10183</v>
      </c>
      <c r="B221">
        <v>41</v>
      </c>
      <c r="C221" s="3">
        <v>100</v>
      </c>
      <c r="D221">
        <v>5</v>
      </c>
      <c r="E221" s="3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 s="3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  <c r="Z221" s="3">
        <f>Table1[[#This Row],[QUANTITYORDERED]]*Table1[[#This Row],[PRICEEACH]]</f>
        <v>4100</v>
      </c>
    </row>
    <row r="222" spans="1:26" hidden="1" x14ac:dyDescent="0.35">
      <c r="A222">
        <v>10194</v>
      </c>
      <c r="B222">
        <v>38</v>
      </c>
      <c r="C222" s="3">
        <v>100</v>
      </c>
      <c r="D222">
        <v>8</v>
      </c>
      <c r="E222" s="3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 s="3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  <c r="Z222" s="3">
        <f>Table1[[#This Row],[QUANTITYORDERED]]*Table1[[#This Row],[PRICEEACH]]</f>
        <v>3800</v>
      </c>
    </row>
    <row r="223" spans="1:26" hidden="1" x14ac:dyDescent="0.35">
      <c r="A223">
        <v>10206</v>
      </c>
      <c r="B223">
        <v>28</v>
      </c>
      <c r="C223" s="3">
        <v>100</v>
      </c>
      <c r="D223">
        <v>3</v>
      </c>
      <c r="E223" s="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 s="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  <c r="Z223" s="3">
        <f>Table1[[#This Row],[QUANTITYORDERED]]*Table1[[#This Row],[PRICEEACH]]</f>
        <v>2800</v>
      </c>
    </row>
    <row r="224" spans="1:26" hidden="1" x14ac:dyDescent="0.35">
      <c r="A224">
        <v>10216</v>
      </c>
      <c r="B224">
        <v>43</v>
      </c>
      <c r="C224" s="3">
        <v>100</v>
      </c>
      <c r="D224">
        <v>1</v>
      </c>
      <c r="E224" s="3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 s="3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  <c r="Z224" s="3">
        <f>Table1[[#This Row],[QUANTITYORDERED]]*Table1[[#This Row],[PRICEEACH]]</f>
        <v>4300</v>
      </c>
    </row>
    <row r="225" spans="1:26" hidden="1" x14ac:dyDescent="0.35">
      <c r="A225">
        <v>10229</v>
      </c>
      <c r="B225">
        <v>25</v>
      </c>
      <c r="C225" s="3">
        <v>100</v>
      </c>
      <c r="D225">
        <v>13</v>
      </c>
      <c r="E225" s="3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 s="3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  <c r="Z225" s="3">
        <f>Table1[[#This Row],[QUANTITYORDERED]]*Table1[[#This Row],[PRICEEACH]]</f>
        <v>2500</v>
      </c>
    </row>
    <row r="226" spans="1:26" hidden="1" x14ac:dyDescent="0.35">
      <c r="A226">
        <v>10245</v>
      </c>
      <c r="B226">
        <v>38</v>
      </c>
      <c r="C226" s="3">
        <v>100</v>
      </c>
      <c r="D226">
        <v>6</v>
      </c>
      <c r="E226" s="3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 s="3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  <c r="Z226" s="3">
        <f>Table1[[#This Row],[QUANTITYORDERED]]*Table1[[#This Row],[PRICEEACH]]</f>
        <v>3800</v>
      </c>
    </row>
    <row r="227" spans="1:26" hidden="1" x14ac:dyDescent="0.35">
      <c r="A227">
        <v>10258</v>
      </c>
      <c r="B227">
        <v>41</v>
      </c>
      <c r="C227" s="3">
        <v>100</v>
      </c>
      <c r="D227">
        <v>3</v>
      </c>
      <c r="E227" s="3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 s="3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  <c r="Z227" s="3">
        <f>Table1[[#This Row],[QUANTITYORDERED]]*Table1[[#This Row],[PRICEEACH]]</f>
        <v>4100</v>
      </c>
    </row>
    <row r="228" spans="1:26" hidden="1" x14ac:dyDescent="0.35">
      <c r="A228">
        <v>10270</v>
      </c>
      <c r="B228">
        <v>28</v>
      </c>
      <c r="C228" s="3">
        <v>100</v>
      </c>
      <c r="D228">
        <v>6</v>
      </c>
      <c r="E228" s="3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 s="3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  <c r="Z228" s="3">
        <f>Table1[[#This Row],[QUANTITYORDERED]]*Table1[[#This Row],[PRICEEACH]]</f>
        <v>2800</v>
      </c>
    </row>
    <row r="229" spans="1:26" hidden="1" x14ac:dyDescent="0.35">
      <c r="A229">
        <v>10281</v>
      </c>
      <c r="B229">
        <v>25</v>
      </c>
      <c r="C229" s="3">
        <v>100</v>
      </c>
      <c r="D229">
        <v>13</v>
      </c>
      <c r="E229" s="3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 s="3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  <c r="Z229" s="3">
        <f>Table1[[#This Row],[QUANTITYORDERED]]*Table1[[#This Row],[PRICEEACH]]</f>
        <v>2500</v>
      </c>
    </row>
    <row r="230" spans="1:26" hidden="1" x14ac:dyDescent="0.35">
      <c r="A230">
        <v>10291</v>
      </c>
      <c r="B230">
        <v>41</v>
      </c>
      <c r="C230" s="3">
        <v>100</v>
      </c>
      <c r="D230">
        <v>8</v>
      </c>
      <c r="E230" s="3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 s="3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  <c r="Z230" s="3">
        <f>Table1[[#This Row],[QUANTITYORDERED]]*Table1[[#This Row],[PRICEEACH]]</f>
        <v>4100</v>
      </c>
    </row>
    <row r="231" spans="1:26" hidden="1" x14ac:dyDescent="0.35">
      <c r="A231">
        <v>10304</v>
      </c>
      <c r="B231">
        <v>39</v>
      </c>
      <c r="C231" s="3">
        <v>100</v>
      </c>
      <c r="D231">
        <v>3</v>
      </c>
      <c r="E231" s="3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 s="3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  <c r="Z231" s="3">
        <f>Table1[[#This Row],[QUANTITYORDERED]]*Table1[[#This Row],[PRICEEACH]]</f>
        <v>3900</v>
      </c>
    </row>
    <row r="232" spans="1:26" hidden="1" x14ac:dyDescent="0.35">
      <c r="A232">
        <v>10313</v>
      </c>
      <c r="B232">
        <v>21</v>
      </c>
      <c r="C232" s="3">
        <v>100</v>
      </c>
      <c r="D232">
        <v>11</v>
      </c>
      <c r="E232" s="3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 s="3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  <c r="Z232" s="3">
        <f>Table1[[#This Row],[QUANTITYORDERED]]*Table1[[#This Row],[PRICEEACH]]</f>
        <v>2100</v>
      </c>
    </row>
    <row r="233" spans="1:26" hidden="1" x14ac:dyDescent="0.35">
      <c r="A233">
        <v>10322</v>
      </c>
      <c r="B233">
        <v>27</v>
      </c>
      <c r="C233" s="3">
        <v>100</v>
      </c>
      <c r="D233">
        <v>9</v>
      </c>
      <c r="E233" s="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 s="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  <c r="Z233" s="3">
        <f>Table1[[#This Row],[QUANTITYORDERED]]*Table1[[#This Row],[PRICEEACH]]</f>
        <v>2700</v>
      </c>
    </row>
    <row r="234" spans="1:26" hidden="1" x14ac:dyDescent="0.35">
      <c r="A234">
        <v>10333</v>
      </c>
      <c r="B234">
        <v>33</v>
      </c>
      <c r="C234" s="3">
        <v>99.21</v>
      </c>
      <c r="D234">
        <v>6</v>
      </c>
      <c r="E234" s="3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 s="3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  <c r="Z234" s="3">
        <f>Table1[[#This Row],[QUANTITYORDERED]]*Table1[[#This Row],[PRICEEACH]]</f>
        <v>3273.93</v>
      </c>
    </row>
    <row r="235" spans="1:26" hidden="1" x14ac:dyDescent="0.35">
      <c r="A235">
        <v>10347</v>
      </c>
      <c r="B235">
        <v>29</v>
      </c>
      <c r="C235" s="3">
        <v>100</v>
      </c>
      <c r="D235">
        <v>3</v>
      </c>
      <c r="E235" s="3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 s="3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  <c r="Z235" s="3">
        <f>Table1[[#This Row],[QUANTITYORDERED]]*Table1[[#This Row],[PRICEEACH]]</f>
        <v>2900</v>
      </c>
    </row>
    <row r="236" spans="1:26" hidden="1" x14ac:dyDescent="0.35">
      <c r="A236">
        <v>10357</v>
      </c>
      <c r="B236">
        <v>49</v>
      </c>
      <c r="C236" s="3">
        <v>100</v>
      </c>
      <c r="D236">
        <v>8</v>
      </c>
      <c r="E236" s="3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 s="3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  <c r="Z236" s="3">
        <f>Table1[[#This Row],[QUANTITYORDERED]]*Table1[[#This Row],[PRICEEACH]]</f>
        <v>4900</v>
      </c>
    </row>
    <row r="237" spans="1:26" hidden="1" x14ac:dyDescent="0.35">
      <c r="A237">
        <v>10370</v>
      </c>
      <c r="B237">
        <v>49</v>
      </c>
      <c r="C237" s="3">
        <v>100</v>
      </c>
      <c r="D237">
        <v>8</v>
      </c>
      <c r="E237" s="3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 s="3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  <c r="Z237" s="3">
        <f>Table1[[#This Row],[QUANTITYORDERED]]*Table1[[#This Row],[PRICEEACH]]</f>
        <v>4900</v>
      </c>
    </row>
    <row r="238" spans="1:26" hidden="1" x14ac:dyDescent="0.35">
      <c r="A238">
        <v>10381</v>
      </c>
      <c r="B238">
        <v>20</v>
      </c>
      <c r="C238" s="3">
        <v>100</v>
      </c>
      <c r="D238">
        <v>1</v>
      </c>
      <c r="E238" s="3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 s="3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  <c r="Z238" s="3">
        <f>Table1[[#This Row],[QUANTITYORDERED]]*Table1[[#This Row],[PRICEEACH]]</f>
        <v>2000</v>
      </c>
    </row>
    <row r="239" spans="1:26" hidden="1" x14ac:dyDescent="0.35">
      <c r="A239">
        <v>10391</v>
      </c>
      <c r="B239">
        <v>39</v>
      </c>
      <c r="C239" s="3">
        <v>63.2</v>
      </c>
      <c r="D239">
        <v>9</v>
      </c>
      <c r="E239" s="3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 s="3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  <c r="Z239" s="3">
        <f>Table1[[#This Row],[QUANTITYORDERED]]*Table1[[#This Row],[PRICEEACH]]</f>
        <v>2464.8000000000002</v>
      </c>
    </row>
    <row r="240" spans="1:26" hidden="1" x14ac:dyDescent="0.35">
      <c r="A240">
        <v>10411</v>
      </c>
      <c r="B240">
        <v>40</v>
      </c>
      <c r="C240" s="3">
        <v>100</v>
      </c>
      <c r="D240">
        <v>6</v>
      </c>
      <c r="E240" s="3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 s="3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  <c r="Z240" s="3">
        <f>Table1[[#This Row],[QUANTITYORDERED]]*Table1[[#This Row],[PRICEEACH]]</f>
        <v>4000</v>
      </c>
    </row>
    <row r="241" spans="1:26" hidden="1" x14ac:dyDescent="0.35">
      <c r="A241">
        <v>10424</v>
      </c>
      <c r="B241">
        <v>49</v>
      </c>
      <c r="C241" s="3">
        <v>100</v>
      </c>
      <c r="D241">
        <v>3</v>
      </c>
      <c r="E241" s="3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 s="3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  <c r="Z241" s="3">
        <f>Table1[[#This Row],[QUANTITYORDERED]]*Table1[[#This Row],[PRICEEACH]]</f>
        <v>4900</v>
      </c>
    </row>
    <row r="242" spans="1:26" hidden="1" x14ac:dyDescent="0.35">
      <c r="A242">
        <v>10107</v>
      </c>
      <c r="B242">
        <v>21</v>
      </c>
      <c r="C242" s="3">
        <v>100</v>
      </c>
      <c r="D242">
        <v>1</v>
      </c>
      <c r="E242" s="3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 s="3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  <c r="Z242" s="3">
        <f>Table1[[#This Row],[QUANTITYORDERED]]*Table1[[#This Row],[PRICEEACH]]</f>
        <v>2100</v>
      </c>
    </row>
    <row r="243" spans="1:26" hidden="1" x14ac:dyDescent="0.35">
      <c r="A243">
        <v>10121</v>
      </c>
      <c r="B243">
        <v>50</v>
      </c>
      <c r="C243" s="3">
        <v>100</v>
      </c>
      <c r="D243">
        <v>4</v>
      </c>
      <c r="E243" s="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 s="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  <c r="Z243" s="3">
        <f>Table1[[#This Row],[QUANTITYORDERED]]*Table1[[#This Row],[PRICEEACH]]</f>
        <v>5000</v>
      </c>
    </row>
    <row r="244" spans="1:26" hidden="1" x14ac:dyDescent="0.35">
      <c r="A244">
        <v>10134</v>
      </c>
      <c r="B244">
        <v>20</v>
      </c>
      <c r="C244" s="3">
        <v>100</v>
      </c>
      <c r="D244">
        <v>1</v>
      </c>
      <c r="E244" s="3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 s="3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  <c r="Z244" s="3">
        <f>Table1[[#This Row],[QUANTITYORDERED]]*Table1[[#This Row],[PRICEEACH]]</f>
        <v>2000</v>
      </c>
    </row>
    <row r="245" spans="1:26" hidden="1" x14ac:dyDescent="0.35">
      <c r="A245">
        <v>10145</v>
      </c>
      <c r="B245">
        <v>49</v>
      </c>
      <c r="C245" s="3">
        <v>100</v>
      </c>
      <c r="D245">
        <v>5</v>
      </c>
      <c r="E245" s="3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 s="3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  <c r="Z245" s="3">
        <f>Table1[[#This Row],[QUANTITYORDERED]]*Table1[[#This Row],[PRICEEACH]]</f>
        <v>4900</v>
      </c>
    </row>
    <row r="246" spans="1:26" hidden="1" x14ac:dyDescent="0.35">
      <c r="A246">
        <v>10159</v>
      </c>
      <c r="B246">
        <v>38</v>
      </c>
      <c r="C246" s="3">
        <v>100</v>
      </c>
      <c r="D246">
        <v>13</v>
      </c>
      <c r="E246" s="3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 s="3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  <c r="Z246" s="3">
        <f>Table1[[#This Row],[QUANTITYORDERED]]*Table1[[#This Row],[PRICEEACH]]</f>
        <v>3800</v>
      </c>
    </row>
    <row r="247" spans="1:26" hidden="1" x14ac:dyDescent="0.35">
      <c r="A247">
        <v>10169</v>
      </c>
      <c r="B247">
        <v>35</v>
      </c>
      <c r="C247" s="3">
        <v>100</v>
      </c>
      <c r="D247">
        <v>13</v>
      </c>
      <c r="E247" s="3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 s="3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  <c r="Z247" s="3">
        <f>Table1[[#This Row],[QUANTITYORDERED]]*Table1[[#This Row],[PRICEEACH]]</f>
        <v>3500</v>
      </c>
    </row>
    <row r="248" spans="1:26" hidden="1" x14ac:dyDescent="0.35">
      <c r="A248">
        <v>10180</v>
      </c>
      <c r="B248">
        <v>40</v>
      </c>
      <c r="C248" s="3">
        <v>100</v>
      </c>
      <c r="D248">
        <v>8</v>
      </c>
      <c r="E248" s="3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 s="3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  <c r="Z248" s="3">
        <f>Table1[[#This Row],[QUANTITYORDERED]]*Table1[[#This Row],[PRICEEACH]]</f>
        <v>4000</v>
      </c>
    </row>
    <row r="249" spans="1:26" hidden="1" x14ac:dyDescent="0.35">
      <c r="A249">
        <v>10189</v>
      </c>
      <c r="B249">
        <v>28</v>
      </c>
      <c r="C249" s="3">
        <v>100</v>
      </c>
      <c r="D249">
        <v>1</v>
      </c>
      <c r="E249" s="3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 s="3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  <c r="Z249" s="3">
        <f>Table1[[#This Row],[QUANTITYORDERED]]*Table1[[#This Row],[PRICEEACH]]</f>
        <v>2800</v>
      </c>
    </row>
    <row r="250" spans="1:26" hidden="1" x14ac:dyDescent="0.35">
      <c r="A250">
        <v>10201</v>
      </c>
      <c r="B250">
        <v>25</v>
      </c>
      <c r="C250" s="3">
        <v>100</v>
      </c>
      <c r="D250">
        <v>1</v>
      </c>
      <c r="E250" s="3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 s="3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  <c r="Z250" s="3">
        <f>Table1[[#This Row],[QUANTITYORDERED]]*Table1[[#This Row],[PRICEEACH]]</f>
        <v>2500</v>
      </c>
    </row>
    <row r="251" spans="1:26" hidden="1" x14ac:dyDescent="0.35">
      <c r="A251">
        <v>10211</v>
      </c>
      <c r="B251">
        <v>36</v>
      </c>
      <c r="C251" s="3">
        <v>100</v>
      </c>
      <c r="D251">
        <v>13</v>
      </c>
      <c r="E251" s="3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 s="3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  <c r="Z251" s="3">
        <f>Table1[[#This Row],[QUANTITYORDERED]]*Table1[[#This Row],[PRICEEACH]]</f>
        <v>3600</v>
      </c>
    </row>
    <row r="252" spans="1:26" hidden="1" x14ac:dyDescent="0.35">
      <c r="A252">
        <v>10224</v>
      </c>
      <c r="B252">
        <v>43</v>
      </c>
      <c r="C252" s="3">
        <v>100</v>
      </c>
      <c r="D252">
        <v>6</v>
      </c>
      <c r="E252" s="3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 s="3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  <c r="Z252" s="3">
        <f>Table1[[#This Row],[QUANTITYORDERED]]*Table1[[#This Row],[PRICEEACH]]</f>
        <v>4300</v>
      </c>
    </row>
    <row r="253" spans="1:26" hidden="1" x14ac:dyDescent="0.35">
      <c r="A253">
        <v>10237</v>
      </c>
      <c r="B253">
        <v>32</v>
      </c>
      <c r="C253" s="3">
        <v>100</v>
      </c>
      <c r="D253">
        <v>6</v>
      </c>
      <c r="E253" s="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 s="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  <c r="Z253" s="3">
        <f>Table1[[#This Row],[QUANTITYORDERED]]*Table1[[#This Row],[PRICEEACH]]</f>
        <v>3200</v>
      </c>
    </row>
    <row r="254" spans="1:26" hidden="1" x14ac:dyDescent="0.35">
      <c r="A254">
        <v>10251</v>
      </c>
      <c r="B254">
        <v>46</v>
      </c>
      <c r="C254" s="3">
        <v>100</v>
      </c>
      <c r="D254">
        <v>1</v>
      </c>
      <c r="E254" s="3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 s="3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  <c r="Z254" s="3">
        <f>Table1[[#This Row],[QUANTITYORDERED]]*Table1[[#This Row],[PRICEEACH]]</f>
        <v>4600</v>
      </c>
    </row>
    <row r="255" spans="1:26" hidden="1" x14ac:dyDescent="0.35">
      <c r="A255">
        <v>10263</v>
      </c>
      <c r="B255">
        <v>48</v>
      </c>
      <c r="C255" s="3">
        <v>100</v>
      </c>
      <c r="D255">
        <v>1</v>
      </c>
      <c r="E255" s="3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 s="3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  <c r="Z255" s="3">
        <f>Table1[[#This Row],[QUANTITYORDERED]]*Table1[[#This Row],[PRICEEACH]]</f>
        <v>4800</v>
      </c>
    </row>
    <row r="256" spans="1:26" hidden="1" x14ac:dyDescent="0.35">
      <c r="A256">
        <v>10276</v>
      </c>
      <c r="B256">
        <v>43</v>
      </c>
      <c r="C256" s="3">
        <v>100</v>
      </c>
      <c r="D256">
        <v>14</v>
      </c>
      <c r="E256" s="3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 s="3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  <c r="Z256" s="3">
        <f>Table1[[#This Row],[QUANTITYORDERED]]*Table1[[#This Row],[PRICEEACH]]</f>
        <v>4300</v>
      </c>
    </row>
    <row r="257" spans="1:26" hidden="1" x14ac:dyDescent="0.35">
      <c r="A257">
        <v>10285</v>
      </c>
      <c r="B257">
        <v>49</v>
      </c>
      <c r="C257" s="3">
        <v>100</v>
      </c>
      <c r="D257">
        <v>5</v>
      </c>
      <c r="E257" s="3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 s="3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  <c r="Z257" s="3">
        <f>Table1[[#This Row],[QUANTITYORDERED]]*Table1[[#This Row],[PRICEEACH]]</f>
        <v>4900</v>
      </c>
    </row>
    <row r="258" spans="1:26" hidden="1" x14ac:dyDescent="0.35">
      <c r="A258">
        <v>10299</v>
      </c>
      <c r="B258">
        <v>24</v>
      </c>
      <c r="C258" s="3">
        <v>100</v>
      </c>
      <c r="D258">
        <v>8</v>
      </c>
      <c r="E258" s="3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 s="3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  <c r="Z258" s="3">
        <f>Table1[[#This Row],[QUANTITYORDERED]]*Table1[[#This Row],[PRICEEACH]]</f>
        <v>2400</v>
      </c>
    </row>
    <row r="259" spans="1:26" hidden="1" x14ac:dyDescent="0.35">
      <c r="A259">
        <v>10309</v>
      </c>
      <c r="B259">
        <v>26</v>
      </c>
      <c r="C259" s="3">
        <v>100</v>
      </c>
      <c r="D259">
        <v>4</v>
      </c>
      <c r="E259" s="3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 s="3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  <c r="Z259" s="3">
        <f>Table1[[#This Row],[QUANTITYORDERED]]*Table1[[#This Row],[PRICEEACH]]</f>
        <v>2600</v>
      </c>
    </row>
    <row r="260" spans="1:26" hidden="1" x14ac:dyDescent="0.35">
      <c r="A260">
        <v>10319</v>
      </c>
      <c r="B260">
        <v>30</v>
      </c>
      <c r="C260" s="3">
        <v>100</v>
      </c>
      <c r="D260">
        <v>9</v>
      </c>
      <c r="E260" s="3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 s="3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  <c r="Z260" s="3">
        <f>Table1[[#This Row],[QUANTITYORDERED]]*Table1[[#This Row],[PRICEEACH]]</f>
        <v>3000</v>
      </c>
    </row>
    <row r="261" spans="1:26" hidden="1" x14ac:dyDescent="0.35">
      <c r="A261">
        <v>10329</v>
      </c>
      <c r="B261">
        <v>24</v>
      </c>
      <c r="C261" s="3">
        <v>100</v>
      </c>
      <c r="D261">
        <v>6</v>
      </c>
      <c r="E261" s="3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 s="3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  <c r="Z261" s="3">
        <f>Table1[[#This Row],[QUANTITYORDERED]]*Table1[[#This Row],[PRICEEACH]]</f>
        <v>2400</v>
      </c>
    </row>
    <row r="262" spans="1:26" hidden="1" x14ac:dyDescent="0.35">
      <c r="A262">
        <v>10341</v>
      </c>
      <c r="B262">
        <v>55</v>
      </c>
      <c r="C262" s="3">
        <v>100</v>
      </c>
      <c r="D262">
        <v>8</v>
      </c>
      <c r="E262" s="3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 s="3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  <c r="Z262" s="3">
        <f>Table1[[#This Row],[QUANTITYORDERED]]*Table1[[#This Row],[PRICEEACH]]</f>
        <v>5500</v>
      </c>
    </row>
    <row r="263" spans="1:26" hidden="1" x14ac:dyDescent="0.35">
      <c r="A263">
        <v>10362</v>
      </c>
      <c r="B263">
        <v>22</v>
      </c>
      <c r="C263" s="3">
        <v>100</v>
      </c>
      <c r="D263">
        <v>1</v>
      </c>
      <c r="E263" s="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 s="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  <c r="Z263" s="3">
        <f>Table1[[#This Row],[QUANTITYORDERED]]*Table1[[#This Row],[PRICEEACH]]</f>
        <v>2200</v>
      </c>
    </row>
    <row r="264" spans="1:26" hidden="1" x14ac:dyDescent="0.35">
      <c r="A264">
        <v>10375</v>
      </c>
      <c r="B264">
        <v>49</v>
      </c>
      <c r="C264" s="3">
        <v>78.92</v>
      </c>
      <c r="D264">
        <v>13</v>
      </c>
      <c r="E264" s="3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 s="3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  <c r="Z264" s="3">
        <f>Table1[[#This Row],[QUANTITYORDERED]]*Table1[[#This Row],[PRICEEACH]]</f>
        <v>3867.08</v>
      </c>
    </row>
    <row r="265" spans="1:26" hidden="1" x14ac:dyDescent="0.35">
      <c r="A265">
        <v>10388</v>
      </c>
      <c r="B265">
        <v>44</v>
      </c>
      <c r="C265" s="3">
        <v>100</v>
      </c>
      <c r="D265">
        <v>6</v>
      </c>
      <c r="E265" s="3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 s="3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  <c r="Z265" s="3">
        <f>Table1[[#This Row],[QUANTITYORDERED]]*Table1[[#This Row],[PRICEEACH]]</f>
        <v>4400</v>
      </c>
    </row>
    <row r="266" spans="1:26" hidden="1" x14ac:dyDescent="0.35">
      <c r="A266">
        <v>10403</v>
      </c>
      <c r="B266">
        <v>66</v>
      </c>
      <c r="C266" s="3">
        <v>100</v>
      </c>
      <c r="D266">
        <v>6</v>
      </c>
      <c r="E266" s="3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 s="3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  <c r="Z266" s="3">
        <f>Table1[[#This Row],[QUANTITYORDERED]]*Table1[[#This Row],[PRICEEACH]]</f>
        <v>6600</v>
      </c>
    </row>
    <row r="267" spans="1:26" hidden="1" x14ac:dyDescent="0.35">
      <c r="A267">
        <v>10417</v>
      </c>
      <c r="B267">
        <v>21</v>
      </c>
      <c r="C267" s="3">
        <v>100</v>
      </c>
      <c r="D267">
        <v>1</v>
      </c>
      <c r="E267" s="3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 s="3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  <c r="Z267" s="3">
        <f>Table1[[#This Row],[QUANTITYORDERED]]*Table1[[#This Row],[PRICEEACH]]</f>
        <v>2100</v>
      </c>
    </row>
    <row r="268" spans="1:26" x14ac:dyDescent="0.35">
      <c r="A268">
        <v>10104</v>
      </c>
      <c r="B268">
        <v>34</v>
      </c>
      <c r="C268" s="3">
        <v>100</v>
      </c>
      <c r="D268">
        <v>1</v>
      </c>
      <c r="E268" s="3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 s="3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  <c r="Z268" s="3">
        <f>Table1[[#This Row],[QUANTITYORDERED]]*Table1[[#This Row],[PRICEEACH]]</f>
        <v>3400</v>
      </c>
    </row>
    <row r="269" spans="1:26" x14ac:dyDescent="0.35">
      <c r="A269">
        <v>10117</v>
      </c>
      <c r="B269">
        <v>43</v>
      </c>
      <c r="C269" s="3">
        <v>100</v>
      </c>
      <c r="D269">
        <v>10</v>
      </c>
      <c r="E269" s="3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 s="3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  <c r="Z269" s="3">
        <f>Table1[[#This Row],[QUANTITYORDERED]]*Table1[[#This Row],[PRICEEACH]]</f>
        <v>4300</v>
      </c>
    </row>
    <row r="270" spans="1:26" x14ac:dyDescent="0.35">
      <c r="A270">
        <v>10127</v>
      </c>
      <c r="B270">
        <v>46</v>
      </c>
      <c r="C270" s="3">
        <v>100</v>
      </c>
      <c r="D270">
        <v>3</v>
      </c>
      <c r="E270" s="3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 s="3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  <c r="Z270" s="3">
        <f>Table1[[#This Row],[QUANTITYORDERED]]*Table1[[#This Row],[PRICEEACH]]</f>
        <v>4600</v>
      </c>
    </row>
    <row r="271" spans="1:26" x14ac:dyDescent="0.35">
      <c r="A271">
        <v>10142</v>
      </c>
      <c r="B271">
        <v>33</v>
      </c>
      <c r="C271" s="3">
        <v>100</v>
      </c>
      <c r="D271">
        <v>13</v>
      </c>
      <c r="E271" s="3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 s="3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  <c r="Z271" s="3">
        <f>Table1[[#This Row],[QUANTITYORDERED]]*Table1[[#This Row],[PRICEEACH]]</f>
        <v>3300</v>
      </c>
    </row>
    <row r="272" spans="1:26" x14ac:dyDescent="0.35">
      <c r="A272">
        <v>10153</v>
      </c>
      <c r="B272">
        <v>42</v>
      </c>
      <c r="C272" s="3">
        <v>100</v>
      </c>
      <c r="D272">
        <v>12</v>
      </c>
      <c r="E272" s="3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 s="3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  <c r="Z272" s="3">
        <f>Table1[[#This Row],[QUANTITYORDERED]]*Table1[[#This Row],[PRICEEACH]]</f>
        <v>4200</v>
      </c>
    </row>
    <row r="273" spans="1:26" x14ac:dyDescent="0.35">
      <c r="A273">
        <v>10165</v>
      </c>
      <c r="B273">
        <v>34</v>
      </c>
      <c r="C273" s="3">
        <v>100</v>
      </c>
      <c r="D273">
        <v>4</v>
      </c>
      <c r="E273" s="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 s="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  <c r="Z273" s="3">
        <f>Table1[[#This Row],[QUANTITYORDERED]]*Table1[[#This Row],[PRICEEACH]]</f>
        <v>3400</v>
      </c>
    </row>
    <row r="274" spans="1:26" x14ac:dyDescent="0.35">
      <c r="A274">
        <v>10176</v>
      </c>
      <c r="B274">
        <v>47</v>
      </c>
      <c r="C274" s="3">
        <v>100</v>
      </c>
      <c r="D274">
        <v>3</v>
      </c>
      <c r="E274" s="3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 s="3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  <c r="Z274" s="3">
        <f>Table1[[#This Row],[QUANTITYORDERED]]*Table1[[#This Row],[PRICEEACH]]</f>
        <v>4700</v>
      </c>
    </row>
    <row r="275" spans="1:26" x14ac:dyDescent="0.35">
      <c r="A275">
        <v>10185</v>
      </c>
      <c r="B275">
        <v>33</v>
      </c>
      <c r="C275" s="3">
        <v>100</v>
      </c>
      <c r="D275">
        <v>14</v>
      </c>
      <c r="E275" s="3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 s="3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  <c r="Z275" s="3">
        <f>Table1[[#This Row],[QUANTITYORDERED]]*Table1[[#This Row],[PRICEEACH]]</f>
        <v>3300</v>
      </c>
    </row>
    <row r="276" spans="1:26" x14ac:dyDescent="0.35">
      <c r="A276">
        <v>10196</v>
      </c>
      <c r="B276">
        <v>24</v>
      </c>
      <c r="C276" s="3">
        <v>100</v>
      </c>
      <c r="D276">
        <v>6</v>
      </c>
      <c r="E276" s="3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 s="3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  <c r="Z276" s="3">
        <f>Table1[[#This Row],[QUANTITYORDERED]]*Table1[[#This Row],[PRICEEACH]]</f>
        <v>2400</v>
      </c>
    </row>
    <row r="277" spans="1:26" x14ac:dyDescent="0.35">
      <c r="A277">
        <v>10208</v>
      </c>
      <c r="B277">
        <v>26</v>
      </c>
      <c r="C277" s="3">
        <v>100</v>
      </c>
      <c r="D277">
        <v>14</v>
      </c>
      <c r="E277" s="3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 s="3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  <c r="Z277" s="3">
        <f>Table1[[#This Row],[QUANTITYORDERED]]*Table1[[#This Row],[PRICEEACH]]</f>
        <v>2600</v>
      </c>
    </row>
    <row r="278" spans="1:26" x14ac:dyDescent="0.35">
      <c r="A278">
        <v>10220</v>
      </c>
      <c r="B278">
        <v>30</v>
      </c>
      <c r="C278" s="3">
        <v>100</v>
      </c>
      <c r="D278">
        <v>3</v>
      </c>
      <c r="E278" s="3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 s="3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  <c r="Z278" s="3">
        <f>Table1[[#This Row],[QUANTITYORDERED]]*Table1[[#This Row],[PRICEEACH]]</f>
        <v>3000</v>
      </c>
    </row>
    <row r="279" spans="1:26" x14ac:dyDescent="0.35">
      <c r="A279">
        <v>10230</v>
      </c>
      <c r="B279">
        <v>43</v>
      </c>
      <c r="C279" s="3">
        <v>100</v>
      </c>
      <c r="D279">
        <v>1</v>
      </c>
      <c r="E279" s="3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 s="3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  <c r="Z279" s="3">
        <f>Table1[[#This Row],[QUANTITYORDERED]]*Table1[[#This Row],[PRICEEACH]]</f>
        <v>4300</v>
      </c>
    </row>
    <row r="280" spans="1:26" x14ac:dyDescent="0.35">
      <c r="A280">
        <v>10247</v>
      </c>
      <c r="B280">
        <v>25</v>
      </c>
      <c r="C280" s="3">
        <v>100</v>
      </c>
      <c r="D280">
        <v>3</v>
      </c>
      <c r="E280" s="3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 s="3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  <c r="Z280" s="3">
        <f>Table1[[#This Row],[QUANTITYORDERED]]*Table1[[#This Row],[PRICEEACH]]</f>
        <v>2500</v>
      </c>
    </row>
    <row r="281" spans="1:26" x14ac:dyDescent="0.35">
      <c r="A281">
        <v>10272</v>
      </c>
      <c r="B281">
        <v>27</v>
      </c>
      <c r="C281" s="3">
        <v>100</v>
      </c>
      <c r="D281">
        <v>3</v>
      </c>
      <c r="E281" s="3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 s="3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  <c r="Z281" s="3">
        <f>Table1[[#This Row],[QUANTITYORDERED]]*Table1[[#This Row],[PRICEEACH]]</f>
        <v>2700</v>
      </c>
    </row>
    <row r="282" spans="1:26" x14ac:dyDescent="0.35">
      <c r="A282">
        <v>10282</v>
      </c>
      <c r="B282">
        <v>27</v>
      </c>
      <c r="C282" s="3">
        <v>100</v>
      </c>
      <c r="D282">
        <v>6</v>
      </c>
      <c r="E282" s="3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 s="3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  <c r="Z282" s="3">
        <f>Table1[[#This Row],[QUANTITYORDERED]]*Table1[[#This Row],[PRICEEACH]]</f>
        <v>2700</v>
      </c>
    </row>
    <row r="283" spans="1:26" x14ac:dyDescent="0.35">
      <c r="A283">
        <v>10293</v>
      </c>
      <c r="B283">
        <v>24</v>
      </c>
      <c r="C283" s="3">
        <v>100</v>
      </c>
      <c r="D283">
        <v>9</v>
      </c>
      <c r="E283" s="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 s="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  <c r="Z283" s="3">
        <f>Table1[[#This Row],[QUANTITYORDERED]]*Table1[[#This Row],[PRICEEACH]]</f>
        <v>2400</v>
      </c>
    </row>
    <row r="284" spans="1:26" x14ac:dyDescent="0.35">
      <c r="A284">
        <v>10306</v>
      </c>
      <c r="B284">
        <v>34</v>
      </c>
      <c r="C284" s="3">
        <v>100</v>
      </c>
      <c r="D284">
        <v>14</v>
      </c>
      <c r="E284" s="3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 s="3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  <c r="Z284" s="3">
        <f>Table1[[#This Row],[QUANTITYORDERED]]*Table1[[#This Row],[PRICEEACH]]</f>
        <v>3400</v>
      </c>
    </row>
    <row r="285" spans="1:26" x14ac:dyDescent="0.35">
      <c r="A285">
        <v>10314</v>
      </c>
      <c r="B285">
        <v>46</v>
      </c>
      <c r="C285" s="3">
        <v>100</v>
      </c>
      <c r="D285">
        <v>6</v>
      </c>
      <c r="E285" s="3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 s="3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  <c r="Z285" s="3">
        <f>Table1[[#This Row],[QUANTITYORDERED]]*Table1[[#This Row],[PRICEEACH]]</f>
        <v>4600</v>
      </c>
    </row>
    <row r="286" spans="1:26" x14ac:dyDescent="0.35">
      <c r="A286">
        <v>10324</v>
      </c>
      <c r="B286">
        <v>27</v>
      </c>
      <c r="C286" s="3">
        <v>54.33</v>
      </c>
      <c r="D286">
        <v>1</v>
      </c>
      <c r="E286" s="3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 s="3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  <c r="Z286" s="3">
        <f>Table1[[#This Row],[QUANTITYORDERED]]*Table1[[#This Row],[PRICEEACH]]</f>
        <v>1466.9099999999999</v>
      </c>
    </row>
    <row r="287" spans="1:26" x14ac:dyDescent="0.35">
      <c r="A287">
        <v>10336</v>
      </c>
      <c r="B287">
        <v>33</v>
      </c>
      <c r="C287" s="3">
        <v>100</v>
      </c>
      <c r="D287">
        <v>11</v>
      </c>
      <c r="E287" s="3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 s="3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  <c r="Z287" s="3">
        <f>Table1[[#This Row],[QUANTITYORDERED]]*Table1[[#This Row],[PRICEEACH]]</f>
        <v>3300</v>
      </c>
    </row>
    <row r="288" spans="1:26" x14ac:dyDescent="0.35">
      <c r="A288">
        <v>10348</v>
      </c>
      <c r="B288">
        <v>47</v>
      </c>
      <c r="C288" s="3">
        <v>100</v>
      </c>
      <c r="D288">
        <v>4</v>
      </c>
      <c r="E288" s="3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 s="3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  <c r="Z288" s="3">
        <f>Table1[[#This Row],[QUANTITYORDERED]]*Table1[[#This Row],[PRICEEACH]]</f>
        <v>4700</v>
      </c>
    </row>
    <row r="289" spans="1:26" x14ac:dyDescent="0.35">
      <c r="A289">
        <v>10358</v>
      </c>
      <c r="B289">
        <v>49</v>
      </c>
      <c r="C289" s="3">
        <v>55.34</v>
      </c>
      <c r="D289">
        <v>5</v>
      </c>
      <c r="E289" s="3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 s="3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  <c r="Z289" s="3">
        <f>Table1[[#This Row],[QUANTITYORDERED]]*Table1[[#This Row],[PRICEEACH]]</f>
        <v>2711.6600000000003</v>
      </c>
    </row>
    <row r="290" spans="1:26" x14ac:dyDescent="0.35">
      <c r="A290">
        <v>10372</v>
      </c>
      <c r="B290">
        <v>40</v>
      </c>
      <c r="C290" s="3">
        <v>100</v>
      </c>
      <c r="D290">
        <v>4</v>
      </c>
      <c r="E290" s="3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 s="3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  <c r="Z290" s="3">
        <f>Table1[[#This Row],[QUANTITYORDERED]]*Table1[[#This Row],[PRICEEACH]]</f>
        <v>4000</v>
      </c>
    </row>
    <row r="291" spans="1:26" x14ac:dyDescent="0.35">
      <c r="A291">
        <v>10382</v>
      </c>
      <c r="B291">
        <v>37</v>
      </c>
      <c r="C291" s="3">
        <v>100</v>
      </c>
      <c r="D291">
        <v>11</v>
      </c>
      <c r="E291" s="3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 s="3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  <c r="Z291" s="3">
        <f>Table1[[#This Row],[QUANTITYORDERED]]*Table1[[#This Row],[PRICEEACH]]</f>
        <v>3700</v>
      </c>
    </row>
    <row r="292" spans="1:26" x14ac:dyDescent="0.35">
      <c r="A292">
        <v>10413</v>
      </c>
      <c r="B292">
        <v>47</v>
      </c>
      <c r="C292" s="3">
        <v>100</v>
      </c>
      <c r="D292">
        <v>3</v>
      </c>
      <c r="E292" s="3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 s="3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  <c r="Z292" s="3">
        <f>Table1[[#This Row],[QUANTITYORDERED]]*Table1[[#This Row],[PRICEEACH]]</f>
        <v>4700</v>
      </c>
    </row>
    <row r="293" spans="1:26" x14ac:dyDescent="0.35">
      <c r="A293">
        <v>10108</v>
      </c>
      <c r="B293">
        <v>45</v>
      </c>
      <c r="C293" s="3">
        <v>100</v>
      </c>
      <c r="D293">
        <v>4</v>
      </c>
      <c r="E293" s="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 s="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  <c r="Z293" s="3">
        <f>Table1[[#This Row],[QUANTITYORDERED]]*Table1[[#This Row],[PRICEEACH]]</f>
        <v>4500</v>
      </c>
    </row>
    <row r="294" spans="1:26" x14ac:dyDescent="0.35">
      <c r="A294">
        <v>10122</v>
      </c>
      <c r="B294">
        <v>37</v>
      </c>
      <c r="C294" s="3">
        <v>99.82</v>
      </c>
      <c r="D294">
        <v>8</v>
      </c>
      <c r="E294" s="3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 s="3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  <c r="Z294" s="3">
        <f>Table1[[#This Row],[QUANTITYORDERED]]*Table1[[#This Row],[PRICEEACH]]</f>
        <v>3693.3399999999997</v>
      </c>
    </row>
    <row r="295" spans="1:26" x14ac:dyDescent="0.35">
      <c r="A295">
        <v>10135</v>
      </c>
      <c r="B295">
        <v>48</v>
      </c>
      <c r="C295" s="3">
        <v>100</v>
      </c>
      <c r="D295">
        <v>5</v>
      </c>
      <c r="E295" s="3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 s="3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  <c r="Z295" s="3">
        <f>Table1[[#This Row],[QUANTITYORDERED]]*Table1[[#This Row],[PRICEEACH]]</f>
        <v>4800</v>
      </c>
    </row>
    <row r="296" spans="1:26" x14ac:dyDescent="0.35">
      <c r="A296">
        <v>10147</v>
      </c>
      <c r="B296">
        <v>31</v>
      </c>
      <c r="C296" s="3">
        <v>100</v>
      </c>
      <c r="D296">
        <v>5</v>
      </c>
      <c r="E296" s="3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 s="3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  <c r="Z296" s="3">
        <f>Table1[[#This Row],[QUANTITYORDERED]]*Table1[[#This Row],[PRICEEACH]]</f>
        <v>3100</v>
      </c>
    </row>
    <row r="297" spans="1:26" x14ac:dyDescent="0.35">
      <c r="A297">
        <v>10160</v>
      </c>
      <c r="B297">
        <v>46</v>
      </c>
      <c r="C297" s="3">
        <v>100</v>
      </c>
      <c r="D297">
        <v>6</v>
      </c>
      <c r="E297" s="3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 s="3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  <c r="Z297" s="3">
        <f>Table1[[#This Row],[QUANTITYORDERED]]*Table1[[#This Row],[PRICEEACH]]</f>
        <v>4600</v>
      </c>
    </row>
    <row r="298" spans="1:26" x14ac:dyDescent="0.35">
      <c r="A298">
        <v>10170</v>
      </c>
      <c r="B298">
        <v>47</v>
      </c>
      <c r="C298" s="3">
        <v>100</v>
      </c>
      <c r="D298">
        <v>4</v>
      </c>
      <c r="E298" s="3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 s="3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  <c r="Z298" s="3">
        <f>Table1[[#This Row],[QUANTITYORDERED]]*Table1[[#This Row],[PRICEEACH]]</f>
        <v>4700</v>
      </c>
    </row>
    <row r="299" spans="1:26" x14ac:dyDescent="0.35">
      <c r="A299">
        <v>10181</v>
      </c>
      <c r="B299">
        <v>28</v>
      </c>
      <c r="C299" s="3">
        <v>100</v>
      </c>
      <c r="D299">
        <v>12</v>
      </c>
      <c r="E299" s="3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 s="3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  <c r="Z299" s="3">
        <f>Table1[[#This Row],[QUANTITYORDERED]]*Table1[[#This Row],[PRICEEACH]]</f>
        <v>2800</v>
      </c>
    </row>
    <row r="300" spans="1:26" x14ac:dyDescent="0.35">
      <c r="A300">
        <v>10191</v>
      </c>
      <c r="B300">
        <v>40</v>
      </c>
      <c r="C300" s="3">
        <v>100</v>
      </c>
      <c r="D300">
        <v>1</v>
      </c>
      <c r="E300" s="3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 s="3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  <c r="Z300" s="3">
        <f>Table1[[#This Row],[QUANTITYORDERED]]*Table1[[#This Row],[PRICEEACH]]</f>
        <v>4000</v>
      </c>
    </row>
    <row r="301" spans="1:26" x14ac:dyDescent="0.35">
      <c r="A301">
        <v>10203</v>
      </c>
      <c r="B301">
        <v>20</v>
      </c>
      <c r="C301" s="3">
        <v>100</v>
      </c>
      <c r="D301">
        <v>6</v>
      </c>
      <c r="E301" s="3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 s="3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  <c r="Z301" s="3">
        <f>Table1[[#This Row],[QUANTITYORDERED]]*Table1[[#This Row],[PRICEEACH]]</f>
        <v>2000</v>
      </c>
    </row>
    <row r="302" spans="1:26" x14ac:dyDescent="0.35">
      <c r="A302">
        <v>10212</v>
      </c>
      <c r="B302">
        <v>39</v>
      </c>
      <c r="C302" s="3">
        <v>100</v>
      </c>
      <c r="D302">
        <v>16</v>
      </c>
      <c r="E302" s="3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 s="3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  <c r="Z302" s="3">
        <f>Table1[[#This Row],[QUANTITYORDERED]]*Table1[[#This Row],[PRICEEACH]]</f>
        <v>3900</v>
      </c>
    </row>
    <row r="303" spans="1:26" x14ac:dyDescent="0.35">
      <c r="A303">
        <v>10225</v>
      </c>
      <c r="B303">
        <v>25</v>
      </c>
      <c r="C303" s="3">
        <v>99.82</v>
      </c>
      <c r="D303">
        <v>7</v>
      </c>
      <c r="E303" s="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 s="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  <c r="Z303" s="3">
        <f>Table1[[#This Row],[QUANTITYORDERED]]*Table1[[#This Row],[PRICEEACH]]</f>
        <v>2495.5</v>
      </c>
    </row>
    <row r="304" spans="1:26" x14ac:dyDescent="0.35">
      <c r="A304">
        <v>10238</v>
      </c>
      <c r="B304">
        <v>29</v>
      </c>
      <c r="C304" s="3">
        <v>100</v>
      </c>
      <c r="D304">
        <v>1</v>
      </c>
      <c r="E304" s="3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 s="3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  <c r="Z304" s="3">
        <f>Table1[[#This Row],[QUANTITYORDERED]]*Table1[[#This Row],[PRICEEACH]]</f>
        <v>2900</v>
      </c>
    </row>
    <row r="305" spans="1:26" x14ac:dyDescent="0.35">
      <c r="A305">
        <v>10253</v>
      </c>
      <c r="B305">
        <v>22</v>
      </c>
      <c r="C305" s="3">
        <v>100</v>
      </c>
      <c r="D305">
        <v>11</v>
      </c>
      <c r="E305" s="3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 s="3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  <c r="Z305" s="3">
        <f>Table1[[#This Row],[QUANTITYORDERED]]*Table1[[#This Row],[PRICEEACH]]</f>
        <v>2200</v>
      </c>
    </row>
    <row r="306" spans="1:26" x14ac:dyDescent="0.35">
      <c r="A306">
        <v>10266</v>
      </c>
      <c r="B306">
        <v>22</v>
      </c>
      <c r="C306" s="3">
        <v>100</v>
      </c>
      <c r="D306">
        <v>12</v>
      </c>
      <c r="E306" s="3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 s="3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  <c r="Z306" s="3">
        <f>Table1[[#This Row],[QUANTITYORDERED]]*Table1[[#This Row],[PRICEEACH]]</f>
        <v>2200</v>
      </c>
    </row>
    <row r="307" spans="1:26" x14ac:dyDescent="0.35">
      <c r="A307">
        <v>10276</v>
      </c>
      <c r="B307">
        <v>47</v>
      </c>
      <c r="C307" s="3">
        <v>100</v>
      </c>
      <c r="D307">
        <v>1</v>
      </c>
      <c r="E307" s="3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 s="3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  <c r="Z307" s="3">
        <f>Table1[[#This Row],[QUANTITYORDERED]]*Table1[[#This Row],[PRICEEACH]]</f>
        <v>4700</v>
      </c>
    </row>
    <row r="308" spans="1:26" x14ac:dyDescent="0.35">
      <c r="A308">
        <v>10287</v>
      </c>
      <c r="B308">
        <v>45</v>
      </c>
      <c r="C308" s="3">
        <v>100</v>
      </c>
      <c r="D308">
        <v>10</v>
      </c>
      <c r="E308" s="3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 s="3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  <c r="Z308" s="3">
        <f>Table1[[#This Row],[QUANTITYORDERED]]*Table1[[#This Row],[PRICEEACH]]</f>
        <v>4500</v>
      </c>
    </row>
    <row r="309" spans="1:26" x14ac:dyDescent="0.35">
      <c r="A309">
        <v>10300</v>
      </c>
      <c r="B309">
        <v>29</v>
      </c>
      <c r="C309" s="3">
        <v>100</v>
      </c>
      <c r="D309">
        <v>3</v>
      </c>
      <c r="E309" s="3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 s="3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  <c r="Z309" s="3">
        <f>Table1[[#This Row],[QUANTITYORDERED]]*Table1[[#This Row],[PRICEEACH]]</f>
        <v>2900</v>
      </c>
    </row>
    <row r="310" spans="1:26" x14ac:dyDescent="0.35">
      <c r="A310">
        <v>10310</v>
      </c>
      <c r="B310">
        <v>24</v>
      </c>
      <c r="C310" s="3">
        <v>100</v>
      </c>
      <c r="D310">
        <v>8</v>
      </c>
      <c r="E310" s="3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 s="3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  <c r="Z310" s="3">
        <f>Table1[[#This Row],[QUANTITYORDERED]]*Table1[[#This Row],[PRICEEACH]]</f>
        <v>2400</v>
      </c>
    </row>
    <row r="311" spans="1:26" x14ac:dyDescent="0.35">
      <c r="A311">
        <v>10320</v>
      </c>
      <c r="B311">
        <v>35</v>
      </c>
      <c r="C311" s="3">
        <v>100</v>
      </c>
      <c r="D311">
        <v>1</v>
      </c>
      <c r="E311" s="3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 s="3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  <c r="Z311" s="3">
        <f>Table1[[#This Row],[QUANTITYORDERED]]*Table1[[#This Row],[PRICEEACH]]</f>
        <v>3500</v>
      </c>
    </row>
    <row r="312" spans="1:26" x14ac:dyDescent="0.35">
      <c r="A312">
        <v>10329</v>
      </c>
      <c r="B312">
        <v>46</v>
      </c>
      <c r="C312" s="3">
        <v>83.63</v>
      </c>
      <c r="D312">
        <v>13</v>
      </c>
      <c r="E312" s="3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 s="3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  <c r="Z312" s="3">
        <f>Table1[[#This Row],[QUANTITYORDERED]]*Table1[[#This Row],[PRICEEACH]]</f>
        <v>3846.9799999999996</v>
      </c>
    </row>
    <row r="313" spans="1:26" x14ac:dyDescent="0.35">
      <c r="A313">
        <v>10341</v>
      </c>
      <c r="B313">
        <v>44</v>
      </c>
      <c r="C313" s="3">
        <v>95.93</v>
      </c>
      <c r="D313">
        <v>1</v>
      </c>
      <c r="E313" s="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 s="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  <c r="Z313" s="3">
        <f>Table1[[#This Row],[QUANTITYORDERED]]*Table1[[#This Row],[PRICEEACH]]</f>
        <v>4220.92</v>
      </c>
    </row>
    <row r="314" spans="1:26" x14ac:dyDescent="0.35">
      <c r="A314">
        <v>10363</v>
      </c>
      <c r="B314">
        <v>34</v>
      </c>
      <c r="C314" s="3">
        <v>96.73</v>
      </c>
      <c r="D314">
        <v>4</v>
      </c>
      <c r="E314" s="3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 s="3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  <c r="Z314" s="3">
        <f>Table1[[#This Row],[QUANTITYORDERED]]*Table1[[#This Row],[PRICEEACH]]</f>
        <v>3288.82</v>
      </c>
    </row>
    <row r="315" spans="1:26" x14ac:dyDescent="0.35">
      <c r="A315">
        <v>10376</v>
      </c>
      <c r="B315">
        <v>35</v>
      </c>
      <c r="C315" s="3">
        <v>100</v>
      </c>
      <c r="D315">
        <v>1</v>
      </c>
      <c r="E315" s="3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 s="3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  <c r="Z315" s="3">
        <f>Table1[[#This Row],[QUANTITYORDERED]]*Table1[[#This Row],[PRICEEACH]]</f>
        <v>3500</v>
      </c>
    </row>
    <row r="316" spans="1:26" x14ac:dyDescent="0.35">
      <c r="A316">
        <v>10389</v>
      </c>
      <c r="B316">
        <v>25</v>
      </c>
      <c r="C316" s="3">
        <v>72.38</v>
      </c>
      <c r="D316">
        <v>6</v>
      </c>
      <c r="E316" s="3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 s="3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  <c r="Z316" s="3">
        <f>Table1[[#This Row],[QUANTITYORDERED]]*Table1[[#This Row],[PRICEEACH]]</f>
        <v>1809.5</v>
      </c>
    </row>
    <row r="317" spans="1:26" x14ac:dyDescent="0.35">
      <c r="A317">
        <v>10419</v>
      </c>
      <c r="B317">
        <v>10</v>
      </c>
      <c r="C317" s="3">
        <v>100</v>
      </c>
      <c r="D317">
        <v>11</v>
      </c>
      <c r="E317" s="3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 s="3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  <c r="Z317" s="3">
        <f>Table1[[#This Row],[QUANTITYORDERED]]*Table1[[#This Row],[PRICEEACH]]</f>
        <v>1000</v>
      </c>
    </row>
    <row r="318" spans="1:26" x14ac:dyDescent="0.35">
      <c r="A318">
        <v>10105</v>
      </c>
      <c r="B318">
        <v>29</v>
      </c>
      <c r="C318" s="3">
        <v>100</v>
      </c>
      <c r="D318">
        <v>14</v>
      </c>
      <c r="E318" s="3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 s="3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  <c r="Z318" s="3">
        <f>Table1[[#This Row],[QUANTITYORDERED]]*Table1[[#This Row],[PRICEEACH]]</f>
        <v>2900</v>
      </c>
    </row>
    <row r="319" spans="1:26" x14ac:dyDescent="0.35">
      <c r="A319">
        <v>10117</v>
      </c>
      <c r="B319">
        <v>39</v>
      </c>
      <c r="C319" s="3">
        <v>100</v>
      </c>
      <c r="D319">
        <v>8</v>
      </c>
      <c r="E319" s="3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 s="3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  <c r="Z319" s="3">
        <f>Table1[[#This Row],[QUANTITYORDERED]]*Table1[[#This Row],[PRICEEACH]]</f>
        <v>3900</v>
      </c>
    </row>
    <row r="320" spans="1:26" x14ac:dyDescent="0.35">
      <c r="A320">
        <v>10127</v>
      </c>
      <c r="B320">
        <v>42</v>
      </c>
      <c r="C320" s="3">
        <v>100</v>
      </c>
      <c r="D320">
        <v>1</v>
      </c>
      <c r="E320" s="3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 s="3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  <c r="Z320" s="3">
        <f>Table1[[#This Row],[QUANTITYORDERED]]*Table1[[#This Row],[PRICEEACH]]</f>
        <v>4200</v>
      </c>
    </row>
    <row r="321" spans="1:26" x14ac:dyDescent="0.35">
      <c r="A321">
        <v>10142</v>
      </c>
      <c r="B321">
        <v>46</v>
      </c>
      <c r="C321" s="3">
        <v>100</v>
      </c>
      <c r="D321">
        <v>11</v>
      </c>
      <c r="E321" s="3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 s="3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  <c r="Z321" s="3">
        <f>Table1[[#This Row],[QUANTITYORDERED]]*Table1[[#This Row],[PRICEEACH]]</f>
        <v>4600</v>
      </c>
    </row>
    <row r="322" spans="1:26" x14ac:dyDescent="0.35">
      <c r="A322">
        <v>10153</v>
      </c>
      <c r="B322">
        <v>49</v>
      </c>
      <c r="C322" s="3">
        <v>100</v>
      </c>
      <c r="D322">
        <v>10</v>
      </c>
      <c r="E322" s="3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 s="3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  <c r="Z322" s="3">
        <f>Table1[[#This Row],[QUANTITYORDERED]]*Table1[[#This Row],[PRICEEACH]]</f>
        <v>4900</v>
      </c>
    </row>
    <row r="323" spans="1:26" x14ac:dyDescent="0.35">
      <c r="A323">
        <v>10165</v>
      </c>
      <c r="B323">
        <v>27</v>
      </c>
      <c r="C323" s="3">
        <v>100</v>
      </c>
      <c r="D323">
        <v>2</v>
      </c>
      <c r="E323" s="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 s="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  <c r="Z323" s="3">
        <f>Table1[[#This Row],[QUANTITYORDERED]]*Table1[[#This Row],[PRICEEACH]]</f>
        <v>2700</v>
      </c>
    </row>
    <row r="324" spans="1:26" x14ac:dyDescent="0.35">
      <c r="A324">
        <v>10176</v>
      </c>
      <c r="B324">
        <v>50</v>
      </c>
      <c r="C324" s="3">
        <v>100</v>
      </c>
      <c r="D324">
        <v>1</v>
      </c>
      <c r="E324" s="3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 s="3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  <c r="Z324" s="3">
        <f>Table1[[#This Row],[QUANTITYORDERED]]*Table1[[#This Row],[PRICEEACH]]</f>
        <v>5000</v>
      </c>
    </row>
    <row r="325" spans="1:26" x14ac:dyDescent="0.35">
      <c r="A325">
        <v>10185</v>
      </c>
      <c r="B325">
        <v>43</v>
      </c>
      <c r="C325" s="3">
        <v>100</v>
      </c>
      <c r="D325">
        <v>12</v>
      </c>
      <c r="E325" s="3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 s="3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  <c r="Z325" s="3">
        <f>Table1[[#This Row],[QUANTITYORDERED]]*Table1[[#This Row],[PRICEEACH]]</f>
        <v>4300</v>
      </c>
    </row>
    <row r="326" spans="1:26" x14ac:dyDescent="0.35">
      <c r="A326">
        <v>10196</v>
      </c>
      <c r="B326">
        <v>38</v>
      </c>
      <c r="C326" s="3">
        <v>100</v>
      </c>
      <c r="D326">
        <v>4</v>
      </c>
      <c r="E326" s="3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 s="3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  <c r="Z326" s="3">
        <f>Table1[[#This Row],[QUANTITYORDERED]]*Table1[[#This Row],[PRICEEACH]]</f>
        <v>3800</v>
      </c>
    </row>
    <row r="327" spans="1:26" x14ac:dyDescent="0.35">
      <c r="A327">
        <v>10208</v>
      </c>
      <c r="B327">
        <v>20</v>
      </c>
      <c r="C327" s="3">
        <v>100</v>
      </c>
      <c r="D327">
        <v>12</v>
      </c>
      <c r="E327" s="3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 s="3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  <c r="Z327" s="3">
        <f>Table1[[#This Row],[QUANTITYORDERED]]*Table1[[#This Row],[PRICEEACH]]</f>
        <v>2000</v>
      </c>
    </row>
    <row r="328" spans="1:26" x14ac:dyDescent="0.35">
      <c r="A328">
        <v>10220</v>
      </c>
      <c r="B328">
        <v>27</v>
      </c>
      <c r="C328" s="3">
        <v>100</v>
      </c>
      <c r="D328">
        <v>1</v>
      </c>
      <c r="E328" s="3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 s="3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  <c r="Z328" s="3">
        <f>Table1[[#This Row],[QUANTITYORDERED]]*Table1[[#This Row],[PRICEEACH]]</f>
        <v>2700</v>
      </c>
    </row>
    <row r="329" spans="1:26" x14ac:dyDescent="0.35">
      <c r="A329">
        <v>10231</v>
      </c>
      <c r="B329">
        <v>49</v>
      </c>
      <c r="C329" s="3">
        <v>100</v>
      </c>
      <c r="D329">
        <v>1</v>
      </c>
      <c r="E329" s="3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 s="3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  <c r="Z329" s="3">
        <f>Table1[[#This Row],[QUANTITYORDERED]]*Table1[[#This Row],[PRICEEACH]]</f>
        <v>4900</v>
      </c>
    </row>
    <row r="330" spans="1:26" x14ac:dyDescent="0.35">
      <c r="A330">
        <v>10247</v>
      </c>
      <c r="B330">
        <v>27</v>
      </c>
      <c r="C330" s="3">
        <v>100</v>
      </c>
      <c r="D330">
        <v>1</v>
      </c>
      <c r="E330" s="3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 s="3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  <c r="Z330" s="3">
        <f>Table1[[#This Row],[QUANTITYORDERED]]*Table1[[#This Row],[PRICEEACH]]</f>
        <v>2700</v>
      </c>
    </row>
    <row r="331" spans="1:26" x14ac:dyDescent="0.35">
      <c r="A331">
        <v>10272</v>
      </c>
      <c r="B331">
        <v>39</v>
      </c>
      <c r="C331" s="3">
        <v>100</v>
      </c>
      <c r="D331">
        <v>1</v>
      </c>
      <c r="E331" s="3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 s="3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  <c r="Z331" s="3">
        <f>Table1[[#This Row],[QUANTITYORDERED]]*Table1[[#This Row],[PRICEEACH]]</f>
        <v>3900</v>
      </c>
    </row>
    <row r="332" spans="1:26" x14ac:dyDescent="0.35">
      <c r="A332">
        <v>10282</v>
      </c>
      <c r="B332">
        <v>24</v>
      </c>
      <c r="C332" s="3">
        <v>100</v>
      </c>
      <c r="D332">
        <v>4</v>
      </c>
      <c r="E332" s="3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 s="3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  <c r="Z332" s="3">
        <f>Table1[[#This Row],[QUANTITYORDERED]]*Table1[[#This Row],[PRICEEACH]]</f>
        <v>2400</v>
      </c>
    </row>
    <row r="333" spans="1:26" x14ac:dyDescent="0.35">
      <c r="A333">
        <v>10293</v>
      </c>
      <c r="B333">
        <v>45</v>
      </c>
      <c r="C333" s="3">
        <v>100</v>
      </c>
      <c r="D333">
        <v>7</v>
      </c>
      <c r="E333" s="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 s="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  <c r="Z333" s="3">
        <f>Table1[[#This Row],[QUANTITYORDERED]]*Table1[[#This Row],[PRICEEACH]]</f>
        <v>4500</v>
      </c>
    </row>
    <row r="334" spans="1:26" x14ac:dyDescent="0.35">
      <c r="A334">
        <v>10306</v>
      </c>
      <c r="B334">
        <v>20</v>
      </c>
      <c r="C334" s="3">
        <v>100</v>
      </c>
      <c r="D334">
        <v>12</v>
      </c>
      <c r="E334" s="3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 s="3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  <c r="Z334" s="3">
        <f>Table1[[#This Row],[QUANTITYORDERED]]*Table1[[#This Row],[PRICEEACH]]</f>
        <v>2000</v>
      </c>
    </row>
    <row r="335" spans="1:26" x14ac:dyDescent="0.35">
      <c r="A335">
        <v>10314</v>
      </c>
      <c r="B335">
        <v>36</v>
      </c>
      <c r="C335" s="3">
        <v>100</v>
      </c>
      <c r="D335">
        <v>4</v>
      </c>
      <c r="E335" s="3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 s="3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  <c r="Z335" s="3">
        <f>Table1[[#This Row],[QUANTITYORDERED]]*Table1[[#This Row],[PRICEEACH]]</f>
        <v>3600</v>
      </c>
    </row>
    <row r="336" spans="1:26" x14ac:dyDescent="0.35">
      <c r="A336">
        <v>10325</v>
      </c>
      <c r="B336">
        <v>24</v>
      </c>
      <c r="C336" s="3">
        <v>100</v>
      </c>
      <c r="D336">
        <v>1</v>
      </c>
      <c r="E336" s="3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 s="3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  <c r="Z336" s="3">
        <f>Table1[[#This Row],[QUANTITYORDERED]]*Table1[[#This Row],[PRICEEACH]]</f>
        <v>2400</v>
      </c>
    </row>
    <row r="337" spans="1:26" x14ac:dyDescent="0.35">
      <c r="A337">
        <v>10336</v>
      </c>
      <c r="B337">
        <v>49</v>
      </c>
      <c r="C337" s="3">
        <v>63.38</v>
      </c>
      <c r="D337">
        <v>1</v>
      </c>
      <c r="E337" s="3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 s="3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  <c r="Z337" s="3">
        <f>Table1[[#This Row],[QUANTITYORDERED]]*Table1[[#This Row],[PRICEEACH]]</f>
        <v>3105.6200000000003</v>
      </c>
    </row>
    <row r="338" spans="1:26" x14ac:dyDescent="0.35">
      <c r="A338">
        <v>10349</v>
      </c>
      <c r="B338">
        <v>26</v>
      </c>
      <c r="C338" s="3">
        <v>100</v>
      </c>
      <c r="D338">
        <v>10</v>
      </c>
      <c r="E338" s="3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 s="3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  <c r="Z338" s="3">
        <f>Table1[[#This Row],[QUANTITYORDERED]]*Table1[[#This Row],[PRICEEACH]]</f>
        <v>2600</v>
      </c>
    </row>
    <row r="339" spans="1:26" x14ac:dyDescent="0.35">
      <c r="A339">
        <v>10359</v>
      </c>
      <c r="B339">
        <v>49</v>
      </c>
      <c r="C339" s="3">
        <v>62.09</v>
      </c>
      <c r="D339">
        <v>5</v>
      </c>
      <c r="E339" s="3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 s="3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  <c r="Z339" s="3">
        <f>Table1[[#This Row],[QUANTITYORDERED]]*Table1[[#This Row],[PRICEEACH]]</f>
        <v>3042.4100000000003</v>
      </c>
    </row>
    <row r="340" spans="1:26" x14ac:dyDescent="0.35">
      <c r="A340">
        <v>10372</v>
      </c>
      <c r="B340">
        <v>34</v>
      </c>
      <c r="C340" s="3">
        <v>100</v>
      </c>
      <c r="D340">
        <v>1</v>
      </c>
      <c r="E340" s="3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 s="3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  <c r="Z340" s="3">
        <f>Table1[[#This Row],[QUANTITYORDERED]]*Table1[[#This Row],[PRICEEACH]]</f>
        <v>3400</v>
      </c>
    </row>
    <row r="341" spans="1:26" x14ac:dyDescent="0.35">
      <c r="A341">
        <v>10382</v>
      </c>
      <c r="B341">
        <v>34</v>
      </c>
      <c r="C341" s="3">
        <v>95.35</v>
      </c>
      <c r="D341">
        <v>12</v>
      </c>
      <c r="E341" s="3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 s="3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  <c r="Z341" s="3">
        <f>Table1[[#This Row],[QUANTITYORDERED]]*Table1[[#This Row],[PRICEEACH]]</f>
        <v>3241.8999999999996</v>
      </c>
    </row>
    <row r="342" spans="1:26" x14ac:dyDescent="0.35">
      <c r="A342">
        <v>10396</v>
      </c>
      <c r="B342">
        <v>33</v>
      </c>
      <c r="C342" s="3">
        <v>100</v>
      </c>
      <c r="D342">
        <v>3</v>
      </c>
      <c r="E342" s="3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 s="3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  <c r="Z342" s="3">
        <f>Table1[[#This Row],[QUANTITYORDERED]]*Table1[[#This Row],[PRICEEACH]]</f>
        <v>3300</v>
      </c>
    </row>
    <row r="343" spans="1:26" x14ac:dyDescent="0.35">
      <c r="A343">
        <v>10413</v>
      </c>
      <c r="B343">
        <v>22</v>
      </c>
      <c r="C343" s="3">
        <v>100</v>
      </c>
      <c r="D343">
        <v>1</v>
      </c>
      <c r="E343" s="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 s="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  <c r="Z343" s="3">
        <f>Table1[[#This Row],[QUANTITYORDERED]]*Table1[[#This Row],[PRICEEACH]]</f>
        <v>2200</v>
      </c>
    </row>
    <row r="344" spans="1:26" x14ac:dyDescent="0.35">
      <c r="A344">
        <v>10108</v>
      </c>
      <c r="B344">
        <v>39</v>
      </c>
      <c r="C344" s="3">
        <v>89.38</v>
      </c>
      <c r="D344">
        <v>7</v>
      </c>
      <c r="E344" s="3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 s="3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  <c r="Z344" s="3">
        <f>Table1[[#This Row],[QUANTITYORDERED]]*Table1[[#This Row],[PRICEEACH]]</f>
        <v>3485.8199999999997</v>
      </c>
    </row>
    <row r="345" spans="1:26" x14ac:dyDescent="0.35">
      <c r="A345">
        <v>10122</v>
      </c>
      <c r="B345">
        <v>32</v>
      </c>
      <c r="C345" s="3">
        <v>63.84</v>
      </c>
      <c r="D345">
        <v>11</v>
      </c>
      <c r="E345" s="3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 s="3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  <c r="Z345" s="3">
        <f>Table1[[#This Row],[QUANTITYORDERED]]*Table1[[#This Row],[PRICEEACH]]</f>
        <v>2042.88</v>
      </c>
    </row>
    <row r="346" spans="1:26" x14ac:dyDescent="0.35">
      <c r="A346">
        <v>10135</v>
      </c>
      <c r="B346">
        <v>24</v>
      </c>
      <c r="C346" s="3">
        <v>75.010000000000005</v>
      </c>
      <c r="D346">
        <v>8</v>
      </c>
      <c r="E346" s="3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 s="3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  <c r="Z346" s="3">
        <f>Table1[[#This Row],[QUANTITYORDERED]]*Table1[[#This Row],[PRICEEACH]]</f>
        <v>1800.2400000000002</v>
      </c>
    </row>
    <row r="347" spans="1:26" x14ac:dyDescent="0.35">
      <c r="A347">
        <v>10147</v>
      </c>
      <c r="B347">
        <v>21</v>
      </c>
      <c r="C347" s="3">
        <v>63.84</v>
      </c>
      <c r="D347">
        <v>8</v>
      </c>
      <c r="E347" s="3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 s="3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  <c r="Z347" s="3">
        <f>Table1[[#This Row],[QUANTITYORDERED]]*Table1[[#This Row],[PRICEEACH]]</f>
        <v>1340.64</v>
      </c>
    </row>
    <row r="348" spans="1:26" x14ac:dyDescent="0.35">
      <c r="A348">
        <v>10159</v>
      </c>
      <c r="B348">
        <v>24</v>
      </c>
      <c r="C348" s="3">
        <v>73.42</v>
      </c>
      <c r="D348">
        <v>3</v>
      </c>
      <c r="E348" s="3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 s="3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  <c r="Z348" s="3">
        <f>Table1[[#This Row],[QUANTITYORDERED]]*Table1[[#This Row],[PRICEEACH]]</f>
        <v>1762.08</v>
      </c>
    </row>
    <row r="349" spans="1:26" x14ac:dyDescent="0.35">
      <c r="A349">
        <v>10169</v>
      </c>
      <c r="B349">
        <v>36</v>
      </c>
      <c r="C349" s="3">
        <v>63.84</v>
      </c>
      <c r="D349">
        <v>3</v>
      </c>
      <c r="E349" s="3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 s="3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  <c r="Z349" s="3">
        <f>Table1[[#This Row],[QUANTITYORDERED]]*Table1[[#This Row],[PRICEEACH]]</f>
        <v>2298.2400000000002</v>
      </c>
    </row>
    <row r="350" spans="1:26" x14ac:dyDescent="0.35">
      <c r="A350">
        <v>10181</v>
      </c>
      <c r="B350">
        <v>20</v>
      </c>
      <c r="C350" s="3">
        <v>81.400000000000006</v>
      </c>
      <c r="D350">
        <v>15</v>
      </c>
      <c r="E350" s="3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 s="3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  <c r="Z350" s="3">
        <f>Table1[[#This Row],[QUANTITYORDERED]]*Table1[[#This Row],[PRICEEACH]]</f>
        <v>1628</v>
      </c>
    </row>
    <row r="351" spans="1:26" x14ac:dyDescent="0.35">
      <c r="A351">
        <v>10191</v>
      </c>
      <c r="B351">
        <v>30</v>
      </c>
      <c r="C351" s="3">
        <v>64.64</v>
      </c>
      <c r="D351">
        <v>4</v>
      </c>
      <c r="E351" s="3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 s="3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  <c r="Z351" s="3">
        <f>Table1[[#This Row],[QUANTITYORDERED]]*Table1[[#This Row],[PRICEEACH]]</f>
        <v>1939.2</v>
      </c>
    </row>
    <row r="352" spans="1:26" x14ac:dyDescent="0.35">
      <c r="A352">
        <v>10203</v>
      </c>
      <c r="B352">
        <v>44</v>
      </c>
      <c r="C352" s="3">
        <v>82.99</v>
      </c>
      <c r="D352">
        <v>9</v>
      </c>
      <c r="E352" s="3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 s="3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  <c r="Z352" s="3">
        <f>Table1[[#This Row],[QUANTITYORDERED]]*Table1[[#This Row],[PRICEEACH]]</f>
        <v>3651.56</v>
      </c>
    </row>
    <row r="353" spans="1:26" x14ac:dyDescent="0.35">
      <c r="A353">
        <v>10211</v>
      </c>
      <c r="B353">
        <v>28</v>
      </c>
      <c r="C353" s="3">
        <v>92.57</v>
      </c>
      <c r="D353">
        <v>3</v>
      </c>
      <c r="E353" s="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 s="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  <c r="Z353" s="3">
        <f>Table1[[#This Row],[QUANTITYORDERED]]*Table1[[#This Row],[PRICEEACH]]</f>
        <v>2591.96</v>
      </c>
    </row>
    <row r="354" spans="1:26" x14ac:dyDescent="0.35">
      <c r="A354">
        <v>10225</v>
      </c>
      <c r="B354">
        <v>37</v>
      </c>
      <c r="C354" s="3">
        <v>77.41</v>
      </c>
      <c r="D354">
        <v>10</v>
      </c>
      <c r="E354" s="3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 s="3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  <c r="Z354" s="3">
        <f>Table1[[#This Row],[QUANTITYORDERED]]*Table1[[#This Row],[PRICEEACH]]</f>
        <v>2864.17</v>
      </c>
    </row>
    <row r="355" spans="1:26" x14ac:dyDescent="0.35">
      <c r="A355">
        <v>10238</v>
      </c>
      <c r="B355">
        <v>20</v>
      </c>
      <c r="C355" s="3">
        <v>74.209999999999994</v>
      </c>
      <c r="D355">
        <v>4</v>
      </c>
      <c r="E355" s="3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 s="3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  <c r="Z355" s="3">
        <f>Table1[[#This Row],[QUANTITYORDERED]]*Table1[[#This Row],[PRICEEACH]]</f>
        <v>1484.1999999999998</v>
      </c>
    </row>
    <row r="356" spans="1:26" x14ac:dyDescent="0.35">
      <c r="A356">
        <v>10253</v>
      </c>
      <c r="B356">
        <v>25</v>
      </c>
      <c r="C356" s="3">
        <v>90.17</v>
      </c>
      <c r="D356">
        <v>14</v>
      </c>
      <c r="E356" s="3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 s="3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  <c r="Z356" s="3">
        <f>Table1[[#This Row],[QUANTITYORDERED]]*Table1[[#This Row],[PRICEEACH]]</f>
        <v>2254.25</v>
      </c>
    </row>
    <row r="357" spans="1:26" x14ac:dyDescent="0.35">
      <c r="A357">
        <v>10266</v>
      </c>
      <c r="B357">
        <v>35</v>
      </c>
      <c r="C357" s="3">
        <v>76.61</v>
      </c>
      <c r="D357">
        <v>15</v>
      </c>
      <c r="E357" s="3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 s="3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  <c r="Z357" s="3">
        <f>Table1[[#This Row],[QUANTITYORDERED]]*Table1[[#This Row],[PRICEEACH]]</f>
        <v>2681.35</v>
      </c>
    </row>
    <row r="358" spans="1:26" x14ac:dyDescent="0.35">
      <c r="A358">
        <v>10276</v>
      </c>
      <c r="B358">
        <v>38</v>
      </c>
      <c r="C358" s="3">
        <v>83.79</v>
      </c>
      <c r="D358">
        <v>4</v>
      </c>
      <c r="E358" s="3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 s="3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  <c r="Z358" s="3">
        <f>Table1[[#This Row],[QUANTITYORDERED]]*Table1[[#This Row],[PRICEEACH]]</f>
        <v>3184.0200000000004</v>
      </c>
    </row>
    <row r="359" spans="1:26" x14ac:dyDescent="0.35">
      <c r="A359">
        <v>10287</v>
      </c>
      <c r="B359">
        <v>41</v>
      </c>
      <c r="C359" s="3">
        <v>69.430000000000007</v>
      </c>
      <c r="D359">
        <v>13</v>
      </c>
      <c r="E359" s="3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 s="3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  <c r="Z359" s="3">
        <f>Table1[[#This Row],[QUANTITYORDERED]]*Table1[[#This Row],[PRICEEACH]]</f>
        <v>2846.63</v>
      </c>
    </row>
    <row r="360" spans="1:26" x14ac:dyDescent="0.35">
      <c r="A360">
        <v>10300</v>
      </c>
      <c r="B360">
        <v>22</v>
      </c>
      <c r="C360" s="3">
        <v>76.61</v>
      </c>
      <c r="D360">
        <v>6</v>
      </c>
      <c r="E360" s="3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 s="3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  <c r="Z360" s="3">
        <f>Table1[[#This Row],[QUANTITYORDERED]]*Table1[[#This Row],[PRICEEACH]]</f>
        <v>1685.42</v>
      </c>
    </row>
    <row r="361" spans="1:26" x14ac:dyDescent="0.35">
      <c r="A361">
        <v>10310</v>
      </c>
      <c r="B361">
        <v>49</v>
      </c>
      <c r="C361" s="3">
        <v>81.400000000000006</v>
      </c>
      <c r="D361">
        <v>11</v>
      </c>
      <c r="E361" s="3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 s="3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  <c r="Z361" s="3">
        <f>Table1[[#This Row],[QUANTITYORDERED]]*Table1[[#This Row],[PRICEEACH]]</f>
        <v>3988.6000000000004</v>
      </c>
    </row>
    <row r="362" spans="1:26" x14ac:dyDescent="0.35">
      <c r="A362">
        <v>10320</v>
      </c>
      <c r="B362">
        <v>38</v>
      </c>
      <c r="C362" s="3">
        <v>73.42</v>
      </c>
      <c r="D362">
        <v>4</v>
      </c>
      <c r="E362" s="3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 s="3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  <c r="Z362" s="3">
        <f>Table1[[#This Row],[QUANTITYORDERED]]*Table1[[#This Row],[PRICEEACH]]</f>
        <v>2789.96</v>
      </c>
    </row>
    <row r="363" spans="1:26" x14ac:dyDescent="0.35">
      <c r="A363">
        <v>10329</v>
      </c>
      <c r="B363">
        <v>33</v>
      </c>
      <c r="C363" s="3">
        <v>100</v>
      </c>
      <c r="D363">
        <v>14</v>
      </c>
      <c r="E363" s="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 s="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  <c r="Z363" s="3">
        <f>Table1[[#This Row],[QUANTITYORDERED]]*Table1[[#This Row],[PRICEEACH]]</f>
        <v>3300</v>
      </c>
    </row>
    <row r="364" spans="1:26" x14ac:dyDescent="0.35">
      <c r="A364">
        <v>10341</v>
      </c>
      <c r="B364">
        <v>36</v>
      </c>
      <c r="C364" s="3">
        <v>93.56</v>
      </c>
      <c r="D364">
        <v>10</v>
      </c>
      <c r="E364" s="3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 s="3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  <c r="Z364" s="3">
        <f>Table1[[#This Row],[QUANTITYORDERED]]*Table1[[#This Row],[PRICEEACH]]</f>
        <v>3368.16</v>
      </c>
    </row>
    <row r="365" spans="1:26" x14ac:dyDescent="0.35">
      <c r="A365">
        <v>10363</v>
      </c>
      <c r="B365">
        <v>34</v>
      </c>
      <c r="C365" s="3">
        <v>81.62</v>
      </c>
      <c r="D365">
        <v>5</v>
      </c>
      <c r="E365" s="3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 s="3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  <c r="Z365" s="3">
        <f>Table1[[#This Row],[QUANTITYORDERED]]*Table1[[#This Row],[PRICEEACH]]</f>
        <v>2775.08</v>
      </c>
    </row>
    <row r="366" spans="1:26" x14ac:dyDescent="0.35">
      <c r="A366">
        <v>10377</v>
      </c>
      <c r="B366">
        <v>24</v>
      </c>
      <c r="C366" s="3">
        <v>67.83</v>
      </c>
      <c r="D366">
        <v>5</v>
      </c>
      <c r="E366" s="3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 s="3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  <c r="Z366" s="3">
        <f>Table1[[#This Row],[QUANTITYORDERED]]*Table1[[#This Row],[PRICEEACH]]</f>
        <v>1627.92</v>
      </c>
    </row>
    <row r="367" spans="1:26" x14ac:dyDescent="0.35">
      <c r="A367">
        <v>10389</v>
      </c>
      <c r="B367">
        <v>36</v>
      </c>
      <c r="C367" s="3">
        <v>70.260000000000005</v>
      </c>
      <c r="D367">
        <v>7</v>
      </c>
      <c r="E367" s="3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 s="3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  <c r="Z367" s="3">
        <f>Table1[[#This Row],[QUANTITYORDERED]]*Table1[[#This Row],[PRICEEACH]]</f>
        <v>2529.36</v>
      </c>
    </row>
    <row r="368" spans="1:26" x14ac:dyDescent="0.35">
      <c r="A368">
        <v>10419</v>
      </c>
      <c r="B368">
        <v>34</v>
      </c>
      <c r="C368" s="3">
        <v>90.17</v>
      </c>
      <c r="D368">
        <v>14</v>
      </c>
      <c r="E368" s="3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 s="3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  <c r="Z368" s="3">
        <f>Table1[[#This Row],[QUANTITYORDERED]]*Table1[[#This Row],[PRICEEACH]]</f>
        <v>3065.78</v>
      </c>
    </row>
    <row r="369" spans="1:26" hidden="1" x14ac:dyDescent="0.35">
      <c r="A369">
        <v>10104</v>
      </c>
      <c r="B369">
        <v>41</v>
      </c>
      <c r="C369" s="3">
        <v>100</v>
      </c>
      <c r="D369">
        <v>9</v>
      </c>
      <c r="E369" s="3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 s="3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  <c r="Z369" s="3">
        <f>Table1[[#This Row],[QUANTITYORDERED]]*Table1[[#This Row],[PRICEEACH]]</f>
        <v>4100</v>
      </c>
    </row>
    <row r="370" spans="1:26" hidden="1" x14ac:dyDescent="0.35">
      <c r="A370">
        <v>10115</v>
      </c>
      <c r="B370">
        <v>46</v>
      </c>
      <c r="C370" s="3">
        <v>100</v>
      </c>
      <c r="D370">
        <v>5</v>
      </c>
      <c r="E370" s="3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 s="3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  <c r="Z370" s="3">
        <f>Table1[[#This Row],[QUANTITYORDERED]]*Table1[[#This Row],[PRICEEACH]]</f>
        <v>4600</v>
      </c>
    </row>
    <row r="371" spans="1:26" hidden="1" x14ac:dyDescent="0.35">
      <c r="A371">
        <v>10127</v>
      </c>
      <c r="B371">
        <v>24</v>
      </c>
      <c r="C371" s="3">
        <v>100</v>
      </c>
      <c r="D371">
        <v>11</v>
      </c>
      <c r="E371" s="3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 s="3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  <c r="Z371" s="3">
        <f>Table1[[#This Row],[QUANTITYORDERED]]*Table1[[#This Row],[PRICEEACH]]</f>
        <v>2400</v>
      </c>
    </row>
    <row r="372" spans="1:26" hidden="1" x14ac:dyDescent="0.35">
      <c r="A372">
        <v>10141</v>
      </c>
      <c r="B372">
        <v>21</v>
      </c>
      <c r="C372" s="3">
        <v>100</v>
      </c>
      <c r="D372">
        <v>5</v>
      </c>
      <c r="E372" s="3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 s="3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  <c r="Z372" s="3">
        <f>Table1[[#This Row],[QUANTITYORDERED]]*Table1[[#This Row],[PRICEEACH]]</f>
        <v>2100</v>
      </c>
    </row>
    <row r="373" spans="1:26" hidden="1" x14ac:dyDescent="0.35">
      <c r="A373">
        <v>10151</v>
      </c>
      <c r="B373">
        <v>24</v>
      </c>
      <c r="C373" s="3">
        <v>100</v>
      </c>
      <c r="D373">
        <v>3</v>
      </c>
      <c r="E373" s="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 s="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  <c r="Z373" s="3">
        <f>Table1[[#This Row],[QUANTITYORDERED]]*Table1[[#This Row],[PRICEEACH]]</f>
        <v>2400</v>
      </c>
    </row>
    <row r="374" spans="1:26" hidden="1" x14ac:dyDescent="0.35">
      <c r="A374">
        <v>10165</v>
      </c>
      <c r="B374">
        <v>48</v>
      </c>
      <c r="C374" s="3">
        <v>100</v>
      </c>
      <c r="D374">
        <v>12</v>
      </c>
      <c r="E374" s="3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 s="3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  <c r="Z374" s="3">
        <f>Table1[[#This Row],[QUANTITYORDERED]]*Table1[[#This Row],[PRICEEACH]]</f>
        <v>4800</v>
      </c>
    </row>
    <row r="375" spans="1:26" hidden="1" x14ac:dyDescent="0.35">
      <c r="A375">
        <v>10175</v>
      </c>
      <c r="B375">
        <v>26</v>
      </c>
      <c r="C375" s="3">
        <v>100</v>
      </c>
      <c r="D375">
        <v>1</v>
      </c>
      <c r="E375" s="3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 s="3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  <c r="Z375" s="3">
        <f>Table1[[#This Row],[QUANTITYORDERED]]*Table1[[#This Row],[PRICEEACH]]</f>
        <v>2600</v>
      </c>
    </row>
    <row r="376" spans="1:26" hidden="1" x14ac:dyDescent="0.35">
      <c r="A376">
        <v>10184</v>
      </c>
      <c r="B376">
        <v>37</v>
      </c>
      <c r="C376" s="3">
        <v>100</v>
      </c>
      <c r="D376">
        <v>6</v>
      </c>
      <c r="E376" s="3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 s="3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  <c r="Z376" s="3">
        <f>Table1[[#This Row],[QUANTITYORDERED]]*Table1[[#This Row],[PRICEEACH]]</f>
        <v>3700</v>
      </c>
    </row>
    <row r="377" spans="1:26" hidden="1" x14ac:dyDescent="0.35">
      <c r="A377">
        <v>10195</v>
      </c>
      <c r="B377">
        <v>49</v>
      </c>
      <c r="C377" s="3">
        <v>100</v>
      </c>
      <c r="D377">
        <v>6</v>
      </c>
      <c r="E377" s="3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 s="3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  <c r="Z377" s="3">
        <f>Table1[[#This Row],[QUANTITYORDERED]]*Table1[[#This Row],[PRICEEACH]]</f>
        <v>4900</v>
      </c>
    </row>
    <row r="378" spans="1:26" hidden="1" x14ac:dyDescent="0.35">
      <c r="A378">
        <v>10207</v>
      </c>
      <c r="B378">
        <v>34</v>
      </c>
      <c r="C378" s="3">
        <v>99.54</v>
      </c>
      <c r="D378">
        <v>7</v>
      </c>
      <c r="E378" s="3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 s="3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  <c r="Z378" s="3">
        <f>Table1[[#This Row],[QUANTITYORDERED]]*Table1[[#This Row],[PRICEEACH]]</f>
        <v>3384.36</v>
      </c>
    </row>
    <row r="379" spans="1:26" hidden="1" x14ac:dyDescent="0.35">
      <c r="A379">
        <v>10219</v>
      </c>
      <c r="B379">
        <v>48</v>
      </c>
      <c r="C379" s="3">
        <v>100</v>
      </c>
      <c r="D379">
        <v>2</v>
      </c>
      <c r="E379" s="3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 s="3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  <c r="Z379" s="3">
        <f>Table1[[#This Row],[QUANTITYORDERED]]*Table1[[#This Row],[PRICEEACH]]</f>
        <v>4800</v>
      </c>
    </row>
    <row r="380" spans="1:26" hidden="1" x14ac:dyDescent="0.35">
      <c r="A380">
        <v>10229</v>
      </c>
      <c r="B380">
        <v>36</v>
      </c>
      <c r="C380" s="3">
        <v>100</v>
      </c>
      <c r="D380">
        <v>1</v>
      </c>
      <c r="E380" s="3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 s="3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  <c r="Z380" s="3">
        <f>Table1[[#This Row],[QUANTITYORDERED]]*Table1[[#This Row],[PRICEEACH]]</f>
        <v>3600</v>
      </c>
    </row>
    <row r="381" spans="1:26" hidden="1" x14ac:dyDescent="0.35">
      <c r="A381">
        <v>10246</v>
      </c>
      <c r="B381">
        <v>46</v>
      </c>
      <c r="C381" s="3">
        <v>100</v>
      </c>
      <c r="D381">
        <v>5</v>
      </c>
      <c r="E381" s="3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 s="3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  <c r="Z381" s="3">
        <f>Table1[[#This Row],[QUANTITYORDERED]]*Table1[[#This Row],[PRICEEACH]]</f>
        <v>4600</v>
      </c>
    </row>
    <row r="382" spans="1:26" hidden="1" x14ac:dyDescent="0.35">
      <c r="A382">
        <v>10259</v>
      </c>
      <c r="B382">
        <v>46</v>
      </c>
      <c r="C382" s="3">
        <v>100</v>
      </c>
      <c r="D382">
        <v>4</v>
      </c>
      <c r="E382" s="3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 s="3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  <c r="Z382" s="3">
        <f>Table1[[#This Row],[QUANTITYORDERED]]*Table1[[#This Row],[PRICEEACH]]</f>
        <v>4600</v>
      </c>
    </row>
    <row r="383" spans="1:26" hidden="1" x14ac:dyDescent="0.35">
      <c r="A383">
        <v>10271</v>
      </c>
      <c r="B383">
        <v>31</v>
      </c>
      <c r="C383" s="3">
        <v>97.17</v>
      </c>
      <c r="D383">
        <v>5</v>
      </c>
      <c r="E383" s="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 s="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  <c r="Z383" s="3">
        <f>Table1[[#This Row],[QUANTITYORDERED]]*Table1[[#This Row],[PRICEEACH]]</f>
        <v>3012.27</v>
      </c>
    </row>
    <row r="384" spans="1:26" hidden="1" x14ac:dyDescent="0.35">
      <c r="A384">
        <v>10281</v>
      </c>
      <c r="B384">
        <v>41</v>
      </c>
      <c r="C384" s="3">
        <v>100</v>
      </c>
      <c r="D384">
        <v>1</v>
      </c>
      <c r="E384" s="3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 s="3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  <c r="Z384" s="3">
        <f>Table1[[#This Row],[QUANTITYORDERED]]*Table1[[#This Row],[PRICEEACH]]</f>
        <v>4100</v>
      </c>
    </row>
    <row r="385" spans="1:26" hidden="1" x14ac:dyDescent="0.35">
      <c r="A385">
        <v>10292</v>
      </c>
      <c r="B385">
        <v>21</v>
      </c>
      <c r="C385" s="3">
        <v>100</v>
      </c>
      <c r="D385">
        <v>8</v>
      </c>
      <c r="E385" s="3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 s="3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  <c r="Z385" s="3">
        <f>Table1[[#This Row],[QUANTITYORDERED]]*Table1[[#This Row],[PRICEEACH]]</f>
        <v>2100</v>
      </c>
    </row>
    <row r="386" spans="1:26" hidden="1" x14ac:dyDescent="0.35">
      <c r="A386">
        <v>10305</v>
      </c>
      <c r="B386">
        <v>38</v>
      </c>
      <c r="C386" s="3">
        <v>100</v>
      </c>
      <c r="D386">
        <v>5</v>
      </c>
      <c r="E386" s="3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 s="3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  <c r="Z386" s="3">
        <f>Table1[[#This Row],[QUANTITYORDERED]]*Table1[[#This Row],[PRICEEACH]]</f>
        <v>3800</v>
      </c>
    </row>
    <row r="387" spans="1:26" hidden="1" x14ac:dyDescent="0.35">
      <c r="A387">
        <v>10314</v>
      </c>
      <c r="B387">
        <v>45</v>
      </c>
      <c r="C387" s="3">
        <v>100</v>
      </c>
      <c r="D387">
        <v>14</v>
      </c>
      <c r="E387" s="3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 s="3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  <c r="Z387" s="3">
        <f>Table1[[#This Row],[QUANTITYORDERED]]*Table1[[#This Row],[PRICEEACH]]</f>
        <v>4500</v>
      </c>
    </row>
    <row r="388" spans="1:26" hidden="1" x14ac:dyDescent="0.35">
      <c r="A388">
        <v>10324</v>
      </c>
      <c r="B388">
        <v>26</v>
      </c>
      <c r="C388" s="3">
        <v>58.38</v>
      </c>
      <c r="D388">
        <v>7</v>
      </c>
      <c r="E388" s="3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 s="3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  <c r="Z388" s="3">
        <f>Table1[[#This Row],[QUANTITYORDERED]]*Table1[[#This Row],[PRICEEACH]]</f>
        <v>1517.88</v>
      </c>
    </row>
    <row r="389" spans="1:26" hidden="1" x14ac:dyDescent="0.35">
      <c r="A389">
        <v>10336</v>
      </c>
      <c r="B389">
        <v>38</v>
      </c>
      <c r="C389" s="3">
        <v>100</v>
      </c>
      <c r="D389">
        <v>3</v>
      </c>
      <c r="E389" s="3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 s="3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  <c r="Z389" s="3">
        <f>Table1[[#This Row],[QUANTITYORDERED]]*Table1[[#This Row],[PRICEEACH]]</f>
        <v>3800</v>
      </c>
    </row>
    <row r="390" spans="1:26" hidden="1" x14ac:dyDescent="0.35">
      <c r="A390">
        <v>10349</v>
      </c>
      <c r="B390">
        <v>48</v>
      </c>
      <c r="C390" s="3">
        <v>100</v>
      </c>
      <c r="D390">
        <v>9</v>
      </c>
      <c r="E390" s="3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 s="3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  <c r="Z390" s="3">
        <f>Table1[[#This Row],[QUANTITYORDERED]]*Table1[[#This Row],[PRICEEACH]]</f>
        <v>4800</v>
      </c>
    </row>
    <row r="391" spans="1:26" hidden="1" x14ac:dyDescent="0.35">
      <c r="A391">
        <v>10358</v>
      </c>
      <c r="B391">
        <v>42</v>
      </c>
      <c r="C391" s="3">
        <v>64.16</v>
      </c>
      <c r="D391">
        <v>9</v>
      </c>
      <c r="E391" s="3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 s="3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  <c r="Z391" s="3">
        <f>Table1[[#This Row],[QUANTITYORDERED]]*Table1[[#This Row],[PRICEEACH]]</f>
        <v>2694.72</v>
      </c>
    </row>
    <row r="392" spans="1:26" hidden="1" x14ac:dyDescent="0.35">
      <c r="A392">
        <v>10371</v>
      </c>
      <c r="B392">
        <v>49</v>
      </c>
      <c r="C392" s="3">
        <v>35.71</v>
      </c>
      <c r="D392">
        <v>4</v>
      </c>
      <c r="E392" s="3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 s="3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  <c r="Z392" s="3">
        <f>Table1[[#This Row],[QUANTITYORDERED]]*Table1[[#This Row],[PRICEEACH]]</f>
        <v>1749.79</v>
      </c>
    </row>
    <row r="393" spans="1:26" hidden="1" x14ac:dyDescent="0.35">
      <c r="A393">
        <v>10382</v>
      </c>
      <c r="B393">
        <v>32</v>
      </c>
      <c r="C393" s="3">
        <v>66.58</v>
      </c>
      <c r="D393">
        <v>13</v>
      </c>
      <c r="E393" s="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 s="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  <c r="Z393" s="3">
        <f>Table1[[#This Row],[QUANTITYORDERED]]*Table1[[#This Row],[PRICEEACH]]</f>
        <v>2130.56</v>
      </c>
    </row>
    <row r="394" spans="1:26" hidden="1" x14ac:dyDescent="0.35">
      <c r="A394">
        <v>10412</v>
      </c>
      <c r="B394">
        <v>54</v>
      </c>
      <c r="C394" s="3">
        <v>100</v>
      </c>
      <c r="D394">
        <v>5</v>
      </c>
      <c r="E394" s="3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 s="3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  <c r="Z394" s="3">
        <f>Table1[[#This Row],[QUANTITYORDERED]]*Table1[[#This Row],[PRICEEACH]]</f>
        <v>5400</v>
      </c>
    </row>
    <row r="395" spans="1:26" hidden="1" x14ac:dyDescent="0.35">
      <c r="A395">
        <v>10425</v>
      </c>
      <c r="B395">
        <v>33</v>
      </c>
      <c r="C395" s="3">
        <v>100</v>
      </c>
      <c r="D395">
        <v>4</v>
      </c>
      <c r="E395" s="3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 s="3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  <c r="Z395" s="3">
        <f>Table1[[#This Row],[QUANTITYORDERED]]*Table1[[#This Row],[PRICEEACH]]</f>
        <v>3300</v>
      </c>
    </row>
    <row r="396" spans="1:26" x14ac:dyDescent="0.35">
      <c r="A396">
        <v>10108</v>
      </c>
      <c r="B396">
        <v>36</v>
      </c>
      <c r="C396" s="3">
        <v>100</v>
      </c>
      <c r="D396">
        <v>3</v>
      </c>
      <c r="E396" s="3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 s="3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  <c r="Z396" s="3">
        <f>Table1[[#This Row],[QUANTITYORDERED]]*Table1[[#This Row],[PRICEEACH]]</f>
        <v>3600</v>
      </c>
    </row>
    <row r="397" spans="1:26" x14ac:dyDescent="0.35">
      <c r="A397">
        <v>10122</v>
      </c>
      <c r="B397">
        <v>20</v>
      </c>
      <c r="C397" s="3">
        <v>100</v>
      </c>
      <c r="D397">
        <v>7</v>
      </c>
      <c r="E397" s="3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 s="3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  <c r="Z397" s="3">
        <f>Table1[[#This Row],[QUANTITYORDERED]]*Table1[[#This Row],[PRICEEACH]]</f>
        <v>2000</v>
      </c>
    </row>
    <row r="398" spans="1:26" x14ac:dyDescent="0.35">
      <c r="A398">
        <v>10135</v>
      </c>
      <c r="B398">
        <v>29</v>
      </c>
      <c r="C398" s="3">
        <v>97.89</v>
      </c>
      <c r="D398">
        <v>4</v>
      </c>
      <c r="E398" s="3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 s="3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  <c r="Z398" s="3">
        <f>Table1[[#This Row],[QUANTITYORDERED]]*Table1[[#This Row],[PRICEEACH]]</f>
        <v>2838.81</v>
      </c>
    </row>
    <row r="399" spans="1:26" x14ac:dyDescent="0.35">
      <c r="A399">
        <v>10147</v>
      </c>
      <c r="B399">
        <v>33</v>
      </c>
      <c r="C399" s="3">
        <v>97.89</v>
      </c>
      <c r="D399">
        <v>4</v>
      </c>
      <c r="E399" s="3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 s="3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  <c r="Z399" s="3">
        <f>Table1[[#This Row],[QUANTITYORDERED]]*Table1[[#This Row],[PRICEEACH]]</f>
        <v>3230.37</v>
      </c>
    </row>
    <row r="400" spans="1:26" x14ac:dyDescent="0.35">
      <c r="A400">
        <v>10160</v>
      </c>
      <c r="B400">
        <v>50</v>
      </c>
      <c r="C400" s="3">
        <v>100</v>
      </c>
      <c r="D400">
        <v>5</v>
      </c>
      <c r="E400" s="3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 s="3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  <c r="Z400" s="3">
        <f>Table1[[#This Row],[QUANTITYORDERED]]*Table1[[#This Row],[PRICEEACH]]</f>
        <v>5000</v>
      </c>
    </row>
    <row r="401" spans="1:26" x14ac:dyDescent="0.35">
      <c r="A401">
        <v>10170</v>
      </c>
      <c r="B401">
        <v>41</v>
      </c>
      <c r="C401" s="3">
        <v>100</v>
      </c>
      <c r="D401">
        <v>3</v>
      </c>
      <c r="E401" s="3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 s="3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  <c r="Z401" s="3">
        <f>Table1[[#This Row],[QUANTITYORDERED]]*Table1[[#This Row],[PRICEEACH]]</f>
        <v>4100</v>
      </c>
    </row>
    <row r="402" spans="1:26" x14ac:dyDescent="0.35">
      <c r="A402">
        <v>10181</v>
      </c>
      <c r="B402">
        <v>36</v>
      </c>
      <c r="C402" s="3">
        <v>100</v>
      </c>
      <c r="D402">
        <v>11</v>
      </c>
      <c r="E402" s="3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 s="3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  <c r="Z402" s="3">
        <f>Table1[[#This Row],[QUANTITYORDERED]]*Table1[[#This Row],[PRICEEACH]]</f>
        <v>3600</v>
      </c>
    </row>
    <row r="403" spans="1:26" x14ac:dyDescent="0.35">
      <c r="A403">
        <v>10192</v>
      </c>
      <c r="B403">
        <v>27</v>
      </c>
      <c r="C403" s="3">
        <v>100</v>
      </c>
      <c r="D403">
        <v>16</v>
      </c>
      <c r="E403" s="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 s="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  <c r="Z403" s="3">
        <f>Table1[[#This Row],[QUANTITYORDERED]]*Table1[[#This Row],[PRICEEACH]]</f>
        <v>2700</v>
      </c>
    </row>
    <row r="404" spans="1:26" x14ac:dyDescent="0.35">
      <c r="A404">
        <v>10203</v>
      </c>
      <c r="B404">
        <v>47</v>
      </c>
      <c r="C404" s="3">
        <v>100</v>
      </c>
      <c r="D404">
        <v>5</v>
      </c>
      <c r="E404" s="3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 s="3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  <c r="Z404" s="3">
        <f>Table1[[#This Row],[QUANTITYORDERED]]*Table1[[#This Row],[PRICEEACH]]</f>
        <v>4700</v>
      </c>
    </row>
    <row r="405" spans="1:26" x14ac:dyDescent="0.35">
      <c r="A405">
        <v>10212</v>
      </c>
      <c r="B405">
        <v>33</v>
      </c>
      <c r="C405" s="3">
        <v>100</v>
      </c>
      <c r="D405">
        <v>15</v>
      </c>
      <c r="E405" s="3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 s="3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  <c r="Z405" s="3">
        <f>Table1[[#This Row],[QUANTITYORDERED]]*Table1[[#This Row],[PRICEEACH]]</f>
        <v>3300</v>
      </c>
    </row>
    <row r="406" spans="1:26" x14ac:dyDescent="0.35">
      <c r="A406">
        <v>10225</v>
      </c>
      <c r="B406">
        <v>21</v>
      </c>
      <c r="C406" s="3">
        <v>100</v>
      </c>
      <c r="D406">
        <v>6</v>
      </c>
      <c r="E406" s="3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 s="3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  <c r="Z406" s="3">
        <f>Table1[[#This Row],[QUANTITYORDERED]]*Table1[[#This Row],[PRICEEACH]]</f>
        <v>2100</v>
      </c>
    </row>
    <row r="407" spans="1:26" x14ac:dyDescent="0.35">
      <c r="A407">
        <v>10239</v>
      </c>
      <c r="B407">
        <v>21</v>
      </c>
      <c r="C407" s="3">
        <v>93.28</v>
      </c>
      <c r="D407">
        <v>5</v>
      </c>
      <c r="E407" s="3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 s="3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  <c r="Z407" s="3">
        <f>Table1[[#This Row],[QUANTITYORDERED]]*Table1[[#This Row],[PRICEEACH]]</f>
        <v>1958.88</v>
      </c>
    </row>
    <row r="408" spans="1:26" x14ac:dyDescent="0.35">
      <c r="A408">
        <v>10253</v>
      </c>
      <c r="B408">
        <v>41</v>
      </c>
      <c r="C408" s="3">
        <v>100</v>
      </c>
      <c r="D408">
        <v>10</v>
      </c>
      <c r="E408" s="3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 s="3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  <c r="Z408" s="3">
        <f>Table1[[#This Row],[QUANTITYORDERED]]*Table1[[#This Row],[PRICEEACH]]</f>
        <v>4100</v>
      </c>
    </row>
    <row r="409" spans="1:26" x14ac:dyDescent="0.35">
      <c r="A409">
        <v>10266</v>
      </c>
      <c r="B409">
        <v>40</v>
      </c>
      <c r="C409" s="3">
        <v>100</v>
      </c>
      <c r="D409">
        <v>11</v>
      </c>
      <c r="E409" s="3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 s="3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  <c r="Z409" s="3">
        <f>Table1[[#This Row],[QUANTITYORDERED]]*Table1[[#This Row],[PRICEEACH]]</f>
        <v>4000</v>
      </c>
    </row>
    <row r="410" spans="1:26" x14ac:dyDescent="0.35">
      <c r="A410">
        <v>10277</v>
      </c>
      <c r="B410">
        <v>28</v>
      </c>
      <c r="C410" s="3">
        <v>100</v>
      </c>
      <c r="D410">
        <v>1</v>
      </c>
      <c r="E410" s="3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 s="3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  <c r="Z410" s="3">
        <f>Table1[[#This Row],[QUANTITYORDERED]]*Table1[[#This Row],[PRICEEACH]]</f>
        <v>2800</v>
      </c>
    </row>
    <row r="411" spans="1:26" x14ac:dyDescent="0.35">
      <c r="A411">
        <v>10287</v>
      </c>
      <c r="B411">
        <v>23</v>
      </c>
      <c r="C411" s="3">
        <v>100</v>
      </c>
      <c r="D411">
        <v>9</v>
      </c>
      <c r="E411" s="3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 s="3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  <c r="Z411" s="3">
        <f>Table1[[#This Row],[QUANTITYORDERED]]*Table1[[#This Row],[PRICEEACH]]</f>
        <v>2300</v>
      </c>
    </row>
    <row r="412" spans="1:26" x14ac:dyDescent="0.35">
      <c r="A412">
        <v>10300</v>
      </c>
      <c r="B412">
        <v>23</v>
      </c>
      <c r="C412" s="3">
        <v>100</v>
      </c>
      <c r="D412">
        <v>2</v>
      </c>
      <c r="E412" s="3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 s="3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  <c r="Z412" s="3">
        <f>Table1[[#This Row],[QUANTITYORDERED]]*Table1[[#This Row],[PRICEEACH]]</f>
        <v>2300</v>
      </c>
    </row>
    <row r="413" spans="1:26" x14ac:dyDescent="0.35">
      <c r="A413">
        <v>10310</v>
      </c>
      <c r="B413">
        <v>25</v>
      </c>
      <c r="C413" s="3">
        <v>100</v>
      </c>
      <c r="D413">
        <v>7</v>
      </c>
      <c r="E413" s="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 s="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  <c r="Z413" s="3">
        <f>Table1[[#This Row],[QUANTITYORDERED]]*Table1[[#This Row],[PRICEEACH]]</f>
        <v>2500</v>
      </c>
    </row>
    <row r="414" spans="1:26" x14ac:dyDescent="0.35">
      <c r="A414">
        <v>10321</v>
      </c>
      <c r="B414">
        <v>24</v>
      </c>
      <c r="C414" s="3">
        <v>100</v>
      </c>
      <c r="D414">
        <v>15</v>
      </c>
      <c r="E414" s="3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 s="3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  <c r="Z414" s="3">
        <f>Table1[[#This Row],[QUANTITYORDERED]]*Table1[[#This Row],[PRICEEACH]]</f>
        <v>2400</v>
      </c>
    </row>
    <row r="415" spans="1:26" x14ac:dyDescent="0.35">
      <c r="A415">
        <v>10329</v>
      </c>
      <c r="B415">
        <v>39</v>
      </c>
      <c r="C415" s="3">
        <v>64.739999999999995</v>
      </c>
      <c r="D415">
        <v>15</v>
      </c>
      <c r="E415" s="3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 s="3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  <c r="Z415" s="3">
        <f>Table1[[#This Row],[QUANTITYORDERED]]*Table1[[#This Row],[PRICEEACH]]</f>
        <v>2524.8599999999997</v>
      </c>
    </row>
    <row r="416" spans="1:26" x14ac:dyDescent="0.35">
      <c r="A416">
        <v>10341</v>
      </c>
      <c r="B416">
        <v>55</v>
      </c>
      <c r="C416" s="3">
        <v>75.2</v>
      </c>
      <c r="D416">
        <v>7</v>
      </c>
      <c r="E416" s="3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 s="3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  <c r="Z416" s="3">
        <f>Table1[[#This Row],[QUANTITYORDERED]]*Table1[[#This Row],[PRICEEACH]]</f>
        <v>4136</v>
      </c>
    </row>
    <row r="417" spans="1:26" x14ac:dyDescent="0.35">
      <c r="A417">
        <v>10363</v>
      </c>
      <c r="B417">
        <v>46</v>
      </c>
      <c r="C417" s="3">
        <v>88.45</v>
      </c>
      <c r="D417">
        <v>6</v>
      </c>
      <c r="E417" s="3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 s="3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  <c r="Z417" s="3">
        <f>Table1[[#This Row],[QUANTITYORDERED]]*Table1[[#This Row],[PRICEEACH]]</f>
        <v>4068.7000000000003</v>
      </c>
    </row>
    <row r="418" spans="1:26" x14ac:dyDescent="0.35">
      <c r="A418">
        <v>10377</v>
      </c>
      <c r="B418">
        <v>50</v>
      </c>
      <c r="C418" s="3">
        <v>100</v>
      </c>
      <c r="D418">
        <v>1</v>
      </c>
      <c r="E418" s="3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 s="3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  <c r="Z418" s="3">
        <f>Table1[[#This Row],[QUANTITYORDERED]]*Table1[[#This Row],[PRICEEACH]]</f>
        <v>5000</v>
      </c>
    </row>
    <row r="419" spans="1:26" x14ac:dyDescent="0.35">
      <c r="A419">
        <v>10389</v>
      </c>
      <c r="B419">
        <v>47</v>
      </c>
      <c r="C419" s="3">
        <v>100</v>
      </c>
      <c r="D419">
        <v>8</v>
      </c>
      <c r="E419" s="3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 s="3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  <c r="Z419" s="3">
        <f>Table1[[#This Row],[QUANTITYORDERED]]*Table1[[#This Row],[PRICEEACH]]</f>
        <v>4700</v>
      </c>
    </row>
    <row r="420" spans="1:26" x14ac:dyDescent="0.35">
      <c r="A420">
        <v>10405</v>
      </c>
      <c r="B420">
        <v>97</v>
      </c>
      <c r="C420" s="3">
        <v>93.28</v>
      </c>
      <c r="D420">
        <v>5</v>
      </c>
      <c r="E420" s="3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 s="3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  <c r="Z420" s="3">
        <f>Table1[[#This Row],[QUANTITYORDERED]]*Table1[[#This Row],[PRICEEACH]]</f>
        <v>9048.16</v>
      </c>
    </row>
    <row r="421" spans="1:26" x14ac:dyDescent="0.35">
      <c r="A421">
        <v>10419</v>
      </c>
      <c r="B421">
        <v>32</v>
      </c>
      <c r="C421" s="3">
        <v>100</v>
      </c>
      <c r="D421">
        <v>10</v>
      </c>
      <c r="E421" s="3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 s="3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  <c r="Z421" s="3">
        <f>Table1[[#This Row],[QUANTITYORDERED]]*Table1[[#This Row],[PRICEEACH]]</f>
        <v>3200</v>
      </c>
    </row>
    <row r="422" spans="1:26" hidden="1" x14ac:dyDescent="0.35">
      <c r="A422">
        <v>10103</v>
      </c>
      <c r="B422">
        <v>35</v>
      </c>
      <c r="C422" s="3">
        <v>100</v>
      </c>
      <c r="D422">
        <v>10</v>
      </c>
      <c r="E422" s="3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 s="3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  <c r="Z422" s="3">
        <f>Table1[[#This Row],[QUANTITYORDERED]]*Table1[[#This Row],[PRICEEACH]]</f>
        <v>3500</v>
      </c>
    </row>
    <row r="423" spans="1:26" hidden="1" x14ac:dyDescent="0.35">
      <c r="A423">
        <v>10113</v>
      </c>
      <c r="B423">
        <v>49</v>
      </c>
      <c r="C423" s="3">
        <v>100</v>
      </c>
      <c r="D423">
        <v>4</v>
      </c>
      <c r="E423" s="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 s="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  <c r="Z423" s="3">
        <f>Table1[[#This Row],[QUANTITYORDERED]]*Table1[[#This Row],[PRICEEACH]]</f>
        <v>4900</v>
      </c>
    </row>
    <row r="424" spans="1:26" hidden="1" x14ac:dyDescent="0.35">
      <c r="A424">
        <v>10126</v>
      </c>
      <c r="B424">
        <v>38</v>
      </c>
      <c r="C424" s="3">
        <v>100</v>
      </c>
      <c r="D424">
        <v>10</v>
      </c>
      <c r="E424" s="3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 s="3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  <c r="Z424" s="3">
        <f>Table1[[#This Row],[QUANTITYORDERED]]*Table1[[#This Row],[PRICEEACH]]</f>
        <v>3800</v>
      </c>
    </row>
    <row r="425" spans="1:26" hidden="1" x14ac:dyDescent="0.35">
      <c r="A425">
        <v>10140</v>
      </c>
      <c r="B425">
        <v>32</v>
      </c>
      <c r="C425" s="3">
        <v>100</v>
      </c>
      <c r="D425">
        <v>10</v>
      </c>
      <c r="E425" s="3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 s="3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  <c r="Z425" s="3">
        <f>Table1[[#This Row],[QUANTITYORDERED]]*Table1[[#This Row],[PRICEEACH]]</f>
        <v>3200</v>
      </c>
    </row>
    <row r="426" spans="1:26" hidden="1" x14ac:dyDescent="0.35">
      <c r="A426">
        <v>10150</v>
      </c>
      <c r="B426">
        <v>34</v>
      </c>
      <c r="C426" s="3">
        <v>100</v>
      </c>
      <c r="D426">
        <v>7</v>
      </c>
      <c r="E426" s="3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 s="3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  <c r="Z426" s="3">
        <f>Table1[[#This Row],[QUANTITYORDERED]]*Table1[[#This Row],[PRICEEACH]]</f>
        <v>3400</v>
      </c>
    </row>
    <row r="427" spans="1:26" hidden="1" x14ac:dyDescent="0.35">
      <c r="A427">
        <v>10164</v>
      </c>
      <c r="B427">
        <v>36</v>
      </c>
      <c r="C427" s="3">
        <v>99.17</v>
      </c>
      <c r="D427">
        <v>8</v>
      </c>
      <c r="E427" s="3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 s="3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  <c r="Z427" s="3">
        <f>Table1[[#This Row],[QUANTITYORDERED]]*Table1[[#This Row],[PRICEEACH]]</f>
        <v>3570.12</v>
      </c>
    </row>
    <row r="428" spans="1:26" hidden="1" x14ac:dyDescent="0.35">
      <c r="A428">
        <v>10174</v>
      </c>
      <c r="B428">
        <v>48</v>
      </c>
      <c r="C428" s="3">
        <v>93.34</v>
      </c>
      <c r="D428">
        <v>3</v>
      </c>
      <c r="E428" s="3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 s="3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  <c r="Z428" s="3">
        <f>Table1[[#This Row],[QUANTITYORDERED]]*Table1[[#This Row],[PRICEEACH]]</f>
        <v>4480.32</v>
      </c>
    </row>
    <row r="429" spans="1:26" hidden="1" x14ac:dyDescent="0.35">
      <c r="A429">
        <v>10183</v>
      </c>
      <c r="B429">
        <v>21</v>
      </c>
      <c r="C429" s="3">
        <v>96.84</v>
      </c>
      <c r="D429">
        <v>7</v>
      </c>
      <c r="E429" s="3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 s="3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  <c r="Z429" s="3">
        <f>Table1[[#This Row],[QUANTITYORDERED]]*Table1[[#This Row],[PRICEEACH]]</f>
        <v>2033.64</v>
      </c>
    </row>
    <row r="430" spans="1:26" hidden="1" x14ac:dyDescent="0.35">
      <c r="A430">
        <v>10194</v>
      </c>
      <c r="B430">
        <v>21</v>
      </c>
      <c r="C430" s="3">
        <v>93.34</v>
      </c>
      <c r="D430">
        <v>10</v>
      </c>
      <c r="E430" s="3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 s="3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  <c r="Z430" s="3">
        <f>Table1[[#This Row],[QUANTITYORDERED]]*Table1[[#This Row],[PRICEEACH]]</f>
        <v>1960.14</v>
      </c>
    </row>
    <row r="431" spans="1:26" hidden="1" x14ac:dyDescent="0.35">
      <c r="A431">
        <v>10206</v>
      </c>
      <c r="B431">
        <v>34</v>
      </c>
      <c r="C431" s="3">
        <v>100</v>
      </c>
      <c r="D431">
        <v>5</v>
      </c>
      <c r="E431" s="3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 s="3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  <c r="Z431" s="3">
        <f>Table1[[#This Row],[QUANTITYORDERED]]*Table1[[#This Row],[PRICEEACH]]</f>
        <v>3400</v>
      </c>
    </row>
    <row r="432" spans="1:26" hidden="1" x14ac:dyDescent="0.35">
      <c r="A432">
        <v>10215</v>
      </c>
      <c r="B432">
        <v>46</v>
      </c>
      <c r="C432" s="3">
        <v>100</v>
      </c>
      <c r="D432">
        <v>2</v>
      </c>
      <c r="E432" s="3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 s="3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  <c r="Z432" s="3">
        <f>Table1[[#This Row],[QUANTITYORDERED]]*Table1[[#This Row],[PRICEEACH]]</f>
        <v>4600</v>
      </c>
    </row>
    <row r="433" spans="1:26" hidden="1" x14ac:dyDescent="0.35">
      <c r="A433">
        <v>10228</v>
      </c>
      <c r="B433">
        <v>32</v>
      </c>
      <c r="C433" s="3">
        <v>100</v>
      </c>
      <c r="D433">
        <v>1</v>
      </c>
      <c r="E433" s="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 s="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  <c r="Z433" s="3">
        <f>Table1[[#This Row],[QUANTITYORDERED]]*Table1[[#This Row],[PRICEEACH]]</f>
        <v>3200</v>
      </c>
    </row>
    <row r="434" spans="1:26" hidden="1" x14ac:dyDescent="0.35">
      <c r="A434">
        <v>10245</v>
      </c>
      <c r="B434">
        <v>29</v>
      </c>
      <c r="C434" s="3">
        <v>100</v>
      </c>
      <c r="D434">
        <v>8</v>
      </c>
      <c r="E434" s="3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 s="3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  <c r="Z434" s="3">
        <f>Table1[[#This Row],[QUANTITYORDERED]]*Table1[[#This Row],[PRICEEACH]]</f>
        <v>2900</v>
      </c>
    </row>
    <row r="435" spans="1:26" hidden="1" x14ac:dyDescent="0.35">
      <c r="A435">
        <v>10258</v>
      </c>
      <c r="B435">
        <v>41</v>
      </c>
      <c r="C435" s="3">
        <v>100</v>
      </c>
      <c r="D435">
        <v>5</v>
      </c>
      <c r="E435" s="3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 s="3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  <c r="Z435" s="3">
        <f>Table1[[#This Row],[QUANTITYORDERED]]*Table1[[#This Row],[PRICEEACH]]</f>
        <v>4100</v>
      </c>
    </row>
    <row r="436" spans="1:26" hidden="1" x14ac:dyDescent="0.35">
      <c r="A436">
        <v>10270</v>
      </c>
      <c r="B436">
        <v>43</v>
      </c>
      <c r="C436" s="3">
        <v>96.84</v>
      </c>
      <c r="D436">
        <v>8</v>
      </c>
      <c r="E436" s="3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 s="3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  <c r="Z436" s="3">
        <f>Table1[[#This Row],[QUANTITYORDERED]]*Table1[[#This Row],[PRICEEACH]]</f>
        <v>4164.12</v>
      </c>
    </row>
    <row r="437" spans="1:26" hidden="1" x14ac:dyDescent="0.35">
      <c r="A437">
        <v>10280</v>
      </c>
      <c r="B437">
        <v>24</v>
      </c>
      <c r="C437" s="3">
        <v>100</v>
      </c>
      <c r="D437">
        <v>1</v>
      </c>
      <c r="E437" s="3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 s="3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  <c r="Z437" s="3">
        <f>Table1[[#This Row],[QUANTITYORDERED]]*Table1[[#This Row],[PRICEEACH]]</f>
        <v>2400</v>
      </c>
    </row>
    <row r="438" spans="1:26" hidden="1" x14ac:dyDescent="0.35">
      <c r="A438">
        <v>10291</v>
      </c>
      <c r="B438">
        <v>41</v>
      </c>
      <c r="C438" s="3">
        <v>100</v>
      </c>
      <c r="D438">
        <v>10</v>
      </c>
      <c r="E438" s="3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 s="3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  <c r="Z438" s="3">
        <f>Table1[[#This Row],[QUANTITYORDERED]]*Table1[[#This Row],[PRICEEACH]]</f>
        <v>4100</v>
      </c>
    </row>
    <row r="439" spans="1:26" hidden="1" x14ac:dyDescent="0.35">
      <c r="A439">
        <v>10304</v>
      </c>
      <c r="B439">
        <v>46</v>
      </c>
      <c r="C439" s="3">
        <v>98</v>
      </c>
      <c r="D439">
        <v>5</v>
      </c>
      <c r="E439" s="3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 s="3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  <c r="Z439" s="3">
        <f>Table1[[#This Row],[QUANTITYORDERED]]*Table1[[#This Row],[PRICEEACH]]</f>
        <v>4508</v>
      </c>
    </row>
    <row r="440" spans="1:26" hidden="1" x14ac:dyDescent="0.35">
      <c r="A440">
        <v>10312</v>
      </c>
      <c r="B440">
        <v>32</v>
      </c>
      <c r="C440" s="3">
        <v>100</v>
      </c>
      <c r="D440">
        <v>2</v>
      </c>
      <c r="E440" s="3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 s="3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  <c r="Z440" s="3">
        <f>Table1[[#This Row],[QUANTITYORDERED]]*Table1[[#This Row],[PRICEEACH]]</f>
        <v>3200</v>
      </c>
    </row>
    <row r="441" spans="1:26" hidden="1" x14ac:dyDescent="0.35">
      <c r="A441">
        <v>10322</v>
      </c>
      <c r="B441">
        <v>22</v>
      </c>
      <c r="C441" s="3">
        <v>100</v>
      </c>
      <c r="D441">
        <v>10</v>
      </c>
      <c r="E441" s="3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 s="3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  <c r="Z441" s="3">
        <f>Table1[[#This Row],[QUANTITYORDERED]]*Table1[[#This Row],[PRICEEACH]]</f>
        <v>2200</v>
      </c>
    </row>
    <row r="442" spans="1:26" hidden="1" x14ac:dyDescent="0.35">
      <c r="A442">
        <v>10333</v>
      </c>
      <c r="B442">
        <v>29</v>
      </c>
      <c r="C442" s="3">
        <v>40.25</v>
      </c>
      <c r="D442">
        <v>7</v>
      </c>
      <c r="E442" s="3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 s="3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  <c r="Z442" s="3">
        <f>Table1[[#This Row],[QUANTITYORDERED]]*Table1[[#This Row],[PRICEEACH]]</f>
        <v>1167.25</v>
      </c>
    </row>
    <row r="443" spans="1:26" hidden="1" x14ac:dyDescent="0.35">
      <c r="A443">
        <v>10347</v>
      </c>
      <c r="B443">
        <v>42</v>
      </c>
      <c r="C443" s="3">
        <v>49.6</v>
      </c>
      <c r="D443">
        <v>5</v>
      </c>
      <c r="E443" s="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 s="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  <c r="Z443" s="3">
        <f>Table1[[#This Row],[QUANTITYORDERED]]*Table1[[#This Row],[PRICEEACH]]</f>
        <v>2083.2000000000003</v>
      </c>
    </row>
    <row r="444" spans="1:26" hidden="1" x14ac:dyDescent="0.35">
      <c r="A444">
        <v>10357</v>
      </c>
      <c r="B444">
        <v>39</v>
      </c>
      <c r="C444" s="3">
        <v>98</v>
      </c>
      <c r="D444">
        <v>1</v>
      </c>
      <c r="E444" s="3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 s="3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  <c r="Z444" s="3">
        <f>Table1[[#This Row],[QUANTITYORDERED]]*Table1[[#This Row],[PRICEEACH]]</f>
        <v>3822</v>
      </c>
    </row>
    <row r="445" spans="1:26" hidden="1" x14ac:dyDescent="0.35">
      <c r="A445">
        <v>10370</v>
      </c>
      <c r="B445">
        <v>27</v>
      </c>
      <c r="C445" s="3">
        <v>100</v>
      </c>
      <c r="D445">
        <v>1</v>
      </c>
      <c r="E445" s="3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 s="3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  <c r="Z445" s="3">
        <f>Table1[[#This Row],[QUANTITYORDERED]]*Table1[[#This Row],[PRICEEACH]]</f>
        <v>2700</v>
      </c>
    </row>
    <row r="446" spans="1:26" hidden="1" x14ac:dyDescent="0.35">
      <c r="A446">
        <v>10381</v>
      </c>
      <c r="B446">
        <v>48</v>
      </c>
      <c r="C446" s="3">
        <v>98</v>
      </c>
      <c r="D446">
        <v>2</v>
      </c>
      <c r="E446" s="3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 s="3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  <c r="Z446" s="3">
        <f>Table1[[#This Row],[QUANTITYORDERED]]*Table1[[#This Row],[PRICEEACH]]</f>
        <v>4704</v>
      </c>
    </row>
    <row r="447" spans="1:26" hidden="1" x14ac:dyDescent="0.35">
      <c r="A447">
        <v>10391</v>
      </c>
      <c r="B447">
        <v>29</v>
      </c>
      <c r="C447" s="3">
        <v>85.1</v>
      </c>
      <c r="D447">
        <v>10</v>
      </c>
      <c r="E447" s="3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 s="3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  <c r="Z447" s="3">
        <f>Table1[[#This Row],[QUANTITYORDERED]]*Table1[[#This Row],[PRICEEACH]]</f>
        <v>2467.8999999999996</v>
      </c>
    </row>
    <row r="448" spans="1:26" hidden="1" x14ac:dyDescent="0.35">
      <c r="A448">
        <v>10411</v>
      </c>
      <c r="B448">
        <v>27</v>
      </c>
      <c r="C448" s="3">
        <v>100</v>
      </c>
      <c r="D448">
        <v>8</v>
      </c>
      <c r="E448" s="3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 s="3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  <c r="Z448" s="3">
        <f>Table1[[#This Row],[QUANTITYORDERED]]*Table1[[#This Row],[PRICEEACH]]</f>
        <v>2700</v>
      </c>
    </row>
    <row r="449" spans="1:26" hidden="1" x14ac:dyDescent="0.35">
      <c r="A449">
        <v>10424</v>
      </c>
      <c r="B449">
        <v>54</v>
      </c>
      <c r="C449" s="3">
        <v>100</v>
      </c>
      <c r="D449">
        <v>5</v>
      </c>
      <c r="E449" s="3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 s="3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  <c r="Z449" s="3">
        <f>Table1[[#This Row],[QUANTITYORDERED]]*Table1[[#This Row],[PRICEEACH]]</f>
        <v>5400</v>
      </c>
    </row>
    <row r="450" spans="1:26" x14ac:dyDescent="0.35">
      <c r="A450">
        <v>10109</v>
      </c>
      <c r="B450">
        <v>26</v>
      </c>
      <c r="C450" s="3">
        <v>100</v>
      </c>
      <c r="D450">
        <v>4</v>
      </c>
      <c r="E450" s="3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 s="3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  <c r="Z450" s="3">
        <f>Table1[[#This Row],[QUANTITYORDERED]]*Table1[[#This Row],[PRICEEACH]]</f>
        <v>2600</v>
      </c>
    </row>
    <row r="451" spans="1:26" x14ac:dyDescent="0.35">
      <c r="A451">
        <v>10122</v>
      </c>
      <c r="B451">
        <v>34</v>
      </c>
      <c r="C451" s="3">
        <v>100</v>
      </c>
      <c r="D451">
        <v>2</v>
      </c>
      <c r="E451" s="3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 s="3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  <c r="Z451" s="3">
        <f>Table1[[#This Row],[QUANTITYORDERED]]*Table1[[#This Row],[PRICEEACH]]</f>
        <v>3400</v>
      </c>
    </row>
    <row r="452" spans="1:26" x14ac:dyDescent="0.35">
      <c r="A452">
        <v>10136</v>
      </c>
      <c r="B452">
        <v>25</v>
      </c>
      <c r="C452" s="3">
        <v>100</v>
      </c>
      <c r="D452">
        <v>2</v>
      </c>
      <c r="E452" s="3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 s="3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  <c r="Z452" s="3">
        <f>Table1[[#This Row],[QUANTITYORDERED]]*Table1[[#This Row],[PRICEEACH]]</f>
        <v>2500</v>
      </c>
    </row>
    <row r="453" spans="1:26" x14ac:dyDescent="0.35">
      <c r="A453">
        <v>10148</v>
      </c>
      <c r="B453">
        <v>23</v>
      </c>
      <c r="C453" s="3">
        <v>100</v>
      </c>
      <c r="D453">
        <v>13</v>
      </c>
      <c r="E453" s="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 s="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  <c r="Z453" s="3">
        <f>Table1[[#This Row],[QUANTITYORDERED]]*Table1[[#This Row],[PRICEEACH]]</f>
        <v>2300</v>
      </c>
    </row>
    <row r="454" spans="1:26" x14ac:dyDescent="0.35">
      <c r="A454">
        <v>10161</v>
      </c>
      <c r="B454">
        <v>28</v>
      </c>
      <c r="C454" s="3">
        <v>100</v>
      </c>
      <c r="D454">
        <v>12</v>
      </c>
      <c r="E454" s="3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 s="3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  <c r="Z454" s="3">
        <f>Table1[[#This Row],[QUANTITYORDERED]]*Table1[[#This Row],[PRICEEACH]]</f>
        <v>2800</v>
      </c>
    </row>
    <row r="455" spans="1:26" x14ac:dyDescent="0.35">
      <c r="A455">
        <v>10171</v>
      </c>
      <c r="B455">
        <v>35</v>
      </c>
      <c r="C455" s="3">
        <v>100</v>
      </c>
      <c r="D455">
        <v>2</v>
      </c>
      <c r="E455" s="3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 s="3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  <c r="Z455" s="3">
        <f>Table1[[#This Row],[QUANTITYORDERED]]*Table1[[#This Row],[PRICEEACH]]</f>
        <v>3500</v>
      </c>
    </row>
    <row r="456" spans="1:26" x14ac:dyDescent="0.35">
      <c r="A456">
        <v>10181</v>
      </c>
      <c r="B456">
        <v>44</v>
      </c>
      <c r="C456" s="3">
        <v>100</v>
      </c>
      <c r="D456">
        <v>6</v>
      </c>
      <c r="E456" s="3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 s="3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  <c r="Z456" s="3">
        <f>Table1[[#This Row],[QUANTITYORDERED]]*Table1[[#This Row],[PRICEEACH]]</f>
        <v>4400</v>
      </c>
    </row>
    <row r="457" spans="1:26" x14ac:dyDescent="0.35">
      <c r="A457">
        <v>10192</v>
      </c>
      <c r="B457">
        <v>22</v>
      </c>
      <c r="C457" s="3">
        <v>100</v>
      </c>
      <c r="D457">
        <v>11</v>
      </c>
      <c r="E457" s="3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 s="3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  <c r="Z457" s="3">
        <f>Table1[[#This Row],[QUANTITYORDERED]]*Table1[[#This Row],[PRICEEACH]]</f>
        <v>2200</v>
      </c>
    </row>
    <row r="458" spans="1:26" x14ac:dyDescent="0.35">
      <c r="A458">
        <v>10204</v>
      </c>
      <c r="B458">
        <v>42</v>
      </c>
      <c r="C458" s="3">
        <v>100</v>
      </c>
      <c r="D458">
        <v>17</v>
      </c>
      <c r="E458" s="3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 s="3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  <c r="Z458" s="3">
        <f>Table1[[#This Row],[QUANTITYORDERED]]*Table1[[#This Row],[PRICEEACH]]</f>
        <v>4200</v>
      </c>
    </row>
    <row r="459" spans="1:26" x14ac:dyDescent="0.35">
      <c r="A459">
        <v>10212</v>
      </c>
      <c r="B459">
        <v>29</v>
      </c>
      <c r="C459" s="3">
        <v>100</v>
      </c>
      <c r="D459">
        <v>10</v>
      </c>
      <c r="E459" s="3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 s="3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  <c r="Z459" s="3">
        <f>Table1[[#This Row],[QUANTITYORDERED]]*Table1[[#This Row],[PRICEEACH]]</f>
        <v>2900</v>
      </c>
    </row>
    <row r="460" spans="1:26" x14ac:dyDescent="0.35">
      <c r="A460">
        <v>10225</v>
      </c>
      <c r="B460">
        <v>32</v>
      </c>
      <c r="C460" s="3">
        <v>100</v>
      </c>
      <c r="D460">
        <v>1</v>
      </c>
      <c r="E460" s="3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 s="3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  <c r="Z460" s="3">
        <f>Table1[[#This Row],[QUANTITYORDERED]]*Table1[[#This Row],[PRICEEACH]]</f>
        <v>3200</v>
      </c>
    </row>
    <row r="461" spans="1:26" x14ac:dyDescent="0.35">
      <c r="A461">
        <v>10240</v>
      </c>
      <c r="B461">
        <v>41</v>
      </c>
      <c r="C461" s="3">
        <v>100</v>
      </c>
      <c r="D461">
        <v>3</v>
      </c>
      <c r="E461" s="3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 s="3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  <c r="Z461" s="3">
        <f>Table1[[#This Row],[QUANTITYORDERED]]*Table1[[#This Row],[PRICEEACH]]</f>
        <v>4100</v>
      </c>
    </row>
    <row r="462" spans="1:26" x14ac:dyDescent="0.35">
      <c r="A462">
        <v>10253</v>
      </c>
      <c r="B462">
        <v>26</v>
      </c>
      <c r="C462" s="3">
        <v>100</v>
      </c>
      <c r="D462">
        <v>5</v>
      </c>
      <c r="E462" s="3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 s="3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  <c r="Z462" s="3">
        <f>Table1[[#This Row],[QUANTITYORDERED]]*Table1[[#This Row],[PRICEEACH]]</f>
        <v>2600</v>
      </c>
    </row>
    <row r="463" spans="1:26" x14ac:dyDescent="0.35">
      <c r="A463">
        <v>10266</v>
      </c>
      <c r="B463">
        <v>21</v>
      </c>
      <c r="C463" s="3">
        <v>100</v>
      </c>
      <c r="D463">
        <v>6</v>
      </c>
      <c r="E463" s="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 s="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  <c r="Z463" s="3">
        <f>Table1[[#This Row],[QUANTITYORDERED]]*Table1[[#This Row],[PRICEEACH]]</f>
        <v>2100</v>
      </c>
    </row>
    <row r="464" spans="1:26" x14ac:dyDescent="0.35">
      <c r="A464">
        <v>10278</v>
      </c>
      <c r="B464">
        <v>34</v>
      </c>
      <c r="C464" s="3">
        <v>100</v>
      </c>
      <c r="D464">
        <v>6</v>
      </c>
      <c r="E464" s="3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 s="3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  <c r="Z464" s="3">
        <f>Table1[[#This Row],[QUANTITYORDERED]]*Table1[[#This Row],[PRICEEACH]]</f>
        <v>3400</v>
      </c>
    </row>
    <row r="465" spans="1:26" x14ac:dyDescent="0.35">
      <c r="A465">
        <v>10287</v>
      </c>
      <c r="B465">
        <v>41</v>
      </c>
      <c r="C465" s="3">
        <v>100</v>
      </c>
      <c r="D465">
        <v>4</v>
      </c>
      <c r="E465" s="3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 s="3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  <c r="Z465" s="3">
        <f>Table1[[#This Row],[QUANTITYORDERED]]*Table1[[#This Row],[PRICEEACH]]</f>
        <v>4100</v>
      </c>
    </row>
    <row r="466" spans="1:26" x14ac:dyDescent="0.35">
      <c r="A466">
        <v>10301</v>
      </c>
      <c r="B466">
        <v>37</v>
      </c>
      <c r="C466" s="3">
        <v>100</v>
      </c>
      <c r="D466">
        <v>8</v>
      </c>
      <c r="E466" s="3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 s="3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  <c r="Z466" s="3">
        <f>Table1[[#This Row],[QUANTITYORDERED]]*Table1[[#This Row],[PRICEEACH]]</f>
        <v>3700</v>
      </c>
    </row>
    <row r="467" spans="1:26" x14ac:dyDescent="0.35">
      <c r="A467">
        <v>10310</v>
      </c>
      <c r="B467">
        <v>37</v>
      </c>
      <c r="C467" s="3">
        <v>100</v>
      </c>
      <c r="D467">
        <v>2</v>
      </c>
      <c r="E467" s="3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 s="3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  <c r="Z467" s="3">
        <f>Table1[[#This Row],[QUANTITYORDERED]]*Table1[[#This Row],[PRICEEACH]]</f>
        <v>3700</v>
      </c>
    </row>
    <row r="468" spans="1:26" x14ac:dyDescent="0.35">
      <c r="A468">
        <v>10321</v>
      </c>
      <c r="B468">
        <v>41</v>
      </c>
      <c r="C468" s="3">
        <v>100</v>
      </c>
      <c r="D468">
        <v>10</v>
      </c>
      <c r="E468" s="3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 s="3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  <c r="Z468" s="3">
        <f>Table1[[#This Row],[QUANTITYORDERED]]*Table1[[#This Row],[PRICEEACH]]</f>
        <v>4100</v>
      </c>
    </row>
    <row r="469" spans="1:26" x14ac:dyDescent="0.35">
      <c r="A469">
        <v>10331</v>
      </c>
      <c r="B469">
        <v>46</v>
      </c>
      <c r="C469" s="3">
        <v>100</v>
      </c>
      <c r="D469">
        <v>6</v>
      </c>
      <c r="E469" s="3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 s="3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  <c r="Z469" s="3">
        <f>Table1[[#This Row],[QUANTITYORDERED]]*Table1[[#This Row],[PRICEEACH]]</f>
        <v>4600</v>
      </c>
    </row>
    <row r="470" spans="1:26" x14ac:dyDescent="0.35">
      <c r="A470">
        <v>10342</v>
      </c>
      <c r="B470">
        <v>40</v>
      </c>
      <c r="C470" s="3">
        <v>100</v>
      </c>
      <c r="D470">
        <v>2</v>
      </c>
      <c r="E470" s="3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 s="3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  <c r="Z470" s="3">
        <f>Table1[[#This Row],[QUANTITYORDERED]]*Table1[[#This Row],[PRICEEACH]]</f>
        <v>4000</v>
      </c>
    </row>
    <row r="471" spans="1:26" x14ac:dyDescent="0.35">
      <c r="A471">
        <v>10356</v>
      </c>
      <c r="B471">
        <v>43</v>
      </c>
      <c r="C471" s="3">
        <v>97.6</v>
      </c>
      <c r="D471">
        <v>8</v>
      </c>
      <c r="E471" s="3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 s="3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  <c r="Z471" s="3">
        <f>Table1[[#This Row],[QUANTITYORDERED]]*Table1[[#This Row],[PRICEEACH]]</f>
        <v>4196.8</v>
      </c>
    </row>
    <row r="472" spans="1:26" x14ac:dyDescent="0.35">
      <c r="A472">
        <v>10365</v>
      </c>
      <c r="B472">
        <v>30</v>
      </c>
      <c r="C472" s="3">
        <v>87.06</v>
      </c>
      <c r="D472">
        <v>1</v>
      </c>
      <c r="E472" s="3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 s="3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  <c r="Z472" s="3">
        <f>Table1[[#This Row],[QUANTITYORDERED]]*Table1[[#This Row],[PRICEEACH]]</f>
        <v>2611.8000000000002</v>
      </c>
    </row>
    <row r="473" spans="1:26" x14ac:dyDescent="0.35">
      <c r="A473">
        <v>10377</v>
      </c>
      <c r="B473">
        <v>35</v>
      </c>
      <c r="C473" s="3">
        <v>100</v>
      </c>
      <c r="D473">
        <v>2</v>
      </c>
      <c r="E473" s="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 s="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  <c r="Z473" s="3">
        <f>Table1[[#This Row],[QUANTITYORDERED]]*Table1[[#This Row],[PRICEEACH]]</f>
        <v>3500</v>
      </c>
    </row>
    <row r="474" spans="1:26" x14ac:dyDescent="0.35">
      <c r="A474">
        <v>10390</v>
      </c>
      <c r="B474">
        <v>36</v>
      </c>
      <c r="C474" s="3">
        <v>93.77</v>
      </c>
      <c r="D474">
        <v>14</v>
      </c>
      <c r="E474" s="3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 s="3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  <c r="Z474" s="3">
        <f>Table1[[#This Row],[QUANTITYORDERED]]*Table1[[#This Row],[PRICEEACH]]</f>
        <v>3375.72</v>
      </c>
    </row>
    <row r="475" spans="1:26" x14ac:dyDescent="0.35">
      <c r="A475">
        <v>10406</v>
      </c>
      <c r="B475">
        <v>61</v>
      </c>
      <c r="C475" s="3">
        <v>100</v>
      </c>
      <c r="D475">
        <v>3</v>
      </c>
      <c r="E475" s="3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 s="3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  <c r="Z475" s="3">
        <f>Table1[[#This Row],[QUANTITYORDERED]]*Table1[[#This Row],[PRICEEACH]]</f>
        <v>6100</v>
      </c>
    </row>
    <row r="476" spans="1:26" x14ac:dyDescent="0.35">
      <c r="A476">
        <v>10419</v>
      </c>
      <c r="B476">
        <v>38</v>
      </c>
      <c r="C476" s="3">
        <v>100</v>
      </c>
      <c r="D476">
        <v>5</v>
      </c>
      <c r="E476" s="3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 s="3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  <c r="Z476" s="3">
        <f>Table1[[#This Row],[QUANTITYORDERED]]*Table1[[#This Row],[PRICEEACH]]</f>
        <v>3800</v>
      </c>
    </row>
    <row r="477" spans="1:26" hidden="1" x14ac:dyDescent="0.35">
      <c r="A477">
        <v>10102</v>
      </c>
      <c r="B477">
        <v>39</v>
      </c>
      <c r="C477" s="3">
        <v>100</v>
      </c>
      <c r="D477">
        <v>2</v>
      </c>
      <c r="E477" s="3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 s="3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  <c r="Z477" s="3">
        <f>Table1[[#This Row],[QUANTITYORDERED]]*Table1[[#This Row],[PRICEEACH]]</f>
        <v>3900</v>
      </c>
    </row>
    <row r="478" spans="1:26" hidden="1" x14ac:dyDescent="0.35">
      <c r="A478">
        <v>10111</v>
      </c>
      <c r="B478">
        <v>33</v>
      </c>
      <c r="C478" s="3">
        <v>99.66</v>
      </c>
      <c r="D478">
        <v>6</v>
      </c>
      <c r="E478" s="3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 s="3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  <c r="Z478" s="3">
        <f>Table1[[#This Row],[QUANTITYORDERED]]*Table1[[#This Row],[PRICEEACH]]</f>
        <v>3288.7799999999997</v>
      </c>
    </row>
    <row r="479" spans="1:26" hidden="1" x14ac:dyDescent="0.35">
      <c r="A479">
        <v>10125</v>
      </c>
      <c r="B479">
        <v>32</v>
      </c>
      <c r="C479" s="3">
        <v>100</v>
      </c>
      <c r="D479">
        <v>1</v>
      </c>
      <c r="E479" s="3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 s="3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  <c r="Z479" s="3">
        <f>Table1[[#This Row],[QUANTITYORDERED]]*Table1[[#This Row],[PRICEEACH]]</f>
        <v>3200</v>
      </c>
    </row>
    <row r="480" spans="1:26" hidden="1" x14ac:dyDescent="0.35">
      <c r="A480">
        <v>10139</v>
      </c>
      <c r="B480">
        <v>31</v>
      </c>
      <c r="C480" s="3">
        <v>100</v>
      </c>
      <c r="D480">
        <v>7</v>
      </c>
      <c r="E480" s="3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 s="3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  <c r="Z480" s="3">
        <f>Table1[[#This Row],[QUANTITYORDERED]]*Table1[[#This Row],[PRICEEACH]]</f>
        <v>3100</v>
      </c>
    </row>
    <row r="481" spans="1:26" hidden="1" x14ac:dyDescent="0.35">
      <c r="A481">
        <v>10149</v>
      </c>
      <c r="B481">
        <v>50</v>
      </c>
      <c r="C481" s="3">
        <v>100</v>
      </c>
      <c r="D481">
        <v>4</v>
      </c>
      <c r="E481" s="3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 s="3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  <c r="Z481" s="3">
        <f>Table1[[#This Row],[QUANTITYORDERED]]*Table1[[#This Row],[PRICEEACH]]</f>
        <v>5000</v>
      </c>
    </row>
    <row r="482" spans="1:26" hidden="1" x14ac:dyDescent="0.35">
      <c r="A482">
        <v>10162</v>
      </c>
      <c r="B482">
        <v>48</v>
      </c>
      <c r="C482" s="3">
        <v>91.44</v>
      </c>
      <c r="D482">
        <v>2</v>
      </c>
      <c r="E482" s="3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 s="3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  <c r="Z482" s="3">
        <f>Table1[[#This Row],[QUANTITYORDERED]]*Table1[[#This Row],[PRICEEACH]]</f>
        <v>4389.12</v>
      </c>
    </row>
    <row r="483" spans="1:26" hidden="1" x14ac:dyDescent="0.35">
      <c r="A483">
        <v>10173</v>
      </c>
      <c r="B483">
        <v>43</v>
      </c>
      <c r="C483" s="3">
        <v>100</v>
      </c>
      <c r="D483">
        <v>6</v>
      </c>
      <c r="E483" s="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 s="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  <c r="Z483" s="3">
        <f>Table1[[#This Row],[QUANTITYORDERED]]*Table1[[#This Row],[PRICEEACH]]</f>
        <v>4300</v>
      </c>
    </row>
    <row r="484" spans="1:26" hidden="1" x14ac:dyDescent="0.35">
      <c r="A484">
        <v>10182</v>
      </c>
      <c r="B484">
        <v>25</v>
      </c>
      <c r="C484" s="3">
        <v>87.33</v>
      </c>
      <c r="D484">
        <v>3</v>
      </c>
      <c r="E484" s="3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 s="3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  <c r="Z484" s="3">
        <f>Table1[[#This Row],[QUANTITYORDERED]]*Table1[[#This Row],[PRICEEACH]]</f>
        <v>2183.25</v>
      </c>
    </row>
    <row r="485" spans="1:26" hidden="1" x14ac:dyDescent="0.35">
      <c r="A485">
        <v>10193</v>
      </c>
      <c r="B485">
        <v>28</v>
      </c>
      <c r="C485" s="3">
        <v>100</v>
      </c>
      <c r="D485">
        <v>7</v>
      </c>
      <c r="E485" s="3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 s="3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  <c r="Z485" s="3">
        <f>Table1[[#This Row],[QUANTITYORDERED]]*Table1[[#This Row],[PRICEEACH]]</f>
        <v>2800</v>
      </c>
    </row>
    <row r="486" spans="1:26" hidden="1" x14ac:dyDescent="0.35">
      <c r="A486">
        <v>10205</v>
      </c>
      <c r="B486">
        <v>36</v>
      </c>
      <c r="C486" s="3">
        <v>100</v>
      </c>
      <c r="D486">
        <v>2</v>
      </c>
      <c r="E486" s="3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 s="3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  <c r="Z486" s="3">
        <f>Table1[[#This Row],[QUANTITYORDERED]]*Table1[[#This Row],[PRICEEACH]]</f>
        <v>3600</v>
      </c>
    </row>
    <row r="487" spans="1:26" hidden="1" x14ac:dyDescent="0.35">
      <c r="A487">
        <v>10215</v>
      </c>
      <c r="B487">
        <v>27</v>
      </c>
      <c r="C487" s="3">
        <v>89.38</v>
      </c>
      <c r="D487">
        <v>10</v>
      </c>
      <c r="E487" s="3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 s="3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  <c r="Z487" s="3">
        <f>Table1[[#This Row],[QUANTITYORDERED]]*Table1[[#This Row],[PRICEEACH]]</f>
        <v>2413.2599999999998</v>
      </c>
    </row>
    <row r="488" spans="1:26" hidden="1" x14ac:dyDescent="0.35">
      <c r="A488">
        <v>10227</v>
      </c>
      <c r="B488">
        <v>25</v>
      </c>
      <c r="C488" s="3">
        <v>100</v>
      </c>
      <c r="D488">
        <v>3</v>
      </c>
      <c r="E488" s="3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 s="3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  <c r="Z488" s="3">
        <f>Table1[[#This Row],[QUANTITYORDERED]]*Table1[[#This Row],[PRICEEACH]]</f>
        <v>2500</v>
      </c>
    </row>
    <row r="489" spans="1:26" hidden="1" x14ac:dyDescent="0.35">
      <c r="A489">
        <v>10244</v>
      </c>
      <c r="B489">
        <v>40</v>
      </c>
      <c r="C489" s="3">
        <v>100</v>
      </c>
      <c r="D489">
        <v>7</v>
      </c>
      <c r="E489" s="3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 s="3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  <c r="Z489" s="3">
        <f>Table1[[#This Row],[QUANTITYORDERED]]*Table1[[#This Row],[PRICEEACH]]</f>
        <v>4000</v>
      </c>
    </row>
    <row r="490" spans="1:26" hidden="1" x14ac:dyDescent="0.35">
      <c r="A490">
        <v>10256</v>
      </c>
      <c r="B490">
        <v>34</v>
      </c>
      <c r="C490" s="3">
        <v>95.55</v>
      </c>
      <c r="D490">
        <v>2</v>
      </c>
      <c r="E490" s="3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 s="3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  <c r="Z490" s="3">
        <f>Table1[[#This Row],[QUANTITYORDERED]]*Table1[[#This Row],[PRICEEACH]]</f>
        <v>3248.7</v>
      </c>
    </row>
    <row r="491" spans="1:26" hidden="1" x14ac:dyDescent="0.35">
      <c r="A491">
        <v>10280</v>
      </c>
      <c r="B491">
        <v>50</v>
      </c>
      <c r="C491" s="3">
        <v>100</v>
      </c>
      <c r="D491">
        <v>9</v>
      </c>
      <c r="E491" s="3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 s="3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  <c r="Z491" s="3">
        <f>Table1[[#This Row],[QUANTITYORDERED]]*Table1[[#This Row],[PRICEEACH]]</f>
        <v>5000</v>
      </c>
    </row>
    <row r="492" spans="1:26" hidden="1" x14ac:dyDescent="0.35">
      <c r="A492">
        <v>10289</v>
      </c>
      <c r="B492">
        <v>38</v>
      </c>
      <c r="C492" s="3">
        <v>100</v>
      </c>
      <c r="D492">
        <v>2</v>
      </c>
      <c r="E492" s="3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 s="3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  <c r="Z492" s="3">
        <f>Table1[[#This Row],[QUANTITYORDERED]]*Table1[[#This Row],[PRICEEACH]]</f>
        <v>3800</v>
      </c>
    </row>
    <row r="493" spans="1:26" hidden="1" x14ac:dyDescent="0.35">
      <c r="A493">
        <v>10304</v>
      </c>
      <c r="B493">
        <v>37</v>
      </c>
      <c r="C493" s="3">
        <v>95.55</v>
      </c>
      <c r="D493">
        <v>13</v>
      </c>
      <c r="E493" s="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 s="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  <c r="Z493" s="3">
        <f>Table1[[#This Row],[QUANTITYORDERED]]*Table1[[#This Row],[PRICEEACH]]</f>
        <v>3535.35</v>
      </c>
    </row>
    <row r="494" spans="1:26" hidden="1" x14ac:dyDescent="0.35">
      <c r="A494">
        <v>10312</v>
      </c>
      <c r="B494">
        <v>43</v>
      </c>
      <c r="C494" s="3">
        <v>89.38</v>
      </c>
      <c r="D494">
        <v>10</v>
      </c>
      <c r="E494" s="3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 s="3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  <c r="Z494" s="3">
        <f>Table1[[#This Row],[QUANTITYORDERED]]*Table1[[#This Row],[PRICEEACH]]</f>
        <v>3843.3399999999997</v>
      </c>
    </row>
    <row r="495" spans="1:26" hidden="1" x14ac:dyDescent="0.35">
      <c r="A495">
        <v>10322</v>
      </c>
      <c r="B495">
        <v>43</v>
      </c>
      <c r="C495" s="3">
        <v>86.3</v>
      </c>
      <c r="D495">
        <v>14</v>
      </c>
      <c r="E495" s="3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 s="3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  <c r="Z495" s="3">
        <f>Table1[[#This Row],[QUANTITYORDERED]]*Table1[[#This Row],[PRICEEACH]]</f>
        <v>3710.9</v>
      </c>
    </row>
    <row r="496" spans="1:26" hidden="1" x14ac:dyDescent="0.35">
      <c r="A496">
        <v>10332</v>
      </c>
      <c r="B496">
        <v>46</v>
      </c>
      <c r="C496" s="3">
        <v>95.13</v>
      </c>
      <c r="D496">
        <v>15</v>
      </c>
      <c r="E496" s="3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 s="3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  <c r="Z496" s="3">
        <f>Table1[[#This Row],[QUANTITYORDERED]]*Table1[[#This Row],[PRICEEACH]]</f>
        <v>4375.9799999999996</v>
      </c>
    </row>
    <row r="497" spans="1:26" hidden="1" x14ac:dyDescent="0.35">
      <c r="A497">
        <v>10346</v>
      </c>
      <c r="B497">
        <v>42</v>
      </c>
      <c r="C497" s="3">
        <v>36.11</v>
      </c>
      <c r="D497">
        <v>3</v>
      </c>
      <c r="E497" s="3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 s="3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  <c r="Z497" s="3">
        <f>Table1[[#This Row],[QUANTITYORDERED]]*Table1[[#This Row],[PRICEEACH]]</f>
        <v>1516.62</v>
      </c>
    </row>
    <row r="498" spans="1:26" hidden="1" x14ac:dyDescent="0.35">
      <c r="A498">
        <v>10356</v>
      </c>
      <c r="B498">
        <v>50</v>
      </c>
      <c r="C498" s="3">
        <v>50.18</v>
      </c>
      <c r="D498">
        <v>9</v>
      </c>
      <c r="E498" s="3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 s="3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  <c r="Z498" s="3">
        <f>Table1[[#This Row],[QUANTITYORDERED]]*Table1[[#This Row],[PRICEEACH]]</f>
        <v>2509</v>
      </c>
    </row>
    <row r="499" spans="1:26" hidden="1" x14ac:dyDescent="0.35">
      <c r="A499">
        <v>10369</v>
      </c>
      <c r="B499">
        <v>44</v>
      </c>
      <c r="C499" s="3">
        <v>100</v>
      </c>
      <c r="D499">
        <v>8</v>
      </c>
      <c r="E499" s="3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 s="3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  <c r="Z499" s="3">
        <f>Table1[[#This Row],[QUANTITYORDERED]]*Table1[[#This Row],[PRICEEACH]]</f>
        <v>4400</v>
      </c>
    </row>
    <row r="500" spans="1:26" hidden="1" x14ac:dyDescent="0.35">
      <c r="A500">
        <v>10380</v>
      </c>
      <c r="B500">
        <v>27</v>
      </c>
      <c r="C500" s="3">
        <v>93.16</v>
      </c>
      <c r="D500">
        <v>13</v>
      </c>
      <c r="E500" s="3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 s="3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  <c r="Z500" s="3">
        <f>Table1[[#This Row],[QUANTITYORDERED]]*Table1[[#This Row],[PRICEEACH]]</f>
        <v>2515.3199999999997</v>
      </c>
    </row>
    <row r="501" spans="1:26" hidden="1" x14ac:dyDescent="0.35">
      <c r="A501">
        <v>10391</v>
      </c>
      <c r="B501">
        <v>35</v>
      </c>
      <c r="C501" s="3">
        <v>100</v>
      </c>
      <c r="D501">
        <v>2</v>
      </c>
      <c r="E501" s="3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 s="3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  <c r="Z501" s="3">
        <f>Table1[[#This Row],[QUANTITYORDERED]]*Table1[[#This Row],[PRICEEACH]]</f>
        <v>3500</v>
      </c>
    </row>
    <row r="502" spans="1:26" hidden="1" x14ac:dyDescent="0.35">
      <c r="A502">
        <v>10422</v>
      </c>
      <c r="B502">
        <v>51</v>
      </c>
      <c r="C502" s="3">
        <v>95.55</v>
      </c>
      <c r="D502">
        <v>2</v>
      </c>
      <c r="E502" s="3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 s="3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  <c r="Z502" s="3">
        <f>Table1[[#This Row],[QUANTITYORDERED]]*Table1[[#This Row],[PRICEEACH]]</f>
        <v>4873.05</v>
      </c>
    </row>
    <row r="503" spans="1:26" hidden="1" x14ac:dyDescent="0.35">
      <c r="A503">
        <v>10102</v>
      </c>
      <c r="B503">
        <v>41</v>
      </c>
      <c r="C503" s="3">
        <v>50.14</v>
      </c>
      <c r="D503">
        <v>1</v>
      </c>
      <c r="E503" s="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 s="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  <c r="Z503" s="3">
        <f>Table1[[#This Row],[QUANTITYORDERED]]*Table1[[#This Row],[PRICEEACH]]</f>
        <v>2055.7400000000002</v>
      </c>
    </row>
    <row r="504" spans="1:26" hidden="1" x14ac:dyDescent="0.35">
      <c r="A504">
        <v>10111</v>
      </c>
      <c r="B504">
        <v>48</v>
      </c>
      <c r="C504" s="3">
        <v>49.06</v>
      </c>
      <c r="D504">
        <v>5</v>
      </c>
      <c r="E504" s="3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 s="3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  <c r="Z504" s="3">
        <f>Table1[[#This Row],[QUANTITYORDERED]]*Table1[[#This Row],[PRICEEACH]]</f>
        <v>2354.88</v>
      </c>
    </row>
    <row r="505" spans="1:26" hidden="1" x14ac:dyDescent="0.35">
      <c r="A505">
        <v>10126</v>
      </c>
      <c r="B505">
        <v>42</v>
      </c>
      <c r="C505" s="3">
        <v>54.99</v>
      </c>
      <c r="D505">
        <v>17</v>
      </c>
      <c r="E505" s="3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 s="3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  <c r="Z505" s="3">
        <f>Table1[[#This Row],[QUANTITYORDERED]]*Table1[[#This Row],[PRICEEACH]]</f>
        <v>2309.58</v>
      </c>
    </row>
    <row r="506" spans="1:26" hidden="1" x14ac:dyDescent="0.35">
      <c r="A506">
        <v>10139</v>
      </c>
      <c r="B506">
        <v>49</v>
      </c>
      <c r="C506" s="3">
        <v>43.13</v>
      </c>
      <c r="D506">
        <v>6</v>
      </c>
      <c r="E506" s="3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 s="3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  <c r="Z506" s="3">
        <f>Table1[[#This Row],[QUANTITYORDERED]]*Table1[[#This Row],[PRICEEACH]]</f>
        <v>2113.3700000000003</v>
      </c>
    </row>
    <row r="507" spans="1:26" hidden="1" x14ac:dyDescent="0.35">
      <c r="A507">
        <v>10149</v>
      </c>
      <c r="B507">
        <v>30</v>
      </c>
      <c r="C507" s="3">
        <v>58.22</v>
      </c>
      <c r="D507">
        <v>3</v>
      </c>
      <c r="E507" s="3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 s="3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  <c r="Z507" s="3">
        <f>Table1[[#This Row],[QUANTITYORDERED]]*Table1[[#This Row],[PRICEEACH]]</f>
        <v>1746.6</v>
      </c>
    </row>
    <row r="508" spans="1:26" hidden="1" x14ac:dyDescent="0.35">
      <c r="A508">
        <v>10162</v>
      </c>
      <c r="B508">
        <v>45</v>
      </c>
      <c r="C508" s="3">
        <v>51.21</v>
      </c>
      <c r="D508">
        <v>1</v>
      </c>
      <c r="E508" s="3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 s="3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  <c r="Z508" s="3">
        <f>Table1[[#This Row],[QUANTITYORDERED]]*Table1[[#This Row],[PRICEEACH]]</f>
        <v>2304.4499999999998</v>
      </c>
    </row>
    <row r="509" spans="1:26" hidden="1" x14ac:dyDescent="0.35">
      <c r="A509">
        <v>10173</v>
      </c>
      <c r="B509">
        <v>48</v>
      </c>
      <c r="C509" s="3">
        <v>44.21</v>
      </c>
      <c r="D509">
        <v>5</v>
      </c>
      <c r="E509" s="3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 s="3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  <c r="Z509" s="3">
        <f>Table1[[#This Row],[QUANTITYORDERED]]*Table1[[#This Row],[PRICEEACH]]</f>
        <v>2122.08</v>
      </c>
    </row>
    <row r="510" spans="1:26" hidden="1" x14ac:dyDescent="0.35">
      <c r="A510">
        <v>10182</v>
      </c>
      <c r="B510">
        <v>32</v>
      </c>
      <c r="C510" s="3">
        <v>54.45</v>
      </c>
      <c r="D510">
        <v>2</v>
      </c>
      <c r="E510" s="3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 s="3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  <c r="Z510" s="3">
        <f>Table1[[#This Row],[QUANTITYORDERED]]*Table1[[#This Row],[PRICEEACH]]</f>
        <v>1742.4</v>
      </c>
    </row>
    <row r="511" spans="1:26" hidden="1" x14ac:dyDescent="0.35">
      <c r="A511">
        <v>10193</v>
      </c>
      <c r="B511">
        <v>46</v>
      </c>
      <c r="C511" s="3">
        <v>53.37</v>
      </c>
      <c r="D511">
        <v>6</v>
      </c>
      <c r="E511" s="3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 s="3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  <c r="Z511" s="3">
        <f>Table1[[#This Row],[QUANTITYORDERED]]*Table1[[#This Row],[PRICEEACH]]</f>
        <v>2455.02</v>
      </c>
    </row>
    <row r="512" spans="1:26" hidden="1" x14ac:dyDescent="0.35">
      <c r="A512">
        <v>10205</v>
      </c>
      <c r="B512">
        <v>48</v>
      </c>
      <c r="C512" s="3">
        <v>63.61</v>
      </c>
      <c r="D512">
        <v>1</v>
      </c>
      <c r="E512" s="3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 s="3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  <c r="Z512" s="3">
        <f>Table1[[#This Row],[QUANTITYORDERED]]*Table1[[#This Row],[PRICEEACH]]</f>
        <v>3053.2799999999997</v>
      </c>
    </row>
    <row r="513" spans="1:26" hidden="1" x14ac:dyDescent="0.35">
      <c r="A513">
        <v>10215</v>
      </c>
      <c r="B513">
        <v>33</v>
      </c>
      <c r="C513" s="3">
        <v>43.13</v>
      </c>
      <c r="D513">
        <v>9</v>
      </c>
      <c r="E513" s="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 s="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  <c r="Z513" s="3">
        <f>Table1[[#This Row],[QUANTITYORDERED]]*Table1[[#This Row],[PRICEEACH]]</f>
        <v>1423.2900000000002</v>
      </c>
    </row>
    <row r="514" spans="1:26" hidden="1" x14ac:dyDescent="0.35">
      <c r="A514">
        <v>10227</v>
      </c>
      <c r="B514">
        <v>31</v>
      </c>
      <c r="C514" s="3">
        <v>48.52</v>
      </c>
      <c r="D514">
        <v>2</v>
      </c>
      <c r="E514" s="3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 s="3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  <c r="Z514" s="3">
        <f>Table1[[#This Row],[QUANTITYORDERED]]*Table1[[#This Row],[PRICEEACH]]</f>
        <v>1504.1200000000001</v>
      </c>
    </row>
    <row r="515" spans="1:26" hidden="1" x14ac:dyDescent="0.35">
      <c r="A515">
        <v>10244</v>
      </c>
      <c r="B515">
        <v>20</v>
      </c>
      <c r="C515" s="3">
        <v>58.22</v>
      </c>
      <c r="D515">
        <v>6</v>
      </c>
      <c r="E515" s="3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 s="3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  <c r="Z515" s="3">
        <f>Table1[[#This Row],[QUANTITYORDERED]]*Table1[[#This Row],[PRICEEACH]]</f>
        <v>1164.4000000000001</v>
      </c>
    </row>
    <row r="516" spans="1:26" hidden="1" x14ac:dyDescent="0.35">
      <c r="A516">
        <v>10256</v>
      </c>
      <c r="B516">
        <v>29</v>
      </c>
      <c r="C516" s="3">
        <v>51.75</v>
      </c>
      <c r="D516">
        <v>1</v>
      </c>
      <c r="E516" s="3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 s="3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  <c r="Z516" s="3">
        <f>Table1[[#This Row],[QUANTITYORDERED]]*Table1[[#This Row],[PRICEEACH]]</f>
        <v>1500.75</v>
      </c>
    </row>
    <row r="517" spans="1:26" hidden="1" x14ac:dyDescent="0.35">
      <c r="A517">
        <v>10280</v>
      </c>
      <c r="B517">
        <v>27</v>
      </c>
      <c r="C517" s="3">
        <v>57.68</v>
      </c>
      <c r="D517">
        <v>8</v>
      </c>
      <c r="E517" s="3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 s="3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  <c r="Z517" s="3">
        <f>Table1[[#This Row],[QUANTITYORDERED]]*Table1[[#This Row],[PRICEEACH]]</f>
        <v>1557.36</v>
      </c>
    </row>
    <row r="518" spans="1:26" hidden="1" x14ac:dyDescent="0.35">
      <c r="A518">
        <v>10289</v>
      </c>
      <c r="B518">
        <v>24</v>
      </c>
      <c r="C518" s="3">
        <v>56.07</v>
      </c>
      <c r="D518">
        <v>1</v>
      </c>
      <c r="E518" s="3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 s="3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  <c r="Z518" s="3">
        <f>Table1[[#This Row],[QUANTITYORDERED]]*Table1[[#This Row],[PRICEEACH]]</f>
        <v>1345.68</v>
      </c>
    </row>
    <row r="519" spans="1:26" hidden="1" x14ac:dyDescent="0.35">
      <c r="A519">
        <v>10304</v>
      </c>
      <c r="B519">
        <v>37</v>
      </c>
      <c r="C519" s="3">
        <v>48.52</v>
      </c>
      <c r="D519">
        <v>12</v>
      </c>
      <c r="E519" s="3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 s="3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  <c r="Z519" s="3">
        <f>Table1[[#This Row],[QUANTITYORDERED]]*Table1[[#This Row],[PRICEEACH]]</f>
        <v>1795.24</v>
      </c>
    </row>
    <row r="520" spans="1:26" hidden="1" x14ac:dyDescent="0.35">
      <c r="A520">
        <v>10312</v>
      </c>
      <c r="B520">
        <v>25</v>
      </c>
      <c r="C520" s="3">
        <v>44.21</v>
      </c>
      <c r="D520">
        <v>9</v>
      </c>
      <c r="E520" s="3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 s="3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  <c r="Z520" s="3">
        <f>Table1[[#This Row],[QUANTITYORDERED]]*Table1[[#This Row],[PRICEEACH]]</f>
        <v>1105.25</v>
      </c>
    </row>
    <row r="521" spans="1:26" hidden="1" x14ac:dyDescent="0.35">
      <c r="A521">
        <v>10322</v>
      </c>
      <c r="B521">
        <v>41</v>
      </c>
      <c r="C521" s="3">
        <v>57.68</v>
      </c>
      <c r="D521">
        <v>5</v>
      </c>
      <c r="E521" s="3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 s="3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  <c r="Z521" s="3">
        <f>Table1[[#This Row],[QUANTITYORDERED]]*Table1[[#This Row],[PRICEEACH]]</f>
        <v>2364.88</v>
      </c>
    </row>
    <row r="522" spans="1:26" hidden="1" x14ac:dyDescent="0.35">
      <c r="A522">
        <v>10332</v>
      </c>
      <c r="B522">
        <v>27</v>
      </c>
      <c r="C522" s="3">
        <v>89.89</v>
      </c>
      <c r="D522">
        <v>16</v>
      </c>
      <c r="E522" s="3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 s="3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  <c r="Z522" s="3">
        <f>Table1[[#This Row],[QUANTITYORDERED]]*Table1[[#This Row],[PRICEEACH]]</f>
        <v>2427.0300000000002</v>
      </c>
    </row>
    <row r="523" spans="1:26" hidden="1" x14ac:dyDescent="0.35">
      <c r="A523">
        <v>10347</v>
      </c>
      <c r="B523">
        <v>21</v>
      </c>
      <c r="C523" s="3">
        <v>58.95</v>
      </c>
      <c r="D523">
        <v>7</v>
      </c>
      <c r="E523" s="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 s="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  <c r="Z523" s="3">
        <f>Table1[[#This Row],[QUANTITYORDERED]]*Table1[[#This Row],[PRICEEACH]]</f>
        <v>1237.95</v>
      </c>
    </row>
    <row r="524" spans="1:26" hidden="1" x14ac:dyDescent="0.35">
      <c r="A524">
        <v>10356</v>
      </c>
      <c r="B524">
        <v>22</v>
      </c>
      <c r="C524" s="3">
        <v>72.41</v>
      </c>
      <c r="D524">
        <v>6</v>
      </c>
      <c r="E524" s="3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 s="3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  <c r="Z524" s="3">
        <f>Table1[[#This Row],[QUANTITYORDERED]]*Table1[[#This Row],[PRICEEACH]]</f>
        <v>1593.02</v>
      </c>
    </row>
    <row r="525" spans="1:26" hidden="1" x14ac:dyDescent="0.35">
      <c r="A525">
        <v>10369</v>
      </c>
      <c r="B525">
        <v>32</v>
      </c>
      <c r="C525" s="3">
        <v>98.63</v>
      </c>
      <c r="D525">
        <v>7</v>
      </c>
      <c r="E525" s="3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 s="3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  <c r="Z525" s="3">
        <f>Table1[[#This Row],[QUANTITYORDERED]]*Table1[[#This Row],[PRICEEACH]]</f>
        <v>3156.16</v>
      </c>
    </row>
    <row r="526" spans="1:26" hidden="1" x14ac:dyDescent="0.35">
      <c r="A526">
        <v>10381</v>
      </c>
      <c r="B526">
        <v>25</v>
      </c>
      <c r="C526" s="3">
        <v>52.83</v>
      </c>
      <c r="D526">
        <v>9</v>
      </c>
      <c r="E526" s="3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 s="3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  <c r="Z526" s="3">
        <f>Table1[[#This Row],[QUANTITYORDERED]]*Table1[[#This Row],[PRICEEACH]]</f>
        <v>1320.75</v>
      </c>
    </row>
    <row r="527" spans="1:26" hidden="1" x14ac:dyDescent="0.35">
      <c r="A527">
        <v>10391</v>
      </c>
      <c r="B527">
        <v>42</v>
      </c>
      <c r="C527" s="3">
        <v>100</v>
      </c>
      <c r="D527">
        <v>3</v>
      </c>
      <c r="E527" s="3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 s="3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  <c r="Z527" s="3">
        <f>Table1[[#This Row],[QUANTITYORDERED]]*Table1[[#This Row],[PRICEEACH]]</f>
        <v>4200</v>
      </c>
    </row>
    <row r="528" spans="1:26" hidden="1" x14ac:dyDescent="0.35">
      <c r="A528">
        <v>10422</v>
      </c>
      <c r="B528">
        <v>25</v>
      </c>
      <c r="C528" s="3">
        <v>51.75</v>
      </c>
      <c r="D528">
        <v>1</v>
      </c>
      <c r="E528" s="3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 s="3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  <c r="Z528" s="3">
        <f>Table1[[#This Row],[QUANTITYORDERED]]*Table1[[#This Row],[PRICEEACH]]</f>
        <v>1293.75</v>
      </c>
    </row>
    <row r="529" spans="1:26" x14ac:dyDescent="0.35">
      <c r="A529">
        <v>10110</v>
      </c>
      <c r="B529">
        <v>37</v>
      </c>
      <c r="C529" s="3">
        <v>100</v>
      </c>
      <c r="D529">
        <v>16</v>
      </c>
      <c r="E529" s="3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 s="3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  <c r="Z529" s="3">
        <f>Table1[[#This Row],[QUANTITYORDERED]]*Table1[[#This Row],[PRICEEACH]]</f>
        <v>3700</v>
      </c>
    </row>
    <row r="530" spans="1:26" x14ac:dyDescent="0.35">
      <c r="A530">
        <v>10123</v>
      </c>
      <c r="B530">
        <v>26</v>
      </c>
      <c r="C530" s="3">
        <v>100</v>
      </c>
      <c r="D530">
        <v>2</v>
      </c>
      <c r="E530" s="3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 s="3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  <c r="Z530" s="3">
        <f>Table1[[#This Row],[QUANTITYORDERED]]*Table1[[#This Row],[PRICEEACH]]</f>
        <v>2600</v>
      </c>
    </row>
    <row r="531" spans="1:26" x14ac:dyDescent="0.35">
      <c r="A531">
        <v>10137</v>
      </c>
      <c r="B531">
        <v>44</v>
      </c>
      <c r="C531" s="3">
        <v>99.55</v>
      </c>
      <c r="D531">
        <v>2</v>
      </c>
      <c r="E531" s="3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 s="3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  <c r="Z531" s="3">
        <f>Table1[[#This Row],[QUANTITYORDERED]]*Table1[[#This Row],[PRICEEACH]]</f>
        <v>4380.2</v>
      </c>
    </row>
    <row r="532" spans="1:26" x14ac:dyDescent="0.35">
      <c r="A532">
        <v>10148</v>
      </c>
      <c r="B532">
        <v>47</v>
      </c>
      <c r="C532" s="3">
        <v>100</v>
      </c>
      <c r="D532">
        <v>9</v>
      </c>
      <c r="E532" s="3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 s="3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  <c r="Z532" s="3">
        <f>Table1[[#This Row],[QUANTITYORDERED]]*Table1[[#This Row],[PRICEEACH]]</f>
        <v>4700</v>
      </c>
    </row>
    <row r="533" spans="1:26" x14ac:dyDescent="0.35">
      <c r="A533">
        <v>10161</v>
      </c>
      <c r="B533">
        <v>43</v>
      </c>
      <c r="C533" s="3">
        <v>100</v>
      </c>
      <c r="D533">
        <v>8</v>
      </c>
      <c r="E533" s="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 s="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  <c r="Z533" s="3">
        <f>Table1[[#This Row],[QUANTITYORDERED]]*Table1[[#This Row],[PRICEEACH]]</f>
        <v>4300</v>
      </c>
    </row>
    <row r="534" spans="1:26" x14ac:dyDescent="0.35">
      <c r="A534">
        <v>10172</v>
      </c>
      <c r="B534">
        <v>42</v>
      </c>
      <c r="C534" s="3">
        <v>100</v>
      </c>
      <c r="D534">
        <v>6</v>
      </c>
      <c r="E534" s="3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 s="3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  <c r="Z534" s="3">
        <f>Table1[[#This Row],[QUANTITYORDERED]]*Table1[[#This Row],[PRICEEACH]]</f>
        <v>4200</v>
      </c>
    </row>
    <row r="535" spans="1:26" x14ac:dyDescent="0.35">
      <c r="A535">
        <v>10181</v>
      </c>
      <c r="B535">
        <v>42</v>
      </c>
      <c r="C535" s="3">
        <v>100</v>
      </c>
      <c r="D535">
        <v>2</v>
      </c>
      <c r="E535" s="3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 s="3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  <c r="Z535" s="3">
        <f>Table1[[#This Row],[QUANTITYORDERED]]*Table1[[#This Row],[PRICEEACH]]</f>
        <v>4200</v>
      </c>
    </row>
    <row r="536" spans="1:26" x14ac:dyDescent="0.35">
      <c r="A536">
        <v>10192</v>
      </c>
      <c r="B536">
        <v>29</v>
      </c>
      <c r="C536" s="3">
        <v>100</v>
      </c>
      <c r="D536">
        <v>7</v>
      </c>
      <c r="E536" s="3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 s="3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  <c r="Z536" s="3">
        <f>Table1[[#This Row],[QUANTITYORDERED]]*Table1[[#This Row],[PRICEEACH]]</f>
        <v>2900</v>
      </c>
    </row>
    <row r="537" spans="1:26" x14ac:dyDescent="0.35">
      <c r="A537">
        <v>10204</v>
      </c>
      <c r="B537">
        <v>40</v>
      </c>
      <c r="C537" s="3">
        <v>100</v>
      </c>
      <c r="D537">
        <v>13</v>
      </c>
      <c r="E537" s="3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 s="3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  <c r="Z537" s="3">
        <f>Table1[[#This Row],[QUANTITYORDERED]]*Table1[[#This Row],[PRICEEACH]]</f>
        <v>4000</v>
      </c>
    </row>
    <row r="538" spans="1:26" x14ac:dyDescent="0.35">
      <c r="A538">
        <v>10212</v>
      </c>
      <c r="B538">
        <v>38</v>
      </c>
      <c r="C538" s="3">
        <v>100</v>
      </c>
      <c r="D538">
        <v>6</v>
      </c>
      <c r="E538" s="3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 s="3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  <c r="Z538" s="3">
        <f>Table1[[#This Row],[QUANTITYORDERED]]*Table1[[#This Row],[PRICEEACH]]</f>
        <v>3800</v>
      </c>
    </row>
    <row r="539" spans="1:26" x14ac:dyDescent="0.35">
      <c r="A539">
        <v>10226</v>
      </c>
      <c r="B539">
        <v>38</v>
      </c>
      <c r="C539" s="3">
        <v>100</v>
      </c>
      <c r="D539">
        <v>4</v>
      </c>
      <c r="E539" s="3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 s="3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  <c r="Z539" s="3">
        <f>Table1[[#This Row],[QUANTITYORDERED]]*Table1[[#This Row],[PRICEEACH]]</f>
        <v>3800</v>
      </c>
    </row>
    <row r="540" spans="1:26" x14ac:dyDescent="0.35">
      <c r="A540">
        <v>10241</v>
      </c>
      <c r="B540">
        <v>21</v>
      </c>
      <c r="C540" s="3">
        <v>100</v>
      </c>
      <c r="D540">
        <v>11</v>
      </c>
      <c r="E540" s="3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 s="3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  <c r="Z540" s="3">
        <f>Table1[[#This Row],[QUANTITYORDERED]]*Table1[[#This Row],[PRICEEACH]]</f>
        <v>2100</v>
      </c>
    </row>
    <row r="541" spans="1:26" x14ac:dyDescent="0.35">
      <c r="A541">
        <v>10253</v>
      </c>
      <c r="B541">
        <v>24</v>
      </c>
      <c r="C541" s="3">
        <v>100</v>
      </c>
      <c r="D541">
        <v>1</v>
      </c>
      <c r="E541" s="3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 s="3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  <c r="Z541" s="3">
        <f>Table1[[#This Row],[QUANTITYORDERED]]*Table1[[#This Row],[PRICEEACH]]</f>
        <v>2400</v>
      </c>
    </row>
    <row r="542" spans="1:26" x14ac:dyDescent="0.35">
      <c r="A542">
        <v>10266</v>
      </c>
      <c r="B542">
        <v>36</v>
      </c>
      <c r="C542" s="3">
        <v>100</v>
      </c>
      <c r="D542">
        <v>2</v>
      </c>
      <c r="E542" s="3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 s="3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  <c r="Z542" s="3">
        <f>Table1[[#This Row],[QUANTITYORDERED]]*Table1[[#This Row],[PRICEEACH]]</f>
        <v>3600</v>
      </c>
    </row>
    <row r="543" spans="1:26" x14ac:dyDescent="0.35">
      <c r="A543">
        <v>10278</v>
      </c>
      <c r="B543">
        <v>23</v>
      </c>
      <c r="C543" s="3">
        <v>100</v>
      </c>
      <c r="D543">
        <v>2</v>
      </c>
      <c r="E543" s="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 s="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  <c r="Z543" s="3">
        <f>Table1[[#This Row],[QUANTITYORDERED]]*Table1[[#This Row],[PRICEEACH]]</f>
        <v>2300</v>
      </c>
    </row>
    <row r="544" spans="1:26" x14ac:dyDescent="0.35">
      <c r="A544">
        <v>10288</v>
      </c>
      <c r="B544">
        <v>20</v>
      </c>
      <c r="C544" s="3">
        <v>100</v>
      </c>
      <c r="D544">
        <v>14</v>
      </c>
      <c r="E544" s="3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 s="3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  <c r="Z544" s="3">
        <f>Table1[[#This Row],[QUANTITYORDERED]]*Table1[[#This Row],[PRICEEACH]]</f>
        <v>2000</v>
      </c>
    </row>
    <row r="545" spans="1:26" x14ac:dyDescent="0.35">
      <c r="A545">
        <v>10301</v>
      </c>
      <c r="B545">
        <v>32</v>
      </c>
      <c r="C545" s="3">
        <v>100</v>
      </c>
      <c r="D545">
        <v>4</v>
      </c>
      <c r="E545" s="3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 s="3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  <c r="Z545" s="3">
        <f>Table1[[#This Row],[QUANTITYORDERED]]*Table1[[#This Row],[PRICEEACH]]</f>
        <v>3200</v>
      </c>
    </row>
    <row r="546" spans="1:26" x14ac:dyDescent="0.35">
      <c r="A546">
        <v>10311</v>
      </c>
      <c r="B546">
        <v>29</v>
      </c>
      <c r="C546" s="3">
        <v>100</v>
      </c>
      <c r="D546">
        <v>9</v>
      </c>
      <c r="E546" s="3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 s="3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  <c r="Z546" s="3">
        <f>Table1[[#This Row],[QUANTITYORDERED]]*Table1[[#This Row],[PRICEEACH]]</f>
        <v>2900</v>
      </c>
    </row>
    <row r="547" spans="1:26" x14ac:dyDescent="0.35">
      <c r="A547">
        <v>10321</v>
      </c>
      <c r="B547">
        <v>44</v>
      </c>
      <c r="C547" s="3">
        <v>100</v>
      </c>
      <c r="D547">
        <v>6</v>
      </c>
      <c r="E547" s="3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 s="3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  <c r="Z547" s="3">
        <f>Table1[[#This Row],[QUANTITYORDERED]]*Table1[[#This Row],[PRICEEACH]]</f>
        <v>4400</v>
      </c>
    </row>
    <row r="548" spans="1:26" x14ac:dyDescent="0.35">
      <c r="A548">
        <v>10331</v>
      </c>
      <c r="B548">
        <v>44</v>
      </c>
      <c r="C548" s="3">
        <v>100</v>
      </c>
      <c r="D548">
        <v>14</v>
      </c>
      <c r="E548" s="3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 s="3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  <c r="Z548" s="3">
        <f>Table1[[#This Row],[QUANTITYORDERED]]*Table1[[#This Row],[PRICEEACH]]</f>
        <v>4400</v>
      </c>
    </row>
    <row r="549" spans="1:26" x14ac:dyDescent="0.35">
      <c r="A549">
        <v>10343</v>
      </c>
      <c r="B549">
        <v>36</v>
      </c>
      <c r="C549" s="3">
        <v>100</v>
      </c>
      <c r="D549">
        <v>4</v>
      </c>
      <c r="E549" s="3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 s="3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  <c r="Z549" s="3">
        <f>Table1[[#This Row],[QUANTITYORDERED]]*Table1[[#This Row],[PRICEEACH]]</f>
        <v>3600</v>
      </c>
    </row>
    <row r="550" spans="1:26" x14ac:dyDescent="0.35">
      <c r="A550">
        <v>10367</v>
      </c>
      <c r="B550">
        <v>49</v>
      </c>
      <c r="C550" s="3">
        <v>56.3</v>
      </c>
      <c r="D550">
        <v>1</v>
      </c>
      <c r="E550" s="3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 s="3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  <c r="Z550" s="3">
        <f>Table1[[#This Row],[QUANTITYORDERED]]*Table1[[#This Row],[PRICEEACH]]</f>
        <v>2758.7</v>
      </c>
    </row>
    <row r="551" spans="1:26" x14ac:dyDescent="0.35">
      <c r="A551">
        <v>10378</v>
      </c>
      <c r="B551">
        <v>34</v>
      </c>
      <c r="C551" s="3">
        <v>42.64</v>
      </c>
      <c r="D551">
        <v>5</v>
      </c>
      <c r="E551" s="3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 s="3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  <c r="Z551" s="3">
        <f>Table1[[#This Row],[QUANTITYORDERED]]*Table1[[#This Row],[PRICEEACH]]</f>
        <v>1449.76</v>
      </c>
    </row>
    <row r="552" spans="1:26" x14ac:dyDescent="0.35">
      <c r="A552">
        <v>10407</v>
      </c>
      <c r="B552">
        <v>59</v>
      </c>
      <c r="C552" s="3">
        <v>100</v>
      </c>
      <c r="D552">
        <v>11</v>
      </c>
      <c r="E552" s="3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 s="3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  <c r="Z552" s="3">
        <f>Table1[[#This Row],[QUANTITYORDERED]]*Table1[[#This Row],[PRICEEACH]]</f>
        <v>5900</v>
      </c>
    </row>
    <row r="553" spans="1:26" x14ac:dyDescent="0.35">
      <c r="A553">
        <v>10419</v>
      </c>
      <c r="B553">
        <v>37</v>
      </c>
      <c r="C553" s="3">
        <v>100</v>
      </c>
      <c r="D553">
        <v>1</v>
      </c>
      <c r="E553" s="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 s="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  <c r="Z553" s="3">
        <f>Table1[[#This Row],[QUANTITYORDERED]]*Table1[[#This Row],[PRICEEACH]]</f>
        <v>3700</v>
      </c>
    </row>
    <row r="554" spans="1:26" hidden="1" x14ac:dyDescent="0.35">
      <c r="A554">
        <v>10106</v>
      </c>
      <c r="B554">
        <v>36</v>
      </c>
      <c r="C554" s="3">
        <v>100</v>
      </c>
      <c r="D554">
        <v>12</v>
      </c>
      <c r="E554" s="3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 s="3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  <c r="Z554" s="3">
        <f>Table1[[#This Row],[QUANTITYORDERED]]*Table1[[#This Row],[PRICEEACH]]</f>
        <v>3600</v>
      </c>
    </row>
    <row r="555" spans="1:26" hidden="1" x14ac:dyDescent="0.35">
      <c r="A555">
        <v>10119</v>
      </c>
      <c r="B555">
        <v>43</v>
      </c>
      <c r="C555" s="3">
        <v>100</v>
      </c>
      <c r="D555">
        <v>3</v>
      </c>
      <c r="E555" s="3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 s="3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  <c r="Z555" s="3">
        <f>Table1[[#This Row],[QUANTITYORDERED]]*Table1[[#This Row],[PRICEEACH]]</f>
        <v>4300</v>
      </c>
    </row>
    <row r="556" spans="1:26" hidden="1" x14ac:dyDescent="0.35">
      <c r="A556">
        <v>10131</v>
      </c>
      <c r="B556">
        <v>21</v>
      </c>
      <c r="C556" s="3">
        <v>100</v>
      </c>
      <c r="D556">
        <v>4</v>
      </c>
      <c r="E556" s="3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 s="3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  <c r="Z556" s="3">
        <f>Table1[[#This Row],[QUANTITYORDERED]]*Table1[[#This Row],[PRICEEACH]]</f>
        <v>2100</v>
      </c>
    </row>
    <row r="557" spans="1:26" hidden="1" x14ac:dyDescent="0.35">
      <c r="A557">
        <v>10143</v>
      </c>
      <c r="B557">
        <v>32</v>
      </c>
      <c r="C557" s="3">
        <v>100</v>
      </c>
      <c r="D557">
        <v>7</v>
      </c>
      <c r="E557" s="3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 s="3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  <c r="Z557" s="3">
        <f>Table1[[#This Row],[QUANTITYORDERED]]*Table1[[#This Row],[PRICEEACH]]</f>
        <v>3200</v>
      </c>
    </row>
    <row r="558" spans="1:26" hidden="1" x14ac:dyDescent="0.35">
      <c r="A558">
        <v>10155</v>
      </c>
      <c r="B558">
        <v>38</v>
      </c>
      <c r="C558" s="3">
        <v>100</v>
      </c>
      <c r="D558">
        <v>5</v>
      </c>
      <c r="E558" s="3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 s="3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  <c r="Z558" s="3">
        <f>Table1[[#This Row],[QUANTITYORDERED]]*Table1[[#This Row],[PRICEEACH]]</f>
        <v>3800</v>
      </c>
    </row>
    <row r="559" spans="1:26" hidden="1" x14ac:dyDescent="0.35">
      <c r="A559">
        <v>10167</v>
      </c>
      <c r="B559">
        <v>43</v>
      </c>
      <c r="C559" s="3">
        <v>100</v>
      </c>
      <c r="D559">
        <v>1</v>
      </c>
      <c r="E559" s="3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 s="3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  <c r="Z559" s="3">
        <f>Table1[[#This Row],[QUANTITYORDERED]]*Table1[[#This Row],[PRICEEACH]]</f>
        <v>4300</v>
      </c>
    </row>
    <row r="560" spans="1:26" hidden="1" x14ac:dyDescent="0.35">
      <c r="A560">
        <v>10178</v>
      </c>
      <c r="B560">
        <v>42</v>
      </c>
      <c r="C560" s="3">
        <v>100</v>
      </c>
      <c r="D560">
        <v>4</v>
      </c>
      <c r="E560" s="3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 s="3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  <c r="Z560" s="3">
        <f>Table1[[#This Row],[QUANTITYORDERED]]*Table1[[#This Row],[PRICEEACH]]</f>
        <v>4200</v>
      </c>
    </row>
    <row r="561" spans="1:26" hidden="1" x14ac:dyDescent="0.35">
      <c r="A561">
        <v>10186</v>
      </c>
      <c r="B561">
        <v>32</v>
      </c>
      <c r="C561" s="3">
        <v>100</v>
      </c>
      <c r="D561">
        <v>1</v>
      </c>
      <c r="E561" s="3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 s="3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  <c r="Z561" s="3">
        <f>Table1[[#This Row],[QUANTITYORDERED]]*Table1[[#This Row],[PRICEEACH]]</f>
        <v>3200</v>
      </c>
    </row>
    <row r="562" spans="1:26" hidden="1" x14ac:dyDescent="0.35">
      <c r="A562">
        <v>10198</v>
      </c>
      <c r="B562">
        <v>42</v>
      </c>
      <c r="C562" s="3">
        <v>100</v>
      </c>
      <c r="D562">
        <v>4</v>
      </c>
      <c r="E562" s="3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 s="3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  <c r="Z562" s="3">
        <f>Table1[[#This Row],[QUANTITYORDERED]]*Table1[[#This Row],[PRICEEACH]]</f>
        <v>4200</v>
      </c>
    </row>
    <row r="563" spans="1:26" hidden="1" x14ac:dyDescent="0.35">
      <c r="A563">
        <v>10210</v>
      </c>
      <c r="B563">
        <v>31</v>
      </c>
      <c r="C563" s="3">
        <v>100</v>
      </c>
      <c r="D563">
        <v>17</v>
      </c>
      <c r="E563" s="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 s="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  <c r="Z563" s="3">
        <f>Table1[[#This Row],[QUANTITYORDERED]]*Table1[[#This Row],[PRICEEACH]]</f>
        <v>3100</v>
      </c>
    </row>
    <row r="564" spans="1:26" hidden="1" x14ac:dyDescent="0.35">
      <c r="A564">
        <v>10222</v>
      </c>
      <c r="B564">
        <v>49</v>
      </c>
      <c r="C564" s="3">
        <v>100</v>
      </c>
      <c r="D564">
        <v>4</v>
      </c>
      <c r="E564" s="3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 s="3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  <c r="Z564" s="3">
        <f>Table1[[#This Row],[QUANTITYORDERED]]*Table1[[#This Row],[PRICEEACH]]</f>
        <v>4900</v>
      </c>
    </row>
    <row r="565" spans="1:26" hidden="1" x14ac:dyDescent="0.35">
      <c r="A565">
        <v>10250</v>
      </c>
      <c r="B565">
        <v>45</v>
      </c>
      <c r="C565" s="3">
        <v>100</v>
      </c>
      <c r="D565">
        <v>14</v>
      </c>
      <c r="E565" s="3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 s="3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  <c r="Z565" s="3">
        <f>Table1[[#This Row],[QUANTITYORDERED]]*Table1[[#This Row],[PRICEEACH]]</f>
        <v>4500</v>
      </c>
    </row>
    <row r="566" spans="1:26" hidden="1" x14ac:dyDescent="0.35">
      <c r="A566">
        <v>10262</v>
      </c>
      <c r="B566">
        <v>49</v>
      </c>
      <c r="C566" s="3">
        <v>100</v>
      </c>
      <c r="D566">
        <v>9</v>
      </c>
      <c r="E566" s="3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 s="3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  <c r="Z566" s="3">
        <f>Table1[[#This Row],[QUANTITYORDERED]]*Table1[[#This Row],[PRICEEACH]]</f>
        <v>4900</v>
      </c>
    </row>
    <row r="567" spans="1:26" hidden="1" x14ac:dyDescent="0.35">
      <c r="A567">
        <v>10274</v>
      </c>
      <c r="B567">
        <v>41</v>
      </c>
      <c r="C567" s="3">
        <v>100</v>
      </c>
      <c r="D567">
        <v>1</v>
      </c>
      <c r="E567" s="3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 s="3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  <c r="Z567" s="3">
        <f>Table1[[#This Row],[QUANTITYORDERED]]*Table1[[#This Row],[PRICEEACH]]</f>
        <v>4100</v>
      </c>
    </row>
    <row r="568" spans="1:26" hidden="1" x14ac:dyDescent="0.35">
      <c r="A568">
        <v>10284</v>
      </c>
      <c r="B568">
        <v>45</v>
      </c>
      <c r="C568" s="3">
        <v>100</v>
      </c>
      <c r="D568">
        <v>11</v>
      </c>
      <c r="E568" s="3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 s="3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  <c r="Z568" s="3">
        <f>Table1[[#This Row],[QUANTITYORDERED]]*Table1[[#This Row],[PRICEEACH]]</f>
        <v>4500</v>
      </c>
    </row>
    <row r="569" spans="1:26" hidden="1" x14ac:dyDescent="0.35">
      <c r="A569">
        <v>10296</v>
      </c>
      <c r="B569">
        <v>36</v>
      </c>
      <c r="C569" s="3">
        <v>100</v>
      </c>
      <c r="D569">
        <v>7</v>
      </c>
      <c r="E569" s="3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 s="3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  <c r="Z569" s="3">
        <f>Table1[[#This Row],[QUANTITYORDERED]]*Table1[[#This Row],[PRICEEACH]]</f>
        <v>3600</v>
      </c>
    </row>
    <row r="570" spans="1:26" hidden="1" x14ac:dyDescent="0.35">
      <c r="A570">
        <v>10307</v>
      </c>
      <c r="B570">
        <v>39</v>
      </c>
      <c r="C570" s="3">
        <v>100</v>
      </c>
      <c r="D570">
        <v>1</v>
      </c>
      <c r="E570" s="3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 s="3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  <c r="Z570" s="3">
        <f>Table1[[#This Row],[QUANTITYORDERED]]*Table1[[#This Row],[PRICEEACH]]</f>
        <v>3900</v>
      </c>
    </row>
    <row r="571" spans="1:26" hidden="1" x14ac:dyDescent="0.35">
      <c r="A571">
        <v>10316</v>
      </c>
      <c r="B571">
        <v>27</v>
      </c>
      <c r="C571" s="3">
        <v>100</v>
      </c>
      <c r="D571">
        <v>9</v>
      </c>
      <c r="E571" s="3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 s="3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  <c r="Z571" s="3">
        <f>Table1[[#This Row],[QUANTITYORDERED]]*Table1[[#This Row],[PRICEEACH]]</f>
        <v>2700</v>
      </c>
    </row>
    <row r="572" spans="1:26" hidden="1" x14ac:dyDescent="0.35">
      <c r="A572">
        <v>10327</v>
      </c>
      <c r="B572">
        <v>25</v>
      </c>
      <c r="C572" s="3">
        <v>100</v>
      </c>
      <c r="D572">
        <v>6</v>
      </c>
      <c r="E572" s="3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 s="3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  <c r="Z572" s="3">
        <f>Table1[[#This Row],[QUANTITYORDERED]]*Table1[[#This Row],[PRICEEACH]]</f>
        <v>2500</v>
      </c>
    </row>
    <row r="573" spans="1:26" hidden="1" x14ac:dyDescent="0.35">
      <c r="A573">
        <v>10338</v>
      </c>
      <c r="B573">
        <v>41</v>
      </c>
      <c r="C573" s="3">
        <v>100</v>
      </c>
      <c r="D573">
        <v>1</v>
      </c>
      <c r="E573" s="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 s="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  <c r="Z573" s="3">
        <f>Table1[[#This Row],[QUANTITYORDERED]]*Table1[[#This Row],[PRICEEACH]]</f>
        <v>4100</v>
      </c>
    </row>
    <row r="574" spans="1:26" hidden="1" x14ac:dyDescent="0.35">
      <c r="A574">
        <v>10351</v>
      </c>
      <c r="B574">
        <v>39</v>
      </c>
      <c r="C574" s="3">
        <v>99.52</v>
      </c>
      <c r="D574">
        <v>1</v>
      </c>
      <c r="E574" s="3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 s="3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  <c r="Z574" s="3">
        <f>Table1[[#This Row],[QUANTITYORDERED]]*Table1[[#This Row],[PRICEEACH]]</f>
        <v>3881.2799999999997</v>
      </c>
    </row>
    <row r="575" spans="1:26" hidden="1" x14ac:dyDescent="0.35">
      <c r="A575">
        <v>10373</v>
      </c>
      <c r="B575">
        <v>28</v>
      </c>
      <c r="C575" s="3">
        <v>57.55</v>
      </c>
      <c r="D575">
        <v>4</v>
      </c>
      <c r="E575" s="3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 s="3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  <c r="Z575" s="3">
        <f>Table1[[#This Row],[QUANTITYORDERED]]*Table1[[#This Row],[PRICEEACH]]</f>
        <v>1611.3999999999999</v>
      </c>
    </row>
    <row r="576" spans="1:26" hidden="1" x14ac:dyDescent="0.35">
      <c r="A576">
        <v>10386</v>
      </c>
      <c r="B576">
        <v>25</v>
      </c>
      <c r="C576" s="3">
        <v>54.57</v>
      </c>
      <c r="D576">
        <v>7</v>
      </c>
      <c r="E576" s="3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 s="3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  <c r="Z576" s="3">
        <f>Table1[[#This Row],[QUANTITYORDERED]]*Table1[[#This Row],[PRICEEACH]]</f>
        <v>1364.25</v>
      </c>
    </row>
    <row r="577" spans="1:26" hidden="1" x14ac:dyDescent="0.35">
      <c r="A577">
        <v>10398</v>
      </c>
      <c r="B577">
        <v>33</v>
      </c>
      <c r="C577" s="3">
        <v>100</v>
      </c>
      <c r="D577">
        <v>11</v>
      </c>
      <c r="E577" s="3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 s="3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  <c r="Z577" s="3">
        <f>Table1[[#This Row],[QUANTITYORDERED]]*Table1[[#This Row],[PRICEEACH]]</f>
        <v>3300</v>
      </c>
    </row>
    <row r="578" spans="1:26" hidden="1" x14ac:dyDescent="0.35">
      <c r="A578">
        <v>10400</v>
      </c>
      <c r="B578">
        <v>34</v>
      </c>
      <c r="C578" s="3">
        <v>100</v>
      </c>
      <c r="D578">
        <v>1</v>
      </c>
      <c r="E578" s="3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 s="3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  <c r="Z578" s="3">
        <f>Table1[[#This Row],[QUANTITYORDERED]]*Table1[[#This Row],[PRICEEACH]]</f>
        <v>3400</v>
      </c>
    </row>
    <row r="579" spans="1:26" hidden="1" x14ac:dyDescent="0.35">
      <c r="A579">
        <v>10416</v>
      </c>
      <c r="B579">
        <v>24</v>
      </c>
      <c r="C579" s="3">
        <v>100</v>
      </c>
      <c r="D579">
        <v>14</v>
      </c>
      <c r="E579" s="3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 s="3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  <c r="Z579" s="3">
        <f>Table1[[#This Row],[QUANTITYORDERED]]*Table1[[#This Row],[PRICEEACH]]</f>
        <v>2400</v>
      </c>
    </row>
    <row r="580" spans="1:26" hidden="1" x14ac:dyDescent="0.35">
      <c r="A580">
        <v>10100</v>
      </c>
      <c r="B580">
        <v>30</v>
      </c>
      <c r="C580" s="3">
        <v>100</v>
      </c>
      <c r="D580">
        <v>3</v>
      </c>
      <c r="E580" s="3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 s="3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  <c r="Z580" s="3">
        <f>Table1[[#This Row],[QUANTITYORDERED]]*Table1[[#This Row],[PRICEEACH]]</f>
        <v>3000</v>
      </c>
    </row>
    <row r="581" spans="1:26" hidden="1" x14ac:dyDescent="0.35">
      <c r="A581">
        <v>10110</v>
      </c>
      <c r="B581">
        <v>42</v>
      </c>
      <c r="C581" s="3">
        <v>100</v>
      </c>
      <c r="D581">
        <v>7</v>
      </c>
      <c r="E581" s="3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 s="3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  <c r="Z581" s="3">
        <f>Table1[[#This Row],[QUANTITYORDERED]]*Table1[[#This Row],[PRICEEACH]]</f>
        <v>4200</v>
      </c>
    </row>
    <row r="582" spans="1:26" hidden="1" x14ac:dyDescent="0.35">
      <c r="A582">
        <v>10124</v>
      </c>
      <c r="B582">
        <v>21</v>
      </c>
      <c r="C582" s="3">
        <v>100</v>
      </c>
      <c r="D582">
        <v>6</v>
      </c>
      <c r="E582" s="3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 s="3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  <c r="Z582" s="3">
        <f>Table1[[#This Row],[QUANTITYORDERED]]*Table1[[#This Row],[PRICEEACH]]</f>
        <v>2100</v>
      </c>
    </row>
    <row r="583" spans="1:26" hidden="1" x14ac:dyDescent="0.35">
      <c r="A583">
        <v>10149</v>
      </c>
      <c r="B583">
        <v>34</v>
      </c>
      <c r="C583" s="3">
        <v>100</v>
      </c>
      <c r="D583">
        <v>11</v>
      </c>
      <c r="E583" s="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 s="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  <c r="Z583" s="3">
        <f>Table1[[#This Row],[QUANTITYORDERED]]*Table1[[#This Row],[PRICEEACH]]</f>
        <v>3400</v>
      </c>
    </row>
    <row r="584" spans="1:26" hidden="1" x14ac:dyDescent="0.35">
      <c r="A584">
        <v>10162</v>
      </c>
      <c r="B584">
        <v>29</v>
      </c>
      <c r="C584" s="3">
        <v>100</v>
      </c>
      <c r="D584">
        <v>9</v>
      </c>
      <c r="E584" s="3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 s="3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  <c r="Z584" s="3">
        <f>Table1[[#This Row],[QUANTITYORDERED]]*Table1[[#This Row],[PRICEEACH]]</f>
        <v>2900</v>
      </c>
    </row>
    <row r="585" spans="1:26" hidden="1" x14ac:dyDescent="0.35">
      <c r="A585">
        <v>10173</v>
      </c>
      <c r="B585">
        <v>24</v>
      </c>
      <c r="C585" s="3">
        <v>100</v>
      </c>
      <c r="D585">
        <v>13</v>
      </c>
      <c r="E585" s="3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 s="3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  <c r="Z585" s="3">
        <f>Table1[[#This Row],[QUANTITYORDERED]]*Table1[[#This Row],[PRICEEACH]]</f>
        <v>2400</v>
      </c>
    </row>
    <row r="586" spans="1:26" hidden="1" x14ac:dyDescent="0.35">
      <c r="A586">
        <v>10182</v>
      </c>
      <c r="B586">
        <v>44</v>
      </c>
      <c r="C586" s="3">
        <v>100</v>
      </c>
      <c r="D586">
        <v>10</v>
      </c>
      <c r="E586" s="3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 s="3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  <c r="Z586" s="3">
        <f>Table1[[#This Row],[QUANTITYORDERED]]*Table1[[#This Row],[PRICEEACH]]</f>
        <v>4400</v>
      </c>
    </row>
    <row r="587" spans="1:26" hidden="1" x14ac:dyDescent="0.35">
      <c r="A587">
        <v>10193</v>
      </c>
      <c r="B587">
        <v>21</v>
      </c>
      <c r="C587" s="3">
        <v>100</v>
      </c>
      <c r="D587">
        <v>14</v>
      </c>
      <c r="E587" s="3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 s="3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  <c r="Z587" s="3">
        <f>Table1[[#This Row],[QUANTITYORDERED]]*Table1[[#This Row],[PRICEEACH]]</f>
        <v>2100</v>
      </c>
    </row>
    <row r="588" spans="1:26" hidden="1" x14ac:dyDescent="0.35">
      <c r="A588">
        <v>10204</v>
      </c>
      <c r="B588">
        <v>33</v>
      </c>
      <c r="C588" s="3">
        <v>100</v>
      </c>
      <c r="D588">
        <v>4</v>
      </c>
      <c r="E588" s="3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 s="3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  <c r="Z588" s="3">
        <f>Table1[[#This Row],[QUANTITYORDERED]]*Table1[[#This Row],[PRICEEACH]]</f>
        <v>3300</v>
      </c>
    </row>
    <row r="589" spans="1:26" hidden="1" x14ac:dyDescent="0.35">
      <c r="A589">
        <v>10214</v>
      </c>
      <c r="B589">
        <v>30</v>
      </c>
      <c r="C589" s="3">
        <v>100</v>
      </c>
      <c r="D589">
        <v>7</v>
      </c>
      <c r="E589" s="3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 s="3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  <c r="Z589" s="3">
        <f>Table1[[#This Row],[QUANTITYORDERED]]*Table1[[#This Row],[PRICEEACH]]</f>
        <v>3000</v>
      </c>
    </row>
    <row r="590" spans="1:26" hidden="1" x14ac:dyDescent="0.35">
      <c r="A590">
        <v>10227</v>
      </c>
      <c r="B590">
        <v>26</v>
      </c>
      <c r="C590" s="3">
        <v>100</v>
      </c>
      <c r="D590">
        <v>10</v>
      </c>
      <c r="E590" s="3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 s="3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  <c r="Z590" s="3">
        <f>Table1[[#This Row],[QUANTITYORDERED]]*Table1[[#This Row],[PRICEEACH]]</f>
        <v>2600</v>
      </c>
    </row>
    <row r="591" spans="1:26" hidden="1" x14ac:dyDescent="0.35">
      <c r="A591">
        <v>10241</v>
      </c>
      <c r="B591">
        <v>41</v>
      </c>
      <c r="C591" s="3">
        <v>100</v>
      </c>
      <c r="D591">
        <v>2</v>
      </c>
      <c r="E591" s="3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 s="3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  <c r="Z591" s="3">
        <f>Table1[[#This Row],[QUANTITYORDERED]]*Table1[[#This Row],[PRICEEACH]]</f>
        <v>4100</v>
      </c>
    </row>
    <row r="592" spans="1:26" hidden="1" x14ac:dyDescent="0.35">
      <c r="A592">
        <v>10280</v>
      </c>
      <c r="B592">
        <v>26</v>
      </c>
      <c r="C592" s="3">
        <v>100</v>
      </c>
      <c r="D592">
        <v>16</v>
      </c>
      <c r="E592" s="3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 s="3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  <c r="Z592" s="3">
        <f>Table1[[#This Row],[QUANTITYORDERED]]*Table1[[#This Row],[PRICEEACH]]</f>
        <v>2600</v>
      </c>
    </row>
    <row r="593" spans="1:26" hidden="1" x14ac:dyDescent="0.35">
      <c r="A593">
        <v>10288</v>
      </c>
      <c r="B593">
        <v>32</v>
      </c>
      <c r="C593" s="3">
        <v>100</v>
      </c>
      <c r="D593">
        <v>5</v>
      </c>
      <c r="E593" s="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 s="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  <c r="Z593" s="3">
        <f>Table1[[#This Row],[QUANTITYORDERED]]*Table1[[#This Row],[PRICEEACH]]</f>
        <v>3200</v>
      </c>
    </row>
    <row r="594" spans="1:26" hidden="1" x14ac:dyDescent="0.35">
      <c r="A594">
        <v>10302</v>
      </c>
      <c r="B594">
        <v>43</v>
      </c>
      <c r="C594" s="3">
        <v>100</v>
      </c>
      <c r="D594">
        <v>1</v>
      </c>
      <c r="E594" s="3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 s="3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  <c r="Z594" s="3">
        <f>Table1[[#This Row],[QUANTITYORDERED]]*Table1[[#This Row],[PRICEEACH]]</f>
        <v>4300</v>
      </c>
    </row>
    <row r="595" spans="1:26" hidden="1" x14ac:dyDescent="0.35">
      <c r="A595">
        <v>10312</v>
      </c>
      <c r="B595">
        <v>48</v>
      </c>
      <c r="C595" s="3">
        <v>100</v>
      </c>
      <c r="D595">
        <v>17</v>
      </c>
      <c r="E595" s="3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 s="3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  <c r="Z595" s="3">
        <f>Table1[[#This Row],[QUANTITYORDERED]]*Table1[[#This Row],[PRICEEACH]]</f>
        <v>4800</v>
      </c>
    </row>
    <row r="596" spans="1:26" hidden="1" x14ac:dyDescent="0.35">
      <c r="A596">
        <v>10331</v>
      </c>
      <c r="B596">
        <v>44</v>
      </c>
      <c r="C596" s="3">
        <v>74.040000000000006</v>
      </c>
      <c r="D596">
        <v>7</v>
      </c>
      <c r="E596" s="3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 s="3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  <c r="Z596" s="3">
        <f>Table1[[#This Row],[QUANTITYORDERED]]*Table1[[#This Row],[PRICEEACH]]</f>
        <v>3257.76</v>
      </c>
    </row>
    <row r="597" spans="1:26" hidden="1" x14ac:dyDescent="0.35">
      <c r="A597">
        <v>10344</v>
      </c>
      <c r="B597">
        <v>45</v>
      </c>
      <c r="C597" s="3">
        <v>100</v>
      </c>
      <c r="D597">
        <v>1</v>
      </c>
      <c r="E597" s="3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 s="3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  <c r="Z597" s="3">
        <f>Table1[[#This Row],[QUANTITYORDERED]]*Table1[[#This Row],[PRICEEACH]]</f>
        <v>4500</v>
      </c>
    </row>
    <row r="598" spans="1:26" hidden="1" x14ac:dyDescent="0.35">
      <c r="A598">
        <v>10367</v>
      </c>
      <c r="B598">
        <v>37</v>
      </c>
      <c r="C598" s="3">
        <v>100</v>
      </c>
      <c r="D598">
        <v>3</v>
      </c>
      <c r="E598" s="3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 s="3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  <c r="Z598" s="3">
        <f>Table1[[#This Row],[QUANTITYORDERED]]*Table1[[#This Row],[PRICEEACH]]</f>
        <v>3700</v>
      </c>
    </row>
    <row r="599" spans="1:26" hidden="1" x14ac:dyDescent="0.35">
      <c r="A599">
        <v>10379</v>
      </c>
      <c r="B599">
        <v>39</v>
      </c>
      <c r="C599" s="3">
        <v>100</v>
      </c>
      <c r="D599">
        <v>2</v>
      </c>
      <c r="E599" s="3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 s="3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  <c r="Z599" s="3">
        <f>Table1[[#This Row],[QUANTITYORDERED]]*Table1[[#This Row],[PRICEEACH]]</f>
        <v>3900</v>
      </c>
    </row>
    <row r="600" spans="1:26" hidden="1" x14ac:dyDescent="0.35">
      <c r="A600">
        <v>10407</v>
      </c>
      <c r="B600">
        <v>76</v>
      </c>
      <c r="C600" s="3">
        <v>100</v>
      </c>
      <c r="D600">
        <v>2</v>
      </c>
      <c r="E600" s="3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 s="3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  <c r="Z600" s="3">
        <f>Table1[[#This Row],[QUANTITYORDERED]]*Table1[[#This Row],[PRICEEACH]]</f>
        <v>7600</v>
      </c>
    </row>
    <row r="601" spans="1:26" hidden="1" x14ac:dyDescent="0.35">
      <c r="A601">
        <v>10420</v>
      </c>
      <c r="B601">
        <v>37</v>
      </c>
      <c r="C601" s="3">
        <v>100</v>
      </c>
      <c r="D601">
        <v>5</v>
      </c>
      <c r="E601" s="3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 s="3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  <c r="Z601" s="3">
        <f>Table1[[#This Row],[QUANTITYORDERED]]*Table1[[#This Row],[PRICEEACH]]</f>
        <v>3700</v>
      </c>
    </row>
    <row r="602" spans="1:26" x14ac:dyDescent="0.35">
      <c r="A602">
        <v>10108</v>
      </c>
      <c r="B602">
        <v>38</v>
      </c>
      <c r="C602" s="3">
        <v>82.39</v>
      </c>
      <c r="D602">
        <v>2</v>
      </c>
      <c r="E602" s="3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 s="3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  <c r="Z602" s="3">
        <f>Table1[[#This Row],[QUANTITYORDERED]]*Table1[[#This Row],[PRICEEACH]]</f>
        <v>3130.82</v>
      </c>
    </row>
    <row r="603" spans="1:26" x14ac:dyDescent="0.35">
      <c r="A603">
        <v>10122</v>
      </c>
      <c r="B603">
        <v>43</v>
      </c>
      <c r="C603" s="3">
        <v>72.38</v>
      </c>
      <c r="D603">
        <v>6</v>
      </c>
      <c r="E603" s="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 s="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  <c r="Z603" s="3">
        <f>Table1[[#This Row],[QUANTITYORDERED]]*Table1[[#This Row],[PRICEEACH]]</f>
        <v>3112.3399999999997</v>
      </c>
    </row>
    <row r="604" spans="1:26" x14ac:dyDescent="0.35">
      <c r="A604">
        <v>10135</v>
      </c>
      <c r="B604">
        <v>48</v>
      </c>
      <c r="C604" s="3">
        <v>79.31</v>
      </c>
      <c r="D604">
        <v>3</v>
      </c>
      <c r="E604" s="3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 s="3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  <c r="Z604" s="3">
        <f>Table1[[#This Row],[QUANTITYORDERED]]*Table1[[#This Row],[PRICEEACH]]</f>
        <v>3806.88</v>
      </c>
    </row>
    <row r="605" spans="1:26" x14ac:dyDescent="0.35">
      <c r="A605">
        <v>10147</v>
      </c>
      <c r="B605">
        <v>26</v>
      </c>
      <c r="C605" s="3">
        <v>82.39</v>
      </c>
      <c r="D605">
        <v>3</v>
      </c>
      <c r="E605" s="3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 s="3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  <c r="Z605" s="3">
        <f>Table1[[#This Row],[QUANTITYORDERED]]*Table1[[#This Row],[PRICEEACH]]</f>
        <v>2142.14</v>
      </c>
    </row>
    <row r="606" spans="1:26" x14ac:dyDescent="0.35">
      <c r="A606">
        <v>10160</v>
      </c>
      <c r="B606">
        <v>38</v>
      </c>
      <c r="C606" s="3">
        <v>88.55</v>
      </c>
      <c r="D606">
        <v>4</v>
      </c>
      <c r="E606" s="3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 s="3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  <c r="Z606" s="3">
        <f>Table1[[#This Row],[QUANTITYORDERED]]*Table1[[#This Row],[PRICEEACH]]</f>
        <v>3364.9</v>
      </c>
    </row>
    <row r="607" spans="1:26" x14ac:dyDescent="0.35">
      <c r="A607">
        <v>10170</v>
      </c>
      <c r="B607">
        <v>20</v>
      </c>
      <c r="C607" s="3">
        <v>63.14</v>
      </c>
      <c r="D607">
        <v>2</v>
      </c>
      <c r="E607" s="3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 s="3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  <c r="Z607" s="3">
        <f>Table1[[#This Row],[QUANTITYORDERED]]*Table1[[#This Row],[PRICEEACH]]</f>
        <v>1262.8</v>
      </c>
    </row>
    <row r="608" spans="1:26" x14ac:dyDescent="0.35">
      <c r="A608">
        <v>10181</v>
      </c>
      <c r="B608">
        <v>22</v>
      </c>
      <c r="C608" s="3">
        <v>73.92</v>
      </c>
      <c r="D608">
        <v>10</v>
      </c>
      <c r="E608" s="3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 s="3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  <c r="Z608" s="3">
        <f>Table1[[#This Row],[QUANTITYORDERED]]*Table1[[#This Row],[PRICEEACH]]</f>
        <v>1626.24</v>
      </c>
    </row>
    <row r="609" spans="1:26" x14ac:dyDescent="0.35">
      <c r="A609">
        <v>10192</v>
      </c>
      <c r="B609">
        <v>45</v>
      </c>
      <c r="C609" s="3">
        <v>90.86</v>
      </c>
      <c r="D609">
        <v>15</v>
      </c>
      <c r="E609" s="3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 s="3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  <c r="Z609" s="3">
        <f>Table1[[#This Row],[QUANTITYORDERED]]*Table1[[#This Row],[PRICEEACH]]</f>
        <v>4088.7</v>
      </c>
    </row>
    <row r="610" spans="1:26" x14ac:dyDescent="0.35">
      <c r="A610">
        <v>10203</v>
      </c>
      <c r="B610">
        <v>45</v>
      </c>
      <c r="C610" s="3">
        <v>85.47</v>
      </c>
      <c r="D610">
        <v>4</v>
      </c>
      <c r="E610" s="3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 s="3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  <c r="Z610" s="3">
        <f>Table1[[#This Row],[QUANTITYORDERED]]*Table1[[#This Row],[PRICEEACH]]</f>
        <v>3846.15</v>
      </c>
    </row>
    <row r="611" spans="1:26" x14ac:dyDescent="0.35">
      <c r="A611">
        <v>10212</v>
      </c>
      <c r="B611">
        <v>20</v>
      </c>
      <c r="C611" s="3">
        <v>66.989999999999995</v>
      </c>
      <c r="D611">
        <v>14</v>
      </c>
      <c r="E611" s="3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 s="3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  <c r="Z611" s="3">
        <f>Table1[[#This Row],[QUANTITYORDERED]]*Table1[[#This Row],[PRICEEACH]]</f>
        <v>1339.8</v>
      </c>
    </row>
    <row r="612" spans="1:26" x14ac:dyDescent="0.35">
      <c r="A612">
        <v>10225</v>
      </c>
      <c r="B612">
        <v>47</v>
      </c>
      <c r="C612" s="3">
        <v>64.680000000000007</v>
      </c>
      <c r="D612">
        <v>5</v>
      </c>
      <c r="E612" s="3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 s="3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  <c r="Z612" s="3">
        <f>Table1[[#This Row],[QUANTITYORDERED]]*Table1[[#This Row],[PRICEEACH]]</f>
        <v>3039.9600000000005</v>
      </c>
    </row>
    <row r="613" spans="1:26" x14ac:dyDescent="0.35">
      <c r="A613">
        <v>10239</v>
      </c>
      <c r="B613">
        <v>46</v>
      </c>
      <c r="C613" s="3">
        <v>73.92</v>
      </c>
      <c r="D613">
        <v>4</v>
      </c>
      <c r="E613" s="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 s="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  <c r="Z613" s="3">
        <f>Table1[[#This Row],[QUANTITYORDERED]]*Table1[[#This Row],[PRICEEACH]]</f>
        <v>3400.32</v>
      </c>
    </row>
    <row r="614" spans="1:26" x14ac:dyDescent="0.35">
      <c r="A614">
        <v>10253</v>
      </c>
      <c r="B614">
        <v>23</v>
      </c>
      <c r="C614" s="3">
        <v>83.93</v>
      </c>
      <c r="D614">
        <v>9</v>
      </c>
      <c r="E614" s="3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 s="3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  <c r="Z614" s="3">
        <f>Table1[[#This Row],[QUANTITYORDERED]]*Table1[[#This Row],[PRICEEACH]]</f>
        <v>1930.39</v>
      </c>
    </row>
    <row r="615" spans="1:26" x14ac:dyDescent="0.35">
      <c r="A615">
        <v>10266</v>
      </c>
      <c r="B615">
        <v>33</v>
      </c>
      <c r="C615" s="3">
        <v>74.69</v>
      </c>
      <c r="D615">
        <v>10</v>
      </c>
      <c r="E615" s="3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 s="3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  <c r="Z615" s="3">
        <f>Table1[[#This Row],[QUANTITYORDERED]]*Table1[[#This Row],[PRICEEACH]]</f>
        <v>2464.77</v>
      </c>
    </row>
    <row r="616" spans="1:26" x14ac:dyDescent="0.35">
      <c r="A616">
        <v>10278</v>
      </c>
      <c r="B616">
        <v>29</v>
      </c>
      <c r="C616" s="3">
        <v>90.86</v>
      </c>
      <c r="D616">
        <v>10</v>
      </c>
      <c r="E616" s="3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 s="3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  <c r="Z616" s="3">
        <f>Table1[[#This Row],[QUANTITYORDERED]]*Table1[[#This Row],[PRICEEACH]]</f>
        <v>2634.94</v>
      </c>
    </row>
    <row r="617" spans="1:26" x14ac:dyDescent="0.35">
      <c r="A617">
        <v>10287</v>
      </c>
      <c r="B617">
        <v>44</v>
      </c>
      <c r="C617" s="3">
        <v>82.39</v>
      </c>
      <c r="D617">
        <v>8</v>
      </c>
      <c r="E617" s="3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 s="3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  <c r="Z617" s="3">
        <f>Table1[[#This Row],[QUANTITYORDERED]]*Table1[[#This Row],[PRICEEACH]]</f>
        <v>3625.16</v>
      </c>
    </row>
    <row r="618" spans="1:26" x14ac:dyDescent="0.35">
      <c r="A618">
        <v>10300</v>
      </c>
      <c r="B618">
        <v>41</v>
      </c>
      <c r="C618" s="3">
        <v>92.4</v>
      </c>
      <c r="D618">
        <v>1</v>
      </c>
      <c r="E618" s="3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 s="3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  <c r="Z618" s="3">
        <f>Table1[[#This Row],[QUANTITYORDERED]]*Table1[[#This Row],[PRICEEACH]]</f>
        <v>3788.4</v>
      </c>
    </row>
    <row r="619" spans="1:26" x14ac:dyDescent="0.35">
      <c r="A619">
        <v>10310</v>
      </c>
      <c r="B619">
        <v>20</v>
      </c>
      <c r="C619" s="3">
        <v>91.63</v>
      </c>
      <c r="D619">
        <v>6</v>
      </c>
      <c r="E619" s="3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 s="3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  <c r="Z619" s="3">
        <f>Table1[[#This Row],[QUANTITYORDERED]]*Table1[[#This Row],[PRICEEACH]]</f>
        <v>1832.6</v>
      </c>
    </row>
    <row r="620" spans="1:26" x14ac:dyDescent="0.35">
      <c r="A620">
        <v>10321</v>
      </c>
      <c r="B620">
        <v>37</v>
      </c>
      <c r="C620" s="3">
        <v>78.540000000000006</v>
      </c>
      <c r="D620">
        <v>14</v>
      </c>
      <c r="E620" s="3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 s="3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  <c r="Z620" s="3">
        <f>Table1[[#This Row],[QUANTITYORDERED]]*Table1[[#This Row],[PRICEEACH]]</f>
        <v>2905.98</v>
      </c>
    </row>
    <row r="621" spans="1:26" x14ac:dyDescent="0.35">
      <c r="A621">
        <v>10329</v>
      </c>
      <c r="B621">
        <v>29</v>
      </c>
      <c r="C621" s="3">
        <v>100</v>
      </c>
      <c r="D621">
        <v>9</v>
      </c>
      <c r="E621" s="3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 s="3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  <c r="Z621" s="3">
        <f>Table1[[#This Row],[QUANTITYORDERED]]*Table1[[#This Row],[PRICEEACH]]</f>
        <v>2900</v>
      </c>
    </row>
    <row r="622" spans="1:26" x14ac:dyDescent="0.35">
      <c r="A622">
        <v>10342</v>
      </c>
      <c r="B622">
        <v>55</v>
      </c>
      <c r="C622" s="3">
        <v>65.45</v>
      </c>
      <c r="D622">
        <v>1</v>
      </c>
      <c r="E622" s="3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 s="3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  <c r="Z622" s="3">
        <f>Table1[[#This Row],[QUANTITYORDERED]]*Table1[[#This Row],[PRICEEACH]]</f>
        <v>3599.75</v>
      </c>
    </row>
    <row r="623" spans="1:26" x14ac:dyDescent="0.35">
      <c r="A623">
        <v>10363</v>
      </c>
      <c r="B623">
        <v>22</v>
      </c>
      <c r="C623" s="3">
        <v>100</v>
      </c>
      <c r="D623">
        <v>7</v>
      </c>
      <c r="E623" s="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 s="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  <c r="Z623" s="3">
        <f>Table1[[#This Row],[QUANTITYORDERED]]*Table1[[#This Row],[PRICEEACH]]</f>
        <v>2200</v>
      </c>
    </row>
    <row r="624" spans="1:26" x14ac:dyDescent="0.35">
      <c r="A624">
        <v>10377</v>
      </c>
      <c r="B624">
        <v>31</v>
      </c>
      <c r="C624" s="3">
        <v>67.760000000000005</v>
      </c>
      <c r="D624">
        <v>4</v>
      </c>
      <c r="E624" s="3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 s="3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  <c r="Z624" s="3">
        <f>Table1[[#This Row],[QUANTITYORDERED]]*Table1[[#This Row],[PRICEEACH]]</f>
        <v>2100.56</v>
      </c>
    </row>
    <row r="625" spans="1:26" x14ac:dyDescent="0.35">
      <c r="A625">
        <v>10389</v>
      </c>
      <c r="B625">
        <v>49</v>
      </c>
      <c r="C625" s="3">
        <v>79.22</v>
      </c>
      <c r="D625">
        <v>3</v>
      </c>
      <c r="E625" s="3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 s="3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  <c r="Z625" s="3">
        <f>Table1[[#This Row],[QUANTITYORDERED]]*Table1[[#This Row],[PRICEEACH]]</f>
        <v>3881.7799999999997</v>
      </c>
    </row>
    <row r="626" spans="1:26" x14ac:dyDescent="0.35">
      <c r="A626">
        <v>10405</v>
      </c>
      <c r="B626">
        <v>61</v>
      </c>
      <c r="C626" s="3">
        <v>73.92</v>
      </c>
      <c r="D626">
        <v>4</v>
      </c>
      <c r="E626" s="3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 s="3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  <c r="Z626" s="3">
        <f>Table1[[#This Row],[QUANTITYORDERED]]*Table1[[#This Row],[PRICEEACH]]</f>
        <v>4509.12</v>
      </c>
    </row>
    <row r="627" spans="1:26" x14ac:dyDescent="0.35">
      <c r="A627">
        <v>10419</v>
      </c>
      <c r="B627">
        <v>39</v>
      </c>
      <c r="C627" s="3">
        <v>83.93</v>
      </c>
      <c r="D627">
        <v>9</v>
      </c>
      <c r="E627" s="3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 s="3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  <c r="Z627" s="3">
        <f>Table1[[#This Row],[QUANTITYORDERED]]*Table1[[#This Row],[PRICEEACH]]</f>
        <v>3273.2700000000004</v>
      </c>
    </row>
    <row r="628" spans="1:26" x14ac:dyDescent="0.35">
      <c r="A628">
        <v>10109</v>
      </c>
      <c r="B628">
        <v>38</v>
      </c>
      <c r="C628" s="3">
        <v>100</v>
      </c>
      <c r="D628">
        <v>3</v>
      </c>
      <c r="E628" s="3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 s="3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  <c r="Z628" s="3">
        <f>Table1[[#This Row],[QUANTITYORDERED]]*Table1[[#This Row],[PRICEEACH]]</f>
        <v>3800</v>
      </c>
    </row>
    <row r="629" spans="1:26" x14ac:dyDescent="0.35">
      <c r="A629">
        <v>10122</v>
      </c>
      <c r="B629">
        <v>31</v>
      </c>
      <c r="C629" s="3">
        <v>100</v>
      </c>
      <c r="D629">
        <v>1</v>
      </c>
      <c r="E629" s="3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 s="3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  <c r="Z629" s="3">
        <f>Table1[[#This Row],[QUANTITYORDERED]]*Table1[[#This Row],[PRICEEACH]]</f>
        <v>3100</v>
      </c>
    </row>
    <row r="630" spans="1:26" x14ac:dyDescent="0.35">
      <c r="A630">
        <v>10136</v>
      </c>
      <c r="B630">
        <v>36</v>
      </c>
      <c r="C630" s="3">
        <v>100</v>
      </c>
      <c r="D630">
        <v>1</v>
      </c>
      <c r="E630" s="3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 s="3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  <c r="Z630" s="3">
        <f>Table1[[#This Row],[QUANTITYORDERED]]*Table1[[#This Row],[PRICEEACH]]</f>
        <v>3600</v>
      </c>
    </row>
    <row r="631" spans="1:26" x14ac:dyDescent="0.35">
      <c r="A631">
        <v>10148</v>
      </c>
      <c r="B631">
        <v>25</v>
      </c>
      <c r="C631" s="3">
        <v>100</v>
      </c>
      <c r="D631">
        <v>12</v>
      </c>
      <c r="E631" s="3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 s="3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  <c r="Z631" s="3">
        <f>Table1[[#This Row],[QUANTITYORDERED]]*Table1[[#This Row],[PRICEEACH]]</f>
        <v>2500</v>
      </c>
    </row>
    <row r="632" spans="1:26" x14ac:dyDescent="0.35">
      <c r="A632">
        <v>10161</v>
      </c>
      <c r="B632">
        <v>48</v>
      </c>
      <c r="C632" s="3">
        <v>100</v>
      </c>
      <c r="D632">
        <v>11</v>
      </c>
      <c r="E632" s="3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 s="3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  <c r="Z632" s="3">
        <f>Table1[[#This Row],[QUANTITYORDERED]]*Table1[[#This Row],[PRICEEACH]]</f>
        <v>4800</v>
      </c>
    </row>
    <row r="633" spans="1:26" x14ac:dyDescent="0.35">
      <c r="A633">
        <v>10171</v>
      </c>
      <c r="B633">
        <v>35</v>
      </c>
      <c r="C633" s="3">
        <v>100</v>
      </c>
      <c r="D633">
        <v>1</v>
      </c>
      <c r="E633" s="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 s="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  <c r="Z633" s="3">
        <f>Table1[[#This Row],[QUANTITYORDERED]]*Table1[[#This Row],[PRICEEACH]]</f>
        <v>3500</v>
      </c>
    </row>
    <row r="634" spans="1:26" x14ac:dyDescent="0.35">
      <c r="A634">
        <v>10181</v>
      </c>
      <c r="B634">
        <v>21</v>
      </c>
      <c r="C634" s="3">
        <v>100</v>
      </c>
      <c r="D634">
        <v>5</v>
      </c>
      <c r="E634" s="3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 s="3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  <c r="Z634" s="3">
        <f>Table1[[#This Row],[QUANTITYORDERED]]*Table1[[#This Row],[PRICEEACH]]</f>
        <v>2100</v>
      </c>
    </row>
    <row r="635" spans="1:26" x14ac:dyDescent="0.35">
      <c r="A635">
        <v>10192</v>
      </c>
      <c r="B635">
        <v>47</v>
      </c>
      <c r="C635" s="3">
        <v>100</v>
      </c>
      <c r="D635">
        <v>10</v>
      </c>
      <c r="E635" s="3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 s="3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  <c r="Z635" s="3">
        <f>Table1[[#This Row],[QUANTITYORDERED]]*Table1[[#This Row],[PRICEEACH]]</f>
        <v>4700</v>
      </c>
    </row>
    <row r="636" spans="1:26" x14ac:dyDescent="0.35">
      <c r="A636">
        <v>10204</v>
      </c>
      <c r="B636">
        <v>38</v>
      </c>
      <c r="C636" s="3">
        <v>100</v>
      </c>
      <c r="D636">
        <v>16</v>
      </c>
      <c r="E636" s="3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 s="3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  <c r="Z636" s="3">
        <f>Table1[[#This Row],[QUANTITYORDERED]]*Table1[[#This Row],[PRICEEACH]]</f>
        <v>3800</v>
      </c>
    </row>
    <row r="637" spans="1:26" x14ac:dyDescent="0.35">
      <c r="A637">
        <v>10212</v>
      </c>
      <c r="B637">
        <v>41</v>
      </c>
      <c r="C637" s="3">
        <v>100</v>
      </c>
      <c r="D637">
        <v>9</v>
      </c>
      <c r="E637" s="3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 s="3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  <c r="Z637" s="3">
        <f>Table1[[#This Row],[QUANTITYORDERED]]*Table1[[#This Row],[PRICEEACH]]</f>
        <v>4100</v>
      </c>
    </row>
    <row r="638" spans="1:26" x14ac:dyDescent="0.35">
      <c r="A638">
        <v>10226</v>
      </c>
      <c r="B638">
        <v>24</v>
      </c>
      <c r="C638" s="3">
        <v>100</v>
      </c>
      <c r="D638">
        <v>7</v>
      </c>
      <c r="E638" s="3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 s="3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  <c r="Z638" s="3">
        <f>Table1[[#This Row],[QUANTITYORDERED]]*Table1[[#This Row],[PRICEEACH]]</f>
        <v>2400</v>
      </c>
    </row>
    <row r="639" spans="1:26" x14ac:dyDescent="0.35">
      <c r="A639">
        <v>10240</v>
      </c>
      <c r="B639">
        <v>37</v>
      </c>
      <c r="C639" s="3">
        <v>100</v>
      </c>
      <c r="D639">
        <v>2</v>
      </c>
      <c r="E639" s="3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 s="3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  <c r="Z639" s="3">
        <f>Table1[[#This Row],[QUANTITYORDERED]]*Table1[[#This Row],[PRICEEACH]]</f>
        <v>3700</v>
      </c>
    </row>
    <row r="640" spans="1:26" x14ac:dyDescent="0.35">
      <c r="A640">
        <v>10253</v>
      </c>
      <c r="B640">
        <v>33</v>
      </c>
      <c r="C640" s="3">
        <v>100</v>
      </c>
      <c r="D640">
        <v>4</v>
      </c>
      <c r="E640" s="3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 s="3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  <c r="Z640" s="3">
        <f>Table1[[#This Row],[QUANTITYORDERED]]*Table1[[#This Row],[PRICEEACH]]</f>
        <v>3300</v>
      </c>
    </row>
    <row r="641" spans="1:26" x14ac:dyDescent="0.35">
      <c r="A641">
        <v>10266</v>
      </c>
      <c r="B641">
        <v>49</v>
      </c>
      <c r="C641" s="3">
        <v>100</v>
      </c>
      <c r="D641">
        <v>5</v>
      </c>
      <c r="E641" s="3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 s="3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  <c r="Z641" s="3">
        <f>Table1[[#This Row],[QUANTITYORDERED]]*Table1[[#This Row],[PRICEEACH]]</f>
        <v>4900</v>
      </c>
    </row>
    <row r="642" spans="1:26" x14ac:dyDescent="0.35">
      <c r="A642">
        <v>10278</v>
      </c>
      <c r="B642">
        <v>29</v>
      </c>
      <c r="C642" s="3">
        <v>100</v>
      </c>
      <c r="D642">
        <v>5</v>
      </c>
      <c r="E642" s="3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 s="3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  <c r="Z642" s="3">
        <f>Table1[[#This Row],[QUANTITYORDERED]]*Table1[[#This Row],[PRICEEACH]]</f>
        <v>2900</v>
      </c>
    </row>
    <row r="643" spans="1:26" x14ac:dyDescent="0.35">
      <c r="A643">
        <v>10287</v>
      </c>
      <c r="B643">
        <v>24</v>
      </c>
      <c r="C643" s="3">
        <v>100</v>
      </c>
      <c r="D643">
        <v>3</v>
      </c>
      <c r="E643" s="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 s="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  <c r="Z643" s="3">
        <f>Table1[[#This Row],[QUANTITYORDERED]]*Table1[[#This Row],[PRICEEACH]]</f>
        <v>2400</v>
      </c>
    </row>
    <row r="644" spans="1:26" x14ac:dyDescent="0.35">
      <c r="A644">
        <v>10301</v>
      </c>
      <c r="B644">
        <v>47</v>
      </c>
      <c r="C644" s="3">
        <v>100</v>
      </c>
      <c r="D644">
        <v>7</v>
      </c>
      <c r="E644" s="3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 s="3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  <c r="Z644" s="3">
        <f>Table1[[#This Row],[QUANTITYORDERED]]*Table1[[#This Row],[PRICEEACH]]</f>
        <v>4700</v>
      </c>
    </row>
    <row r="645" spans="1:26" x14ac:dyDescent="0.35">
      <c r="A645">
        <v>10310</v>
      </c>
      <c r="B645">
        <v>24</v>
      </c>
      <c r="C645" s="3">
        <v>100</v>
      </c>
      <c r="D645">
        <v>1</v>
      </c>
      <c r="E645" s="3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 s="3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  <c r="Z645" s="3">
        <f>Table1[[#This Row],[QUANTITYORDERED]]*Table1[[#This Row],[PRICEEACH]]</f>
        <v>2400</v>
      </c>
    </row>
    <row r="646" spans="1:26" x14ac:dyDescent="0.35">
      <c r="A646">
        <v>10321</v>
      </c>
      <c r="B646">
        <v>25</v>
      </c>
      <c r="C646" s="3">
        <v>100</v>
      </c>
      <c r="D646">
        <v>9</v>
      </c>
      <c r="E646" s="3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 s="3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  <c r="Z646" s="3">
        <f>Table1[[#This Row],[QUANTITYORDERED]]*Table1[[#This Row],[PRICEEACH]]</f>
        <v>2500</v>
      </c>
    </row>
    <row r="647" spans="1:26" x14ac:dyDescent="0.35">
      <c r="A647">
        <v>10331</v>
      </c>
      <c r="B647">
        <v>30</v>
      </c>
      <c r="C647" s="3">
        <v>32.47</v>
      </c>
      <c r="D647">
        <v>8</v>
      </c>
      <c r="E647" s="3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 s="3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  <c r="Z647" s="3">
        <f>Table1[[#This Row],[QUANTITYORDERED]]*Table1[[#This Row],[PRICEEACH]]</f>
        <v>974.09999999999991</v>
      </c>
    </row>
    <row r="648" spans="1:26" x14ac:dyDescent="0.35">
      <c r="A648">
        <v>10342</v>
      </c>
      <c r="B648">
        <v>22</v>
      </c>
      <c r="C648" s="3">
        <v>100</v>
      </c>
      <c r="D648">
        <v>3</v>
      </c>
      <c r="E648" s="3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 s="3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  <c r="Z648" s="3">
        <f>Table1[[#This Row],[QUANTITYORDERED]]*Table1[[#This Row],[PRICEEACH]]</f>
        <v>2200</v>
      </c>
    </row>
    <row r="649" spans="1:26" x14ac:dyDescent="0.35">
      <c r="A649">
        <v>10356</v>
      </c>
      <c r="B649">
        <v>27</v>
      </c>
      <c r="C649" s="3">
        <v>64.69</v>
      </c>
      <c r="D649">
        <v>2</v>
      </c>
      <c r="E649" s="3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 s="3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  <c r="Z649" s="3">
        <f>Table1[[#This Row],[QUANTITYORDERED]]*Table1[[#This Row],[PRICEEACH]]</f>
        <v>1746.6299999999999</v>
      </c>
    </row>
    <row r="650" spans="1:26" x14ac:dyDescent="0.35">
      <c r="A650">
        <v>10366</v>
      </c>
      <c r="B650">
        <v>34</v>
      </c>
      <c r="C650" s="3">
        <v>100</v>
      </c>
      <c r="D650">
        <v>3</v>
      </c>
      <c r="E650" s="3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 s="3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  <c r="Z650" s="3">
        <f>Table1[[#This Row],[QUANTITYORDERED]]*Table1[[#This Row],[PRICEEACH]]</f>
        <v>3400</v>
      </c>
    </row>
    <row r="651" spans="1:26" x14ac:dyDescent="0.35">
      <c r="A651">
        <v>10377</v>
      </c>
      <c r="B651">
        <v>36</v>
      </c>
      <c r="C651" s="3">
        <v>100</v>
      </c>
      <c r="D651">
        <v>6</v>
      </c>
      <c r="E651" s="3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 s="3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  <c r="Z651" s="3">
        <f>Table1[[#This Row],[QUANTITYORDERED]]*Table1[[#This Row],[PRICEEACH]]</f>
        <v>3600</v>
      </c>
    </row>
    <row r="652" spans="1:26" x14ac:dyDescent="0.35">
      <c r="A652">
        <v>10390</v>
      </c>
      <c r="B652">
        <v>34</v>
      </c>
      <c r="C652" s="3">
        <v>43.05</v>
      </c>
      <c r="D652">
        <v>15</v>
      </c>
      <c r="E652" s="3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 s="3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  <c r="Z652" s="3">
        <f>Table1[[#This Row],[QUANTITYORDERED]]*Table1[[#This Row],[PRICEEACH]]</f>
        <v>1463.6999999999998</v>
      </c>
    </row>
    <row r="653" spans="1:26" x14ac:dyDescent="0.35">
      <c r="A653">
        <v>10406</v>
      </c>
      <c r="B653">
        <v>48</v>
      </c>
      <c r="C653" s="3">
        <v>100</v>
      </c>
      <c r="D653">
        <v>2</v>
      </c>
      <c r="E653" s="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 s="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  <c r="Z653" s="3">
        <f>Table1[[#This Row],[QUANTITYORDERED]]*Table1[[#This Row],[PRICEEACH]]</f>
        <v>4800</v>
      </c>
    </row>
    <row r="654" spans="1:26" x14ac:dyDescent="0.35">
      <c r="A654">
        <v>10419</v>
      </c>
      <c r="B654">
        <v>34</v>
      </c>
      <c r="C654" s="3">
        <v>100</v>
      </c>
      <c r="D654">
        <v>4</v>
      </c>
      <c r="E654" s="3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 s="3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  <c r="Z654" s="3">
        <f>Table1[[#This Row],[QUANTITYORDERED]]*Table1[[#This Row],[PRICEEACH]]</f>
        <v>3400</v>
      </c>
    </row>
    <row r="655" spans="1:26" x14ac:dyDescent="0.35">
      <c r="A655">
        <v>10104</v>
      </c>
      <c r="B655">
        <v>24</v>
      </c>
      <c r="C655" s="3">
        <v>100</v>
      </c>
      <c r="D655">
        <v>8</v>
      </c>
      <c r="E655" s="3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 s="3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  <c r="Z655" s="3">
        <f>Table1[[#This Row],[QUANTITYORDERED]]*Table1[[#This Row],[PRICEEACH]]</f>
        <v>2400</v>
      </c>
    </row>
    <row r="656" spans="1:26" x14ac:dyDescent="0.35">
      <c r="A656">
        <v>10115</v>
      </c>
      <c r="B656">
        <v>46</v>
      </c>
      <c r="C656" s="3">
        <v>100</v>
      </c>
      <c r="D656">
        <v>4</v>
      </c>
      <c r="E656" s="3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 s="3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  <c r="Z656" s="3">
        <f>Table1[[#This Row],[QUANTITYORDERED]]*Table1[[#This Row],[PRICEEACH]]</f>
        <v>4600</v>
      </c>
    </row>
    <row r="657" spans="1:26" x14ac:dyDescent="0.35">
      <c r="A657">
        <v>10127</v>
      </c>
      <c r="B657">
        <v>45</v>
      </c>
      <c r="C657" s="3">
        <v>100</v>
      </c>
      <c r="D657">
        <v>10</v>
      </c>
      <c r="E657" s="3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 s="3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  <c r="Z657" s="3">
        <f>Table1[[#This Row],[QUANTITYORDERED]]*Table1[[#This Row],[PRICEEACH]]</f>
        <v>4500</v>
      </c>
    </row>
    <row r="658" spans="1:26" x14ac:dyDescent="0.35">
      <c r="A658">
        <v>10141</v>
      </c>
      <c r="B658">
        <v>39</v>
      </c>
      <c r="C658" s="3">
        <v>100</v>
      </c>
      <c r="D658">
        <v>4</v>
      </c>
      <c r="E658" s="3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 s="3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  <c r="Z658" s="3">
        <f>Table1[[#This Row],[QUANTITYORDERED]]*Table1[[#This Row],[PRICEEACH]]</f>
        <v>3900</v>
      </c>
    </row>
    <row r="659" spans="1:26" x14ac:dyDescent="0.35">
      <c r="A659">
        <v>10151</v>
      </c>
      <c r="B659">
        <v>43</v>
      </c>
      <c r="C659" s="3">
        <v>100</v>
      </c>
      <c r="D659">
        <v>2</v>
      </c>
      <c r="E659" s="3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 s="3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  <c r="Z659" s="3">
        <f>Table1[[#This Row],[QUANTITYORDERED]]*Table1[[#This Row],[PRICEEACH]]</f>
        <v>4300</v>
      </c>
    </row>
    <row r="660" spans="1:26" x14ac:dyDescent="0.35">
      <c r="A660">
        <v>10165</v>
      </c>
      <c r="B660">
        <v>29</v>
      </c>
      <c r="C660" s="3">
        <v>100</v>
      </c>
      <c r="D660">
        <v>11</v>
      </c>
      <c r="E660" s="3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 s="3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  <c r="Z660" s="3">
        <f>Table1[[#This Row],[QUANTITYORDERED]]*Table1[[#This Row],[PRICEEACH]]</f>
        <v>2900</v>
      </c>
    </row>
    <row r="661" spans="1:26" x14ac:dyDescent="0.35">
      <c r="A661">
        <v>10176</v>
      </c>
      <c r="B661">
        <v>20</v>
      </c>
      <c r="C661" s="3">
        <v>100</v>
      </c>
      <c r="D661">
        <v>10</v>
      </c>
      <c r="E661" s="3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 s="3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  <c r="Z661" s="3">
        <f>Table1[[#This Row],[QUANTITYORDERED]]*Table1[[#This Row],[PRICEEACH]]</f>
        <v>2000</v>
      </c>
    </row>
    <row r="662" spans="1:26" x14ac:dyDescent="0.35">
      <c r="A662">
        <v>10184</v>
      </c>
      <c r="B662">
        <v>46</v>
      </c>
      <c r="C662" s="3">
        <v>100</v>
      </c>
      <c r="D662">
        <v>5</v>
      </c>
      <c r="E662" s="3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 s="3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  <c r="Z662" s="3">
        <f>Table1[[#This Row],[QUANTITYORDERED]]*Table1[[#This Row],[PRICEEACH]]</f>
        <v>4600</v>
      </c>
    </row>
    <row r="663" spans="1:26" x14ac:dyDescent="0.35">
      <c r="A663">
        <v>10195</v>
      </c>
      <c r="B663">
        <v>27</v>
      </c>
      <c r="C663" s="3">
        <v>100</v>
      </c>
      <c r="D663">
        <v>5</v>
      </c>
      <c r="E663" s="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 s="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  <c r="Z663" s="3">
        <f>Table1[[#This Row],[QUANTITYORDERED]]*Table1[[#This Row],[PRICEEACH]]</f>
        <v>2700</v>
      </c>
    </row>
    <row r="664" spans="1:26" x14ac:dyDescent="0.35">
      <c r="A664">
        <v>10207</v>
      </c>
      <c r="B664">
        <v>44</v>
      </c>
      <c r="C664" s="3">
        <v>100</v>
      </c>
      <c r="D664">
        <v>6</v>
      </c>
      <c r="E664" s="3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 s="3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  <c r="Z664" s="3">
        <f>Table1[[#This Row],[QUANTITYORDERED]]*Table1[[#This Row],[PRICEEACH]]</f>
        <v>4400</v>
      </c>
    </row>
    <row r="665" spans="1:26" x14ac:dyDescent="0.35">
      <c r="A665">
        <v>10219</v>
      </c>
      <c r="B665">
        <v>43</v>
      </c>
      <c r="C665" s="3">
        <v>100</v>
      </c>
      <c r="D665">
        <v>1</v>
      </c>
      <c r="E665" s="3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 s="3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  <c r="Z665" s="3">
        <f>Table1[[#This Row],[QUANTITYORDERED]]*Table1[[#This Row],[PRICEEACH]]</f>
        <v>4300</v>
      </c>
    </row>
    <row r="666" spans="1:26" x14ac:dyDescent="0.35">
      <c r="A666">
        <v>10230</v>
      </c>
      <c r="B666">
        <v>49</v>
      </c>
      <c r="C666" s="3">
        <v>100</v>
      </c>
      <c r="D666">
        <v>8</v>
      </c>
      <c r="E666" s="3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 s="3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  <c r="Z666" s="3">
        <f>Table1[[#This Row],[QUANTITYORDERED]]*Table1[[#This Row],[PRICEEACH]]</f>
        <v>4900</v>
      </c>
    </row>
    <row r="667" spans="1:26" x14ac:dyDescent="0.35">
      <c r="A667">
        <v>10246</v>
      </c>
      <c r="B667">
        <v>40</v>
      </c>
      <c r="C667" s="3">
        <v>100</v>
      </c>
      <c r="D667">
        <v>4</v>
      </c>
      <c r="E667" s="3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 s="3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  <c r="Z667" s="3">
        <f>Table1[[#This Row],[QUANTITYORDERED]]*Table1[[#This Row],[PRICEEACH]]</f>
        <v>4000</v>
      </c>
    </row>
    <row r="668" spans="1:26" x14ac:dyDescent="0.35">
      <c r="A668">
        <v>10259</v>
      </c>
      <c r="B668">
        <v>30</v>
      </c>
      <c r="C668" s="3">
        <v>100</v>
      </c>
      <c r="D668">
        <v>3</v>
      </c>
      <c r="E668" s="3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 s="3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  <c r="Z668" s="3">
        <f>Table1[[#This Row],[QUANTITYORDERED]]*Table1[[#This Row],[PRICEEACH]]</f>
        <v>3000</v>
      </c>
    </row>
    <row r="669" spans="1:26" x14ac:dyDescent="0.35">
      <c r="A669">
        <v>10271</v>
      </c>
      <c r="B669">
        <v>50</v>
      </c>
      <c r="C669" s="3">
        <v>100</v>
      </c>
      <c r="D669">
        <v>4</v>
      </c>
      <c r="E669" s="3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 s="3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  <c r="Z669" s="3">
        <f>Table1[[#This Row],[QUANTITYORDERED]]*Table1[[#This Row],[PRICEEACH]]</f>
        <v>5000</v>
      </c>
    </row>
    <row r="670" spans="1:26" x14ac:dyDescent="0.35">
      <c r="A670">
        <v>10282</v>
      </c>
      <c r="B670">
        <v>23</v>
      </c>
      <c r="C670" s="3">
        <v>100</v>
      </c>
      <c r="D670">
        <v>13</v>
      </c>
      <c r="E670" s="3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 s="3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  <c r="Z670" s="3">
        <f>Table1[[#This Row],[QUANTITYORDERED]]*Table1[[#This Row],[PRICEEACH]]</f>
        <v>2300</v>
      </c>
    </row>
    <row r="671" spans="1:26" x14ac:dyDescent="0.35">
      <c r="A671">
        <v>10292</v>
      </c>
      <c r="B671">
        <v>26</v>
      </c>
      <c r="C671" s="3">
        <v>100</v>
      </c>
      <c r="D671">
        <v>7</v>
      </c>
      <c r="E671" s="3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 s="3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  <c r="Z671" s="3">
        <f>Table1[[#This Row],[QUANTITYORDERED]]*Table1[[#This Row],[PRICEEACH]]</f>
        <v>2600</v>
      </c>
    </row>
    <row r="672" spans="1:26" x14ac:dyDescent="0.35">
      <c r="A672">
        <v>10305</v>
      </c>
      <c r="B672">
        <v>27</v>
      </c>
      <c r="C672" s="3">
        <v>100</v>
      </c>
      <c r="D672">
        <v>4</v>
      </c>
      <c r="E672" s="3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 s="3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  <c r="Z672" s="3">
        <f>Table1[[#This Row],[QUANTITYORDERED]]*Table1[[#This Row],[PRICEEACH]]</f>
        <v>2700</v>
      </c>
    </row>
    <row r="673" spans="1:26" x14ac:dyDescent="0.35">
      <c r="A673">
        <v>10314</v>
      </c>
      <c r="B673">
        <v>42</v>
      </c>
      <c r="C673" s="3">
        <v>100</v>
      </c>
      <c r="D673">
        <v>13</v>
      </c>
      <c r="E673" s="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 s="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  <c r="Z673" s="3">
        <f>Table1[[#This Row],[QUANTITYORDERED]]*Table1[[#This Row],[PRICEEACH]]</f>
        <v>4200</v>
      </c>
    </row>
    <row r="674" spans="1:26" x14ac:dyDescent="0.35">
      <c r="A674">
        <v>10324</v>
      </c>
      <c r="B674">
        <v>47</v>
      </c>
      <c r="C674" s="3">
        <v>100</v>
      </c>
      <c r="D674">
        <v>8</v>
      </c>
      <c r="E674" s="3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 s="3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  <c r="Z674" s="3">
        <f>Table1[[#This Row],[QUANTITYORDERED]]*Table1[[#This Row],[PRICEEACH]]</f>
        <v>4700</v>
      </c>
    </row>
    <row r="675" spans="1:26" x14ac:dyDescent="0.35">
      <c r="A675">
        <v>10336</v>
      </c>
      <c r="B675">
        <v>49</v>
      </c>
      <c r="C675" s="3">
        <v>100</v>
      </c>
      <c r="D675">
        <v>6</v>
      </c>
      <c r="E675" s="3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 s="3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  <c r="Z675" s="3">
        <f>Table1[[#This Row],[QUANTITYORDERED]]*Table1[[#This Row],[PRICEEACH]]</f>
        <v>4900</v>
      </c>
    </row>
    <row r="676" spans="1:26" x14ac:dyDescent="0.35">
      <c r="A676">
        <v>10349</v>
      </c>
      <c r="B676">
        <v>38</v>
      </c>
      <c r="C676" s="3">
        <v>100</v>
      </c>
      <c r="D676">
        <v>8</v>
      </c>
      <c r="E676" s="3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 s="3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  <c r="Z676" s="3">
        <f>Table1[[#This Row],[QUANTITYORDERED]]*Table1[[#This Row],[PRICEEACH]]</f>
        <v>3800</v>
      </c>
    </row>
    <row r="677" spans="1:26" x14ac:dyDescent="0.35">
      <c r="A677">
        <v>10358</v>
      </c>
      <c r="B677">
        <v>20</v>
      </c>
      <c r="C677" s="3">
        <v>100</v>
      </c>
      <c r="D677">
        <v>10</v>
      </c>
      <c r="E677" s="3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 s="3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  <c r="Z677" s="3">
        <f>Table1[[#This Row],[QUANTITYORDERED]]*Table1[[#This Row],[PRICEEACH]]</f>
        <v>2000</v>
      </c>
    </row>
    <row r="678" spans="1:26" x14ac:dyDescent="0.35">
      <c r="A678">
        <v>10371</v>
      </c>
      <c r="B678">
        <v>25</v>
      </c>
      <c r="C678" s="3">
        <v>100</v>
      </c>
      <c r="D678">
        <v>7</v>
      </c>
      <c r="E678" s="3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 s="3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  <c r="Z678" s="3">
        <f>Table1[[#This Row],[QUANTITYORDERED]]*Table1[[#This Row],[PRICEEACH]]</f>
        <v>2500</v>
      </c>
    </row>
    <row r="679" spans="1:26" x14ac:dyDescent="0.35">
      <c r="A679">
        <v>10382</v>
      </c>
      <c r="B679">
        <v>25</v>
      </c>
      <c r="C679" s="3">
        <v>88</v>
      </c>
      <c r="D679">
        <v>5</v>
      </c>
      <c r="E679" s="3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 s="3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  <c r="Z679" s="3">
        <f>Table1[[#This Row],[QUANTITYORDERED]]*Table1[[#This Row],[PRICEEACH]]</f>
        <v>2200</v>
      </c>
    </row>
    <row r="680" spans="1:26" x14ac:dyDescent="0.35">
      <c r="A680">
        <v>10412</v>
      </c>
      <c r="B680">
        <v>41</v>
      </c>
      <c r="C680" s="3">
        <v>100</v>
      </c>
      <c r="D680">
        <v>4</v>
      </c>
      <c r="E680" s="3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 s="3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  <c r="Z680" s="3">
        <f>Table1[[#This Row],[QUANTITYORDERED]]*Table1[[#This Row],[PRICEEACH]]</f>
        <v>4100</v>
      </c>
    </row>
    <row r="681" spans="1:26" x14ac:dyDescent="0.35">
      <c r="A681">
        <v>10425</v>
      </c>
      <c r="B681">
        <v>28</v>
      </c>
      <c r="C681" s="3">
        <v>100</v>
      </c>
      <c r="D681">
        <v>3</v>
      </c>
      <c r="E681" s="3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 s="3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  <c r="Z681" s="3">
        <f>Table1[[#This Row],[QUANTITYORDERED]]*Table1[[#This Row],[PRICEEACH]]</f>
        <v>2800</v>
      </c>
    </row>
    <row r="682" spans="1:26" hidden="1" x14ac:dyDescent="0.35">
      <c r="A682">
        <v>10100</v>
      </c>
      <c r="B682">
        <v>50</v>
      </c>
      <c r="C682" s="3">
        <v>67.8</v>
      </c>
      <c r="D682">
        <v>2</v>
      </c>
      <c r="E682" s="3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 s="3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  <c r="Z682" s="3">
        <f>Table1[[#This Row],[QUANTITYORDERED]]*Table1[[#This Row],[PRICEEACH]]</f>
        <v>3390</v>
      </c>
    </row>
    <row r="683" spans="1:26" hidden="1" x14ac:dyDescent="0.35">
      <c r="A683">
        <v>10110</v>
      </c>
      <c r="B683">
        <v>32</v>
      </c>
      <c r="C683" s="3">
        <v>50.25</v>
      </c>
      <c r="D683">
        <v>6</v>
      </c>
      <c r="E683" s="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 s="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  <c r="Z683" s="3">
        <f>Table1[[#This Row],[QUANTITYORDERED]]*Table1[[#This Row],[PRICEEACH]]</f>
        <v>1608</v>
      </c>
    </row>
    <row r="684" spans="1:26" hidden="1" x14ac:dyDescent="0.35">
      <c r="A684">
        <v>10124</v>
      </c>
      <c r="B684">
        <v>42</v>
      </c>
      <c r="C684" s="3">
        <v>53.88</v>
      </c>
      <c r="D684">
        <v>5</v>
      </c>
      <c r="E684" s="3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 s="3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  <c r="Z684" s="3">
        <f>Table1[[#This Row],[QUANTITYORDERED]]*Table1[[#This Row],[PRICEEACH]]</f>
        <v>2262.96</v>
      </c>
    </row>
    <row r="685" spans="1:26" hidden="1" x14ac:dyDescent="0.35">
      <c r="A685">
        <v>10149</v>
      </c>
      <c r="B685">
        <v>24</v>
      </c>
      <c r="C685" s="3">
        <v>62.36</v>
      </c>
      <c r="D685">
        <v>10</v>
      </c>
      <c r="E685" s="3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 s="3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  <c r="Z685" s="3">
        <f>Table1[[#This Row],[QUANTITYORDERED]]*Table1[[#This Row],[PRICEEACH]]</f>
        <v>1496.6399999999999</v>
      </c>
    </row>
    <row r="686" spans="1:26" hidden="1" x14ac:dyDescent="0.35">
      <c r="A686">
        <v>10162</v>
      </c>
      <c r="B686">
        <v>27</v>
      </c>
      <c r="C686" s="3">
        <v>69.62</v>
      </c>
      <c r="D686">
        <v>8</v>
      </c>
      <c r="E686" s="3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 s="3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  <c r="Z686" s="3">
        <f>Table1[[#This Row],[QUANTITYORDERED]]*Table1[[#This Row],[PRICEEACH]]</f>
        <v>1879.7400000000002</v>
      </c>
    </row>
    <row r="687" spans="1:26" hidden="1" x14ac:dyDescent="0.35">
      <c r="A687">
        <v>10173</v>
      </c>
      <c r="B687">
        <v>26</v>
      </c>
      <c r="C687" s="3">
        <v>57.51</v>
      </c>
      <c r="D687">
        <v>12</v>
      </c>
      <c r="E687" s="3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 s="3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  <c r="Z687" s="3">
        <f>Table1[[#This Row],[QUANTITYORDERED]]*Table1[[#This Row],[PRICEEACH]]</f>
        <v>1495.26</v>
      </c>
    </row>
    <row r="688" spans="1:26" hidden="1" x14ac:dyDescent="0.35">
      <c r="A688">
        <v>10182</v>
      </c>
      <c r="B688">
        <v>38</v>
      </c>
      <c r="C688" s="3">
        <v>61.15</v>
      </c>
      <c r="D688">
        <v>9</v>
      </c>
      <c r="E688" s="3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 s="3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  <c r="Z688" s="3">
        <f>Table1[[#This Row],[QUANTITYORDERED]]*Table1[[#This Row],[PRICEEACH]]</f>
        <v>2323.6999999999998</v>
      </c>
    </row>
    <row r="689" spans="1:26" hidden="1" x14ac:dyDescent="0.35">
      <c r="A689">
        <v>10193</v>
      </c>
      <c r="B689">
        <v>42</v>
      </c>
      <c r="C689" s="3">
        <v>59.33</v>
      </c>
      <c r="D689">
        <v>13</v>
      </c>
      <c r="E689" s="3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 s="3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  <c r="Z689" s="3">
        <f>Table1[[#This Row],[QUANTITYORDERED]]*Table1[[#This Row],[PRICEEACH]]</f>
        <v>2491.86</v>
      </c>
    </row>
    <row r="690" spans="1:26" hidden="1" x14ac:dyDescent="0.35">
      <c r="A690">
        <v>10204</v>
      </c>
      <c r="B690">
        <v>23</v>
      </c>
      <c r="C690" s="3">
        <v>71.44</v>
      </c>
      <c r="D690">
        <v>3</v>
      </c>
      <c r="E690" s="3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 s="3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  <c r="Z690" s="3">
        <f>Table1[[#This Row],[QUANTITYORDERED]]*Table1[[#This Row],[PRICEEACH]]</f>
        <v>1643.12</v>
      </c>
    </row>
    <row r="691" spans="1:26" hidden="1" x14ac:dyDescent="0.35">
      <c r="A691">
        <v>10214</v>
      </c>
      <c r="B691">
        <v>21</v>
      </c>
      <c r="C691" s="3">
        <v>62.96</v>
      </c>
      <c r="D691">
        <v>6</v>
      </c>
      <c r="E691" s="3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 s="3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  <c r="Z691" s="3">
        <f>Table1[[#This Row],[QUANTITYORDERED]]*Table1[[#This Row],[PRICEEACH]]</f>
        <v>1322.16</v>
      </c>
    </row>
    <row r="692" spans="1:26" hidden="1" x14ac:dyDescent="0.35">
      <c r="A692">
        <v>10227</v>
      </c>
      <c r="B692">
        <v>28</v>
      </c>
      <c r="C692" s="3">
        <v>50.85</v>
      </c>
      <c r="D692">
        <v>9</v>
      </c>
      <c r="E692" s="3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 s="3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  <c r="Z692" s="3">
        <f>Table1[[#This Row],[QUANTITYORDERED]]*Table1[[#This Row],[PRICEEACH]]</f>
        <v>1423.8</v>
      </c>
    </row>
    <row r="693" spans="1:26" hidden="1" x14ac:dyDescent="0.35">
      <c r="A693">
        <v>10241</v>
      </c>
      <c r="B693">
        <v>33</v>
      </c>
      <c r="C693" s="3">
        <v>72.650000000000006</v>
      </c>
      <c r="D693">
        <v>1</v>
      </c>
      <c r="E693" s="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 s="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  <c r="Z693" s="3">
        <f>Table1[[#This Row],[QUANTITYORDERED]]*Table1[[#This Row],[PRICEEACH]]</f>
        <v>2397.4500000000003</v>
      </c>
    </row>
    <row r="694" spans="1:26" hidden="1" x14ac:dyDescent="0.35">
      <c r="A694">
        <v>10280</v>
      </c>
      <c r="B694">
        <v>25</v>
      </c>
      <c r="C694" s="3">
        <v>62.96</v>
      </c>
      <c r="D694">
        <v>15</v>
      </c>
      <c r="E694" s="3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 s="3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  <c r="Z694" s="3">
        <f>Table1[[#This Row],[QUANTITYORDERED]]*Table1[[#This Row],[PRICEEACH]]</f>
        <v>1574</v>
      </c>
    </row>
    <row r="695" spans="1:26" hidden="1" x14ac:dyDescent="0.35">
      <c r="A695">
        <v>10288</v>
      </c>
      <c r="B695">
        <v>28</v>
      </c>
      <c r="C695" s="3">
        <v>61.75</v>
      </c>
      <c r="D695">
        <v>4</v>
      </c>
      <c r="E695" s="3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 s="3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  <c r="Z695" s="3">
        <f>Table1[[#This Row],[QUANTITYORDERED]]*Table1[[#This Row],[PRICEEACH]]</f>
        <v>1729</v>
      </c>
    </row>
    <row r="696" spans="1:26" hidden="1" x14ac:dyDescent="0.35">
      <c r="A696">
        <v>10303</v>
      </c>
      <c r="B696">
        <v>46</v>
      </c>
      <c r="C696" s="3">
        <v>49.04</v>
      </c>
      <c r="D696">
        <v>2</v>
      </c>
      <c r="E696" s="3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 s="3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  <c r="Z696" s="3">
        <f>Table1[[#This Row],[QUANTITYORDERED]]*Table1[[#This Row],[PRICEEACH]]</f>
        <v>2255.84</v>
      </c>
    </row>
    <row r="697" spans="1:26" hidden="1" x14ac:dyDescent="0.35">
      <c r="A697">
        <v>10312</v>
      </c>
      <c r="B697">
        <v>30</v>
      </c>
      <c r="C697" s="3">
        <v>61.15</v>
      </c>
      <c r="D697">
        <v>16</v>
      </c>
      <c r="E697" s="3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 s="3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  <c r="Z697" s="3">
        <f>Table1[[#This Row],[QUANTITYORDERED]]*Table1[[#This Row],[PRICEEACH]]</f>
        <v>1834.5</v>
      </c>
    </row>
    <row r="698" spans="1:26" hidden="1" x14ac:dyDescent="0.35">
      <c r="A698">
        <v>10332</v>
      </c>
      <c r="B698">
        <v>38</v>
      </c>
      <c r="C698" s="3">
        <v>84.25</v>
      </c>
      <c r="D698">
        <v>9</v>
      </c>
      <c r="E698" s="3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 s="3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  <c r="Z698" s="3">
        <f>Table1[[#This Row],[QUANTITYORDERED]]*Table1[[#This Row],[PRICEEACH]]</f>
        <v>3201.5</v>
      </c>
    </row>
    <row r="699" spans="1:26" hidden="1" x14ac:dyDescent="0.35">
      <c r="A699">
        <v>10344</v>
      </c>
      <c r="B699">
        <v>40</v>
      </c>
      <c r="C699" s="3">
        <v>56.91</v>
      </c>
      <c r="D699">
        <v>2</v>
      </c>
      <c r="E699" s="3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 s="3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  <c r="Z699" s="3">
        <f>Table1[[#This Row],[QUANTITYORDERED]]*Table1[[#This Row],[PRICEEACH]]</f>
        <v>2276.3999999999996</v>
      </c>
    </row>
    <row r="700" spans="1:26" hidden="1" x14ac:dyDescent="0.35">
      <c r="A700">
        <v>10367</v>
      </c>
      <c r="B700">
        <v>45</v>
      </c>
      <c r="C700" s="3">
        <v>100</v>
      </c>
      <c r="D700">
        <v>4</v>
      </c>
      <c r="E700" s="3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 s="3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  <c r="Z700" s="3">
        <f>Table1[[#This Row],[QUANTITYORDERED]]*Table1[[#This Row],[PRICEEACH]]</f>
        <v>4500</v>
      </c>
    </row>
    <row r="701" spans="1:26" hidden="1" x14ac:dyDescent="0.35">
      <c r="A701">
        <v>10379</v>
      </c>
      <c r="B701">
        <v>27</v>
      </c>
      <c r="C701" s="3">
        <v>49.3</v>
      </c>
      <c r="D701">
        <v>1</v>
      </c>
      <c r="E701" s="3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 s="3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  <c r="Z701" s="3">
        <f>Table1[[#This Row],[QUANTITYORDERED]]*Table1[[#This Row],[PRICEEACH]]</f>
        <v>1331.1</v>
      </c>
    </row>
    <row r="702" spans="1:26" hidden="1" x14ac:dyDescent="0.35">
      <c r="A702">
        <v>10407</v>
      </c>
      <c r="B702">
        <v>42</v>
      </c>
      <c r="C702" s="3">
        <v>72.650000000000006</v>
      </c>
      <c r="D702">
        <v>1</v>
      </c>
      <c r="E702" s="3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 s="3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  <c r="Z702" s="3">
        <f>Table1[[#This Row],[QUANTITYORDERED]]*Table1[[#This Row],[PRICEEACH]]</f>
        <v>3051.3</v>
      </c>
    </row>
    <row r="703" spans="1:26" hidden="1" x14ac:dyDescent="0.35">
      <c r="A703">
        <v>10420</v>
      </c>
      <c r="B703">
        <v>36</v>
      </c>
      <c r="C703" s="3">
        <v>63.57</v>
      </c>
      <c r="D703">
        <v>4</v>
      </c>
      <c r="E703" s="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 s="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  <c r="Z703" s="3">
        <f>Table1[[#This Row],[QUANTITYORDERED]]*Table1[[#This Row],[PRICEEACH]]</f>
        <v>2288.52</v>
      </c>
    </row>
    <row r="704" spans="1:26" hidden="1" x14ac:dyDescent="0.35">
      <c r="A704">
        <v>10104</v>
      </c>
      <c r="B704">
        <v>29</v>
      </c>
      <c r="C704" s="3">
        <v>100</v>
      </c>
      <c r="D704">
        <v>12</v>
      </c>
      <c r="E704" s="3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 s="3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  <c r="Z704" s="3">
        <f>Table1[[#This Row],[QUANTITYORDERED]]*Table1[[#This Row],[PRICEEACH]]</f>
        <v>2900</v>
      </c>
    </row>
    <row r="705" spans="1:26" hidden="1" x14ac:dyDescent="0.35">
      <c r="A705">
        <v>10114</v>
      </c>
      <c r="B705">
        <v>39</v>
      </c>
      <c r="C705" s="3">
        <v>100</v>
      </c>
      <c r="D705">
        <v>3</v>
      </c>
      <c r="E705" s="3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 s="3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  <c r="Z705" s="3">
        <f>Table1[[#This Row],[QUANTITYORDERED]]*Table1[[#This Row],[PRICEEACH]]</f>
        <v>3900</v>
      </c>
    </row>
    <row r="706" spans="1:26" hidden="1" x14ac:dyDescent="0.35">
      <c r="A706">
        <v>10127</v>
      </c>
      <c r="B706">
        <v>45</v>
      </c>
      <c r="C706" s="3">
        <v>100</v>
      </c>
      <c r="D706">
        <v>14</v>
      </c>
      <c r="E706" s="3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 s="3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  <c r="Z706" s="3">
        <f>Table1[[#This Row],[QUANTITYORDERED]]*Table1[[#This Row],[PRICEEACH]]</f>
        <v>4500</v>
      </c>
    </row>
    <row r="707" spans="1:26" hidden="1" x14ac:dyDescent="0.35">
      <c r="A707">
        <v>10141</v>
      </c>
      <c r="B707">
        <v>47</v>
      </c>
      <c r="C707" s="3">
        <v>100</v>
      </c>
      <c r="D707">
        <v>8</v>
      </c>
      <c r="E707" s="3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 s="3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  <c r="Z707" s="3">
        <f>Table1[[#This Row],[QUANTITYORDERED]]*Table1[[#This Row],[PRICEEACH]]</f>
        <v>4700</v>
      </c>
    </row>
    <row r="708" spans="1:26" hidden="1" x14ac:dyDescent="0.35">
      <c r="A708">
        <v>10151</v>
      </c>
      <c r="B708">
        <v>49</v>
      </c>
      <c r="C708" s="3">
        <v>100</v>
      </c>
      <c r="D708">
        <v>6</v>
      </c>
      <c r="E708" s="3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 s="3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  <c r="Z708" s="3">
        <f>Table1[[#This Row],[QUANTITYORDERED]]*Table1[[#This Row],[PRICEEACH]]</f>
        <v>4900</v>
      </c>
    </row>
    <row r="709" spans="1:26" hidden="1" x14ac:dyDescent="0.35">
      <c r="A709">
        <v>10165</v>
      </c>
      <c r="B709">
        <v>46</v>
      </c>
      <c r="C709" s="3">
        <v>100</v>
      </c>
      <c r="D709">
        <v>15</v>
      </c>
      <c r="E709" s="3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 s="3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  <c r="Z709" s="3">
        <f>Table1[[#This Row],[QUANTITYORDERED]]*Table1[[#This Row],[PRICEEACH]]</f>
        <v>4600</v>
      </c>
    </row>
    <row r="710" spans="1:26" hidden="1" x14ac:dyDescent="0.35">
      <c r="A710">
        <v>10175</v>
      </c>
      <c r="B710">
        <v>48</v>
      </c>
      <c r="C710" s="3">
        <v>100</v>
      </c>
      <c r="D710">
        <v>4</v>
      </c>
      <c r="E710" s="3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 s="3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  <c r="Z710" s="3">
        <f>Table1[[#This Row],[QUANTITYORDERED]]*Table1[[#This Row],[PRICEEACH]]</f>
        <v>4800</v>
      </c>
    </row>
    <row r="711" spans="1:26" hidden="1" x14ac:dyDescent="0.35">
      <c r="A711">
        <v>10184</v>
      </c>
      <c r="B711">
        <v>46</v>
      </c>
      <c r="C711" s="3">
        <v>100</v>
      </c>
      <c r="D711">
        <v>9</v>
      </c>
      <c r="E711" s="3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 s="3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  <c r="Z711" s="3">
        <f>Table1[[#This Row],[QUANTITYORDERED]]*Table1[[#This Row],[PRICEEACH]]</f>
        <v>4600</v>
      </c>
    </row>
    <row r="712" spans="1:26" hidden="1" x14ac:dyDescent="0.35">
      <c r="A712">
        <v>10195</v>
      </c>
      <c r="B712">
        <v>35</v>
      </c>
      <c r="C712" s="3">
        <v>100</v>
      </c>
      <c r="D712">
        <v>9</v>
      </c>
      <c r="E712" s="3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 s="3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  <c r="Z712" s="3">
        <f>Table1[[#This Row],[QUANTITYORDERED]]*Table1[[#This Row],[PRICEEACH]]</f>
        <v>3500</v>
      </c>
    </row>
    <row r="713" spans="1:26" hidden="1" x14ac:dyDescent="0.35">
      <c r="A713">
        <v>10207</v>
      </c>
      <c r="B713">
        <v>43</v>
      </c>
      <c r="C713" s="3">
        <v>100</v>
      </c>
      <c r="D713">
        <v>10</v>
      </c>
      <c r="E713" s="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 s="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  <c r="Z713" s="3">
        <f>Table1[[#This Row],[QUANTITYORDERED]]*Table1[[#This Row],[PRICEEACH]]</f>
        <v>4300</v>
      </c>
    </row>
    <row r="714" spans="1:26" hidden="1" x14ac:dyDescent="0.35">
      <c r="A714">
        <v>10229</v>
      </c>
      <c r="B714">
        <v>26</v>
      </c>
      <c r="C714" s="3">
        <v>100</v>
      </c>
      <c r="D714">
        <v>4</v>
      </c>
      <c r="E714" s="3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 s="3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  <c r="Z714" s="3">
        <f>Table1[[#This Row],[QUANTITYORDERED]]*Table1[[#This Row],[PRICEEACH]]</f>
        <v>2600</v>
      </c>
    </row>
    <row r="715" spans="1:26" hidden="1" x14ac:dyDescent="0.35">
      <c r="A715">
        <v>10246</v>
      </c>
      <c r="B715">
        <v>22</v>
      </c>
      <c r="C715" s="3">
        <v>98.18</v>
      </c>
      <c r="D715">
        <v>8</v>
      </c>
      <c r="E715" s="3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 s="3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  <c r="Z715" s="3">
        <f>Table1[[#This Row],[QUANTITYORDERED]]*Table1[[#This Row],[PRICEEACH]]</f>
        <v>2159.96</v>
      </c>
    </row>
    <row r="716" spans="1:26" hidden="1" x14ac:dyDescent="0.35">
      <c r="A716">
        <v>10259</v>
      </c>
      <c r="B716">
        <v>34</v>
      </c>
      <c r="C716" s="3">
        <v>99.41</v>
      </c>
      <c r="D716">
        <v>7</v>
      </c>
      <c r="E716" s="3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 s="3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  <c r="Z716" s="3">
        <f>Table1[[#This Row],[QUANTITYORDERED]]*Table1[[#This Row],[PRICEEACH]]</f>
        <v>3379.94</v>
      </c>
    </row>
    <row r="717" spans="1:26" hidden="1" x14ac:dyDescent="0.35">
      <c r="A717">
        <v>10271</v>
      </c>
      <c r="B717">
        <v>50</v>
      </c>
      <c r="C717" s="3">
        <v>100</v>
      </c>
      <c r="D717">
        <v>8</v>
      </c>
      <c r="E717" s="3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 s="3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  <c r="Z717" s="3">
        <f>Table1[[#This Row],[QUANTITYORDERED]]*Table1[[#This Row],[PRICEEACH]]</f>
        <v>5000</v>
      </c>
    </row>
    <row r="718" spans="1:26" hidden="1" x14ac:dyDescent="0.35">
      <c r="A718">
        <v>10281</v>
      </c>
      <c r="B718">
        <v>48</v>
      </c>
      <c r="C718" s="3">
        <v>100</v>
      </c>
      <c r="D718">
        <v>4</v>
      </c>
      <c r="E718" s="3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 s="3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  <c r="Z718" s="3">
        <f>Table1[[#This Row],[QUANTITYORDERED]]*Table1[[#This Row],[PRICEEACH]]</f>
        <v>4800</v>
      </c>
    </row>
    <row r="719" spans="1:26" hidden="1" x14ac:dyDescent="0.35">
      <c r="A719">
        <v>10292</v>
      </c>
      <c r="B719">
        <v>41</v>
      </c>
      <c r="C719" s="3">
        <v>100</v>
      </c>
      <c r="D719">
        <v>11</v>
      </c>
      <c r="E719" s="3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 s="3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  <c r="Z719" s="3">
        <f>Table1[[#This Row],[QUANTITYORDERED]]*Table1[[#This Row],[PRICEEACH]]</f>
        <v>4100</v>
      </c>
    </row>
    <row r="720" spans="1:26" hidden="1" x14ac:dyDescent="0.35">
      <c r="A720">
        <v>10305</v>
      </c>
      <c r="B720">
        <v>36</v>
      </c>
      <c r="C720" s="3">
        <v>100</v>
      </c>
      <c r="D720">
        <v>8</v>
      </c>
      <c r="E720" s="3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 s="3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  <c r="Z720" s="3">
        <f>Table1[[#This Row],[QUANTITYORDERED]]*Table1[[#This Row],[PRICEEACH]]</f>
        <v>3600</v>
      </c>
    </row>
    <row r="721" spans="1:26" hidden="1" x14ac:dyDescent="0.35">
      <c r="A721">
        <v>10313</v>
      </c>
      <c r="B721">
        <v>29</v>
      </c>
      <c r="C721" s="3">
        <v>100</v>
      </c>
      <c r="D721">
        <v>2</v>
      </c>
      <c r="E721" s="3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 s="3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  <c r="Z721" s="3">
        <f>Table1[[#This Row],[QUANTITYORDERED]]*Table1[[#This Row],[PRICEEACH]]</f>
        <v>2900</v>
      </c>
    </row>
    <row r="722" spans="1:26" hidden="1" x14ac:dyDescent="0.35">
      <c r="A722">
        <v>10324</v>
      </c>
      <c r="B722">
        <v>33</v>
      </c>
      <c r="C722" s="3">
        <v>37.479999999999997</v>
      </c>
      <c r="D722">
        <v>10</v>
      </c>
      <c r="E722" s="3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 s="3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  <c r="Z722" s="3">
        <f>Table1[[#This Row],[QUANTITYORDERED]]*Table1[[#This Row],[PRICEEACH]]</f>
        <v>1236.8399999999999</v>
      </c>
    </row>
    <row r="723" spans="1:26" hidden="1" x14ac:dyDescent="0.35">
      <c r="A723">
        <v>10334</v>
      </c>
      <c r="B723">
        <v>46</v>
      </c>
      <c r="C723" s="3">
        <v>100</v>
      </c>
      <c r="D723">
        <v>6</v>
      </c>
      <c r="E723" s="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 s="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  <c r="Z723" s="3">
        <f>Table1[[#This Row],[QUANTITYORDERED]]*Table1[[#This Row],[PRICEEACH]]</f>
        <v>4600</v>
      </c>
    </row>
    <row r="724" spans="1:26" hidden="1" x14ac:dyDescent="0.35">
      <c r="A724">
        <v>10349</v>
      </c>
      <c r="B724">
        <v>38</v>
      </c>
      <c r="C724" s="3">
        <v>100</v>
      </c>
      <c r="D724">
        <v>7</v>
      </c>
      <c r="E724" s="3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 s="3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  <c r="Z724" s="3">
        <f>Table1[[#This Row],[QUANTITYORDERED]]*Table1[[#This Row],[PRICEEACH]]</f>
        <v>3800</v>
      </c>
    </row>
    <row r="725" spans="1:26" hidden="1" x14ac:dyDescent="0.35">
      <c r="A725">
        <v>10358</v>
      </c>
      <c r="B725">
        <v>20</v>
      </c>
      <c r="C725" s="3">
        <v>36.42</v>
      </c>
      <c r="D725">
        <v>11</v>
      </c>
      <c r="E725" s="3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 s="3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  <c r="Z725" s="3">
        <f>Table1[[#This Row],[QUANTITYORDERED]]*Table1[[#This Row],[PRICEEACH]]</f>
        <v>728.40000000000009</v>
      </c>
    </row>
    <row r="726" spans="1:26" hidden="1" x14ac:dyDescent="0.35">
      <c r="A726">
        <v>10370</v>
      </c>
      <c r="B726">
        <v>22</v>
      </c>
      <c r="C726" s="3">
        <v>100</v>
      </c>
      <c r="D726">
        <v>5</v>
      </c>
      <c r="E726" s="3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 s="3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  <c r="Z726" s="3">
        <f>Table1[[#This Row],[QUANTITYORDERED]]*Table1[[#This Row],[PRICEEACH]]</f>
        <v>2200</v>
      </c>
    </row>
    <row r="727" spans="1:26" hidden="1" x14ac:dyDescent="0.35">
      <c r="A727">
        <v>10383</v>
      </c>
      <c r="B727">
        <v>27</v>
      </c>
      <c r="C727" s="3">
        <v>100</v>
      </c>
      <c r="D727">
        <v>11</v>
      </c>
      <c r="E727" s="3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 s="3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  <c r="Z727" s="3">
        <f>Table1[[#This Row],[QUANTITYORDERED]]*Table1[[#This Row],[PRICEEACH]]</f>
        <v>2700</v>
      </c>
    </row>
    <row r="728" spans="1:26" hidden="1" x14ac:dyDescent="0.35">
      <c r="A728">
        <v>10412</v>
      </c>
      <c r="B728">
        <v>56</v>
      </c>
      <c r="C728" s="3">
        <v>98.18</v>
      </c>
      <c r="D728">
        <v>8</v>
      </c>
      <c r="E728" s="3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 s="3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  <c r="Z728" s="3">
        <f>Table1[[#This Row],[QUANTITYORDERED]]*Table1[[#This Row],[PRICEEACH]]</f>
        <v>5498.08</v>
      </c>
    </row>
    <row r="729" spans="1:26" hidden="1" x14ac:dyDescent="0.35">
      <c r="A729">
        <v>10425</v>
      </c>
      <c r="B729">
        <v>38</v>
      </c>
      <c r="C729" s="3">
        <v>99.41</v>
      </c>
      <c r="D729">
        <v>7</v>
      </c>
      <c r="E729" s="3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 s="3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  <c r="Z729" s="3">
        <f>Table1[[#This Row],[QUANTITYORDERED]]*Table1[[#This Row],[PRICEEACH]]</f>
        <v>3777.58</v>
      </c>
    </row>
    <row r="730" spans="1:26" hidden="1" x14ac:dyDescent="0.35">
      <c r="A730">
        <v>10101</v>
      </c>
      <c r="B730">
        <v>25</v>
      </c>
      <c r="C730" s="3">
        <v>100</v>
      </c>
      <c r="D730">
        <v>4</v>
      </c>
      <c r="E730" s="3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 s="3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  <c r="Z730" s="3">
        <f>Table1[[#This Row],[QUANTITYORDERED]]*Table1[[#This Row],[PRICEEACH]]</f>
        <v>2500</v>
      </c>
    </row>
    <row r="731" spans="1:26" hidden="1" x14ac:dyDescent="0.35">
      <c r="A731">
        <v>10110</v>
      </c>
      <c r="B731">
        <v>33</v>
      </c>
      <c r="C731" s="3">
        <v>100</v>
      </c>
      <c r="D731">
        <v>4</v>
      </c>
      <c r="E731" s="3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 s="3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  <c r="Z731" s="3">
        <f>Table1[[#This Row],[QUANTITYORDERED]]*Table1[[#This Row],[PRICEEACH]]</f>
        <v>3300</v>
      </c>
    </row>
    <row r="732" spans="1:26" hidden="1" x14ac:dyDescent="0.35">
      <c r="A732">
        <v>10124</v>
      </c>
      <c r="B732">
        <v>42</v>
      </c>
      <c r="C732" s="3">
        <v>100</v>
      </c>
      <c r="D732">
        <v>3</v>
      </c>
      <c r="E732" s="3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 s="3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  <c r="Z732" s="3">
        <f>Table1[[#This Row],[QUANTITYORDERED]]*Table1[[#This Row],[PRICEEACH]]</f>
        <v>4200</v>
      </c>
    </row>
    <row r="733" spans="1:26" hidden="1" x14ac:dyDescent="0.35">
      <c r="A733">
        <v>10149</v>
      </c>
      <c r="B733">
        <v>33</v>
      </c>
      <c r="C733" s="3">
        <v>100</v>
      </c>
      <c r="D733">
        <v>8</v>
      </c>
      <c r="E733" s="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 s="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  <c r="Z733" s="3">
        <f>Table1[[#This Row],[QUANTITYORDERED]]*Table1[[#This Row],[PRICEEACH]]</f>
        <v>3300</v>
      </c>
    </row>
    <row r="734" spans="1:26" hidden="1" x14ac:dyDescent="0.35">
      <c r="A734">
        <v>10162</v>
      </c>
      <c r="B734">
        <v>38</v>
      </c>
      <c r="C734" s="3">
        <v>100</v>
      </c>
      <c r="D734">
        <v>6</v>
      </c>
      <c r="E734" s="3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 s="3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  <c r="Z734" s="3">
        <f>Table1[[#This Row],[QUANTITYORDERED]]*Table1[[#This Row],[PRICEEACH]]</f>
        <v>3800</v>
      </c>
    </row>
    <row r="735" spans="1:26" hidden="1" x14ac:dyDescent="0.35">
      <c r="A735">
        <v>10173</v>
      </c>
      <c r="B735">
        <v>31</v>
      </c>
      <c r="C735" s="3">
        <v>100</v>
      </c>
      <c r="D735">
        <v>10</v>
      </c>
      <c r="E735" s="3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 s="3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  <c r="Z735" s="3">
        <f>Table1[[#This Row],[QUANTITYORDERED]]*Table1[[#This Row],[PRICEEACH]]</f>
        <v>3100</v>
      </c>
    </row>
    <row r="736" spans="1:26" hidden="1" x14ac:dyDescent="0.35">
      <c r="A736">
        <v>10182</v>
      </c>
      <c r="B736">
        <v>20</v>
      </c>
      <c r="C736" s="3">
        <v>100</v>
      </c>
      <c r="D736">
        <v>7</v>
      </c>
      <c r="E736" s="3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 s="3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  <c r="Z736" s="3">
        <f>Table1[[#This Row],[QUANTITYORDERED]]*Table1[[#This Row],[PRICEEACH]]</f>
        <v>2000</v>
      </c>
    </row>
    <row r="737" spans="1:26" hidden="1" x14ac:dyDescent="0.35">
      <c r="A737">
        <v>10193</v>
      </c>
      <c r="B737">
        <v>44</v>
      </c>
      <c r="C737" s="3">
        <v>100</v>
      </c>
      <c r="D737">
        <v>11</v>
      </c>
      <c r="E737" s="3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 s="3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  <c r="Z737" s="3">
        <f>Table1[[#This Row],[QUANTITYORDERED]]*Table1[[#This Row],[PRICEEACH]]</f>
        <v>4400</v>
      </c>
    </row>
    <row r="738" spans="1:26" hidden="1" x14ac:dyDescent="0.35">
      <c r="A738">
        <v>10204</v>
      </c>
      <c r="B738">
        <v>26</v>
      </c>
      <c r="C738" s="3">
        <v>100</v>
      </c>
      <c r="D738">
        <v>1</v>
      </c>
      <c r="E738" s="3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 s="3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  <c r="Z738" s="3">
        <f>Table1[[#This Row],[QUANTITYORDERED]]*Table1[[#This Row],[PRICEEACH]]</f>
        <v>2600</v>
      </c>
    </row>
    <row r="739" spans="1:26" hidden="1" x14ac:dyDescent="0.35">
      <c r="A739">
        <v>10214</v>
      </c>
      <c r="B739">
        <v>27</v>
      </c>
      <c r="C739" s="3">
        <v>100</v>
      </c>
      <c r="D739">
        <v>4</v>
      </c>
      <c r="E739" s="3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 s="3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  <c r="Z739" s="3">
        <f>Table1[[#This Row],[QUANTITYORDERED]]*Table1[[#This Row],[PRICEEACH]]</f>
        <v>2700</v>
      </c>
    </row>
    <row r="740" spans="1:26" hidden="1" x14ac:dyDescent="0.35">
      <c r="A740">
        <v>10227</v>
      </c>
      <c r="B740">
        <v>46</v>
      </c>
      <c r="C740" s="3">
        <v>100</v>
      </c>
      <c r="D740">
        <v>7</v>
      </c>
      <c r="E740" s="3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 s="3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  <c r="Z740" s="3">
        <f>Table1[[#This Row],[QUANTITYORDERED]]*Table1[[#This Row],[PRICEEACH]]</f>
        <v>4600</v>
      </c>
    </row>
    <row r="741" spans="1:26" hidden="1" x14ac:dyDescent="0.35">
      <c r="A741">
        <v>10243</v>
      </c>
      <c r="B741">
        <v>47</v>
      </c>
      <c r="C741" s="3">
        <v>100</v>
      </c>
      <c r="D741">
        <v>2</v>
      </c>
      <c r="E741" s="3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 s="3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  <c r="Z741" s="3">
        <f>Table1[[#This Row],[QUANTITYORDERED]]*Table1[[#This Row],[PRICEEACH]]</f>
        <v>4700</v>
      </c>
    </row>
    <row r="742" spans="1:26" hidden="1" x14ac:dyDescent="0.35">
      <c r="A742">
        <v>10280</v>
      </c>
      <c r="B742">
        <v>37</v>
      </c>
      <c r="C742" s="3">
        <v>100</v>
      </c>
      <c r="D742">
        <v>13</v>
      </c>
      <c r="E742" s="3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 s="3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  <c r="Z742" s="3">
        <f>Table1[[#This Row],[QUANTITYORDERED]]*Table1[[#This Row],[PRICEEACH]]</f>
        <v>3700</v>
      </c>
    </row>
    <row r="743" spans="1:26" hidden="1" x14ac:dyDescent="0.35">
      <c r="A743">
        <v>10288</v>
      </c>
      <c r="B743">
        <v>31</v>
      </c>
      <c r="C743" s="3">
        <v>100</v>
      </c>
      <c r="D743">
        <v>2</v>
      </c>
      <c r="E743" s="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 s="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  <c r="Z743" s="3">
        <f>Table1[[#This Row],[QUANTITYORDERED]]*Table1[[#This Row],[PRICEEACH]]</f>
        <v>3100</v>
      </c>
    </row>
    <row r="744" spans="1:26" hidden="1" x14ac:dyDescent="0.35">
      <c r="A744">
        <v>10304</v>
      </c>
      <c r="B744">
        <v>24</v>
      </c>
      <c r="C744" s="3">
        <v>100</v>
      </c>
      <c r="D744">
        <v>17</v>
      </c>
      <c r="E744" s="3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 s="3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  <c r="Z744" s="3">
        <f>Table1[[#This Row],[QUANTITYORDERED]]*Table1[[#This Row],[PRICEEACH]]</f>
        <v>2400</v>
      </c>
    </row>
    <row r="745" spans="1:26" hidden="1" x14ac:dyDescent="0.35">
      <c r="A745">
        <v>10312</v>
      </c>
      <c r="B745">
        <v>31</v>
      </c>
      <c r="C745" s="3">
        <v>100</v>
      </c>
      <c r="D745">
        <v>14</v>
      </c>
      <c r="E745" s="3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 s="3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  <c r="Z745" s="3">
        <f>Table1[[#This Row],[QUANTITYORDERED]]*Table1[[#This Row],[PRICEEACH]]</f>
        <v>3100</v>
      </c>
    </row>
    <row r="746" spans="1:26" hidden="1" x14ac:dyDescent="0.35">
      <c r="A746">
        <v>10322</v>
      </c>
      <c r="B746">
        <v>50</v>
      </c>
      <c r="C746" s="3">
        <v>100</v>
      </c>
      <c r="D746">
        <v>6</v>
      </c>
      <c r="E746" s="3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 s="3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  <c r="Z746" s="3">
        <f>Table1[[#This Row],[QUANTITYORDERED]]*Table1[[#This Row],[PRICEEACH]]</f>
        <v>5000</v>
      </c>
    </row>
    <row r="747" spans="1:26" hidden="1" x14ac:dyDescent="0.35">
      <c r="A747">
        <v>10332</v>
      </c>
      <c r="B747">
        <v>35</v>
      </c>
      <c r="C747" s="3">
        <v>64.69</v>
      </c>
      <c r="D747">
        <v>8</v>
      </c>
      <c r="E747" s="3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 s="3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  <c r="Z747" s="3">
        <f>Table1[[#This Row],[QUANTITYORDERED]]*Table1[[#This Row],[PRICEEACH]]</f>
        <v>2264.15</v>
      </c>
    </row>
    <row r="748" spans="1:26" hidden="1" x14ac:dyDescent="0.35">
      <c r="A748">
        <v>10344</v>
      </c>
      <c r="B748">
        <v>30</v>
      </c>
      <c r="C748" s="3">
        <v>100</v>
      </c>
      <c r="D748">
        <v>3</v>
      </c>
      <c r="E748" s="3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 s="3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  <c r="Z748" s="3">
        <f>Table1[[#This Row],[QUANTITYORDERED]]*Table1[[#This Row],[PRICEEACH]]</f>
        <v>3000</v>
      </c>
    </row>
    <row r="749" spans="1:26" hidden="1" x14ac:dyDescent="0.35">
      <c r="A749">
        <v>10356</v>
      </c>
      <c r="B749">
        <v>29</v>
      </c>
      <c r="C749" s="3">
        <v>100</v>
      </c>
      <c r="D749">
        <v>3</v>
      </c>
      <c r="E749" s="3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 s="3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  <c r="Z749" s="3">
        <f>Table1[[#This Row],[QUANTITYORDERED]]*Table1[[#This Row],[PRICEEACH]]</f>
        <v>2900</v>
      </c>
    </row>
    <row r="750" spans="1:26" hidden="1" x14ac:dyDescent="0.35">
      <c r="A750">
        <v>10367</v>
      </c>
      <c r="B750">
        <v>27</v>
      </c>
      <c r="C750" s="3">
        <v>100</v>
      </c>
      <c r="D750">
        <v>5</v>
      </c>
      <c r="E750" s="3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 s="3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  <c r="Z750" s="3">
        <f>Table1[[#This Row],[QUANTITYORDERED]]*Table1[[#This Row],[PRICEEACH]]</f>
        <v>2700</v>
      </c>
    </row>
    <row r="751" spans="1:26" hidden="1" x14ac:dyDescent="0.35">
      <c r="A751">
        <v>10380</v>
      </c>
      <c r="B751">
        <v>40</v>
      </c>
      <c r="C751" s="3">
        <v>100</v>
      </c>
      <c r="D751">
        <v>10</v>
      </c>
      <c r="E751" s="3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 s="3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  <c r="Z751" s="3">
        <f>Table1[[#This Row],[QUANTITYORDERED]]*Table1[[#This Row],[PRICEEACH]]</f>
        <v>4000</v>
      </c>
    </row>
    <row r="752" spans="1:26" hidden="1" x14ac:dyDescent="0.35">
      <c r="A752">
        <v>10390</v>
      </c>
      <c r="B752">
        <v>31</v>
      </c>
      <c r="C752" s="3">
        <v>98.99</v>
      </c>
      <c r="D752">
        <v>16</v>
      </c>
      <c r="E752" s="3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 s="3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  <c r="Z752" s="3">
        <f>Table1[[#This Row],[QUANTITYORDERED]]*Table1[[#This Row],[PRICEEACH]]</f>
        <v>3068.69</v>
      </c>
    </row>
    <row r="753" spans="1:26" hidden="1" x14ac:dyDescent="0.35">
      <c r="A753">
        <v>10409</v>
      </c>
      <c r="B753">
        <v>6</v>
      </c>
      <c r="C753" s="3">
        <v>100</v>
      </c>
      <c r="D753">
        <v>2</v>
      </c>
      <c r="E753" s="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 s="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  <c r="Z753" s="3">
        <f>Table1[[#This Row],[QUANTITYORDERED]]*Table1[[#This Row],[PRICEEACH]]</f>
        <v>600</v>
      </c>
    </row>
    <row r="754" spans="1:26" hidden="1" x14ac:dyDescent="0.35">
      <c r="A754">
        <v>10420</v>
      </c>
      <c r="B754">
        <v>45</v>
      </c>
      <c r="C754" s="3">
        <v>100</v>
      </c>
      <c r="D754">
        <v>2</v>
      </c>
      <c r="E754" s="3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 s="3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  <c r="Z754" s="3">
        <f>Table1[[#This Row],[QUANTITYORDERED]]*Table1[[#This Row],[PRICEEACH]]</f>
        <v>4500</v>
      </c>
    </row>
    <row r="755" spans="1:26" hidden="1" x14ac:dyDescent="0.35">
      <c r="A755">
        <v>10103</v>
      </c>
      <c r="B755">
        <v>22</v>
      </c>
      <c r="C755" s="3">
        <v>54.09</v>
      </c>
      <c r="D755">
        <v>2</v>
      </c>
      <c r="E755" s="3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 s="3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  <c r="Z755" s="3">
        <f>Table1[[#This Row],[QUANTITYORDERED]]*Table1[[#This Row],[PRICEEACH]]</f>
        <v>1189.98</v>
      </c>
    </row>
    <row r="756" spans="1:26" hidden="1" x14ac:dyDescent="0.35">
      <c r="A756">
        <v>10114</v>
      </c>
      <c r="B756">
        <v>45</v>
      </c>
      <c r="C756" s="3">
        <v>68.67</v>
      </c>
      <c r="D756">
        <v>6</v>
      </c>
      <c r="E756" s="3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 s="3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  <c r="Z756" s="3">
        <f>Table1[[#This Row],[QUANTITYORDERED]]*Table1[[#This Row],[PRICEEACH]]</f>
        <v>3090.15</v>
      </c>
    </row>
    <row r="757" spans="1:26" hidden="1" x14ac:dyDescent="0.35">
      <c r="A757">
        <v>10126</v>
      </c>
      <c r="B757">
        <v>43</v>
      </c>
      <c r="C757" s="3">
        <v>65.02</v>
      </c>
      <c r="D757">
        <v>2</v>
      </c>
      <c r="E757" s="3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 s="3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  <c r="Z757" s="3">
        <f>Table1[[#This Row],[QUANTITYORDERED]]*Table1[[#This Row],[PRICEEACH]]</f>
        <v>2795.8599999999997</v>
      </c>
    </row>
    <row r="758" spans="1:26" hidden="1" x14ac:dyDescent="0.35">
      <c r="A758">
        <v>10140</v>
      </c>
      <c r="B758">
        <v>46</v>
      </c>
      <c r="C758" s="3">
        <v>61.99</v>
      </c>
      <c r="D758">
        <v>2</v>
      </c>
      <c r="E758" s="3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 s="3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  <c r="Z758" s="3">
        <f>Table1[[#This Row],[QUANTITYORDERED]]*Table1[[#This Row],[PRICEEACH]]</f>
        <v>2851.54</v>
      </c>
    </row>
    <row r="759" spans="1:26" hidden="1" x14ac:dyDescent="0.35">
      <c r="A759">
        <v>10151</v>
      </c>
      <c r="B759">
        <v>39</v>
      </c>
      <c r="C759" s="3">
        <v>69.28</v>
      </c>
      <c r="D759">
        <v>9</v>
      </c>
      <c r="E759" s="3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 s="3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  <c r="Z759" s="3">
        <f>Table1[[#This Row],[QUANTITYORDERED]]*Table1[[#This Row],[PRICEEACH]]</f>
        <v>2701.92</v>
      </c>
    </row>
    <row r="760" spans="1:26" hidden="1" x14ac:dyDescent="0.35">
      <c r="A760">
        <v>10165</v>
      </c>
      <c r="B760">
        <v>31</v>
      </c>
      <c r="C760" s="3">
        <v>71.099999999999994</v>
      </c>
      <c r="D760">
        <v>18</v>
      </c>
      <c r="E760" s="3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 s="3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  <c r="Z760" s="3">
        <f>Table1[[#This Row],[QUANTITYORDERED]]*Table1[[#This Row],[PRICEEACH]]</f>
        <v>2204.1</v>
      </c>
    </row>
    <row r="761" spans="1:26" hidden="1" x14ac:dyDescent="0.35">
      <c r="A761">
        <v>10175</v>
      </c>
      <c r="B761">
        <v>41</v>
      </c>
      <c r="C761" s="3">
        <v>69.28</v>
      </c>
      <c r="D761">
        <v>7</v>
      </c>
      <c r="E761" s="3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 s="3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  <c r="Z761" s="3">
        <f>Table1[[#This Row],[QUANTITYORDERED]]*Table1[[#This Row],[PRICEEACH]]</f>
        <v>2840.48</v>
      </c>
    </row>
    <row r="762" spans="1:26" hidden="1" x14ac:dyDescent="0.35">
      <c r="A762">
        <v>10184</v>
      </c>
      <c r="B762">
        <v>44</v>
      </c>
      <c r="C762" s="3">
        <v>60.16</v>
      </c>
      <c r="D762">
        <v>12</v>
      </c>
      <c r="E762" s="3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 s="3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  <c r="Z762" s="3">
        <f>Table1[[#This Row],[QUANTITYORDERED]]*Table1[[#This Row],[PRICEEACH]]</f>
        <v>2647.04</v>
      </c>
    </row>
    <row r="763" spans="1:26" hidden="1" x14ac:dyDescent="0.35">
      <c r="A763">
        <v>10194</v>
      </c>
      <c r="B763">
        <v>45</v>
      </c>
      <c r="C763" s="3">
        <v>70.489999999999995</v>
      </c>
      <c r="D763">
        <v>2</v>
      </c>
      <c r="E763" s="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 s="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  <c r="Z763" s="3">
        <f>Table1[[#This Row],[QUANTITYORDERED]]*Table1[[#This Row],[PRICEEACH]]</f>
        <v>3172.0499999999997</v>
      </c>
    </row>
    <row r="764" spans="1:26" hidden="1" x14ac:dyDescent="0.35">
      <c r="A764">
        <v>10207</v>
      </c>
      <c r="B764">
        <v>37</v>
      </c>
      <c r="C764" s="3">
        <v>69.89</v>
      </c>
      <c r="D764">
        <v>13</v>
      </c>
      <c r="E764" s="3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 s="3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  <c r="Z764" s="3">
        <f>Table1[[#This Row],[QUANTITYORDERED]]*Table1[[#This Row],[PRICEEACH]]</f>
        <v>2585.9299999999998</v>
      </c>
    </row>
    <row r="765" spans="1:26" hidden="1" x14ac:dyDescent="0.35">
      <c r="A765">
        <v>10217</v>
      </c>
      <c r="B765">
        <v>35</v>
      </c>
      <c r="C765" s="3">
        <v>61.38</v>
      </c>
      <c r="D765">
        <v>2</v>
      </c>
      <c r="E765" s="3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 s="3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  <c r="Z765" s="3">
        <f>Table1[[#This Row],[QUANTITYORDERED]]*Table1[[#This Row],[PRICEEACH]]</f>
        <v>2148.3000000000002</v>
      </c>
    </row>
    <row r="766" spans="1:26" hidden="1" x14ac:dyDescent="0.35">
      <c r="A766">
        <v>10229</v>
      </c>
      <c r="B766">
        <v>28</v>
      </c>
      <c r="C766" s="3">
        <v>59.55</v>
      </c>
      <c r="D766">
        <v>7</v>
      </c>
      <c r="E766" s="3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 s="3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  <c r="Z766" s="3">
        <f>Table1[[#This Row],[QUANTITYORDERED]]*Table1[[#This Row],[PRICEEACH]]</f>
        <v>1667.3999999999999</v>
      </c>
    </row>
    <row r="767" spans="1:26" hidden="1" x14ac:dyDescent="0.35">
      <c r="A767">
        <v>10246</v>
      </c>
      <c r="B767">
        <v>30</v>
      </c>
      <c r="C767" s="3">
        <v>61.99</v>
      </c>
      <c r="D767">
        <v>11</v>
      </c>
      <c r="E767" s="3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 s="3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  <c r="Z767" s="3">
        <f>Table1[[#This Row],[QUANTITYORDERED]]*Table1[[#This Row],[PRICEEACH]]</f>
        <v>1859.7</v>
      </c>
    </row>
    <row r="768" spans="1:26" hidden="1" x14ac:dyDescent="0.35">
      <c r="A768">
        <v>10259</v>
      </c>
      <c r="B768">
        <v>30</v>
      </c>
      <c r="C768" s="3">
        <v>49.22</v>
      </c>
      <c r="D768">
        <v>10</v>
      </c>
      <c r="E768" s="3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 s="3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  <c r="Z768" s="3">
        <f>Table1[[#This Row],[QUANTITYORDERED]]*Table1[[#This Row],[PRICEEACH]]</f>
        <v>1476.6</v>
      </c>
    </row>
    <row r="769" spans="1:26" hidden="1" x14ac:dyDescent="0.35">
      <c r="A769">
        <v>10271</v>
      </c>
      <c r="B769">
        <v>25</v>
      </c>
      <c r="C769" s="3">
        <v>69.28</v>
      </c>
      <c r="D769">
        <v>11</v>
      </c>
      <c r="E769" s="3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 s="3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  <c r="Z769" s="3">
        <f>Table1[[#This Row],[QUANTITYORDERED]]*Table1[[#This Row],[PRICEEACH]]</f>
        <v>1732</v>
      </c>
    </row>
    <row r="770" spans="1:26" hidden="1" x14ac:dyDescent="0.35">
      <c r="A770">
        <v>10281</v>
      </c>
      <c r="B770">
        <v>29</v>
      </c>
      <c r="C770" s="3">
        <v>57.73</v>
      </c>
      <c r="D770">
        <v>7</v>
      </c>
      <c r="E770" s="3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 s="3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  <c r="Z770" s="3">
        <f>Table1[[#This Row],[QUANTITYORDERED]]*Table1[[#This Row],[PRICEEACH]]</f>
        <v>1674.1699999999998</v>
      </c>
    </row>
    <row r="771" spans="1:26" hidden="1" x14ac:dyDescent="0.35">
      <c r="A771">
        <v>10291</v>
      </c>
      <c r="B771">
        <v>26</v>
      </c>
      <c r="C771" s="3">
        <v>57.73</v>
      </c>
      <c r="D771">
        <v>2</v>
      </c>
      <c r="E771" s="3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 s="3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  <c r="Z771" s="3">
        <f>Table1[[#This Row],[QUANTITYORDERED]]*Table1[[#This Row],[PRICEEACH]]</f>
        <v>1500.98</v>
      </c>
    </row>
    <row r="772" spans="1:26" hidden="1" x14ac:dyDescent="0.35">
      <c r="A772">
        <v>10305</v>
      </c>
      <c r="B772">
        <v>41</v>
      </c>
      <c r="C772" s="3">
        <v>53.48</v>
      </c>
      <c r="D772">
        <v>11</v>
      </c>
      <c r="E772" s="3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 s="3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  <c r="Z772" s="3">
        <f>Table1[[#This Row],[QUANTITYORDERED]]*Table1[[#This Row],[PRICEEACH]]</f>
        <v>2192.6799999999998</v>
      </c>
    </row>
    <row r="773" spans="1:26" hidden="1" x14ac:dyDescent="0.35">
      <c r="A773">
        <v>10313</v>
      </c>
      <c r="B773">
        <v>34</v>
      </c>
      <c r="C773" s="3">
        <v>52.87</v>
      </c>
      <c r="D773">
        <v>5</v>
      </c>
      <c r="E773" s="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 s="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  <c r="Z773" s="3">
        <f>Table1[[#This Row],[QUANTITYORDERED]]*Table1[[#This Row],[PRICEEACH]]</f>
        <v>1797.58</v>
      </c>
    </row>
    <row r="774" spans="1:26" hidden="1" x14ac:dyDescent="0.35">
      <c r="A774">
        <v>10322</v>
      </c>
      <c r="B774">
        <v>35</v>
      </c>
      <c r="C774" s="3">
        <v>61.21</v>
      </c>
      <c r="D774">
        <v>11</v>
      </c>
      <c r="E774" s="3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 s="3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  <c r="Z774" s="3">
        <f>Table1[[#This Row],[QUANTITYORDERED]]*Table1[[#This Row],[PRICEEACH]]</f>
        <v>2142.35</v>
      </c>
    </row>
    <row r="775" spans="1:26" hidden="1" x14ac:dyDescent="0.35">
      <c r="A775">
        <v>10334</v>
      </c>
      <c r="B775">
        <v>34</v>
      </c>
      <c r="C775" s="3">
        <v>61.38</v>
      </c>
      <c r="D775">
        <v>1</v>
      </c>
      <c r="E775" s="3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 s="3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  <c r="Z775" s="3">
        <f>Table1[[#This Row],[QUANTITYORDERED]]*Table1[[#This Row],[PRICEEACH]]</f>
        <v>2086.92</v>
      </c>
    </row>
    <row r="776" spans="1:26" hidden="1" x14ac:dyDescent="0.35">
      <c r="A776">
        <v>10347</v>
      </c>
      <c r="B776">
        <v>50</v>
      </c>
      <c r="C776" s="3">
        <v>100</v>
      </c>
      <c r="D776">
        <v>8</v>
      </c>
      <c r="E776" s="3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 s="3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  <c r="Z776" s="3">
        <f>Table1[[#This Row],[QUANTITYORDERED]]*Table1[[#This Row],[PRICEEACH]]</f>
        <v>5000</v>
      </c>
    </row>
    <row r="777" spans="1:26" hidden="1" x14ac:dyDescent="0.35">
      <c r="A777">
        <v>10357</v>
      </c>
      <c r="B777">
        <v>41</v>
      </c>
      <c r="C777" s="3">
        <v>61.99</v>
      </c>
      <c r="D777">
        <v>7</v>
      </c>
      <c r="E777" s="3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 s="3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  <c r="Z777" s="3">
        <f>Table1[[#This Row],[QUANTITYORDERED]]*Table1[[#This Row],[PRICEEACH]]</f>
        <v>2541.59</v>
      </c>
    </row>
    <row r="778" spans="1:26" hidden="1" x14ac:dyDescent="0.35">
      <c r="A778">
        <v>10370</v>
      </c>
      <c r="B778">
        <v>22</v>
      </c>
      <c r="C778" s="3">
        <v>96.86</v>
      </c>
      <c r="D778">
        <v>7</v>
      </c>
      <c r="E778" s="3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 s="3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  <c r="Z778" s="3">
        <f>Table1[[#This Row],[QUANTITYORDERED]]*Table1[[#This Row],[PRICEEACH]]</f>
        <v>2130.92</v>
      </c>
    </row>
    <row r="779" spans="1:26" hidden="1" x14ac:dyDescent="0.35">
      <c r="A779">
        <v>10381</v>
      </c>
      <c r="B779">
        <v>35</v>
      </c>
      <c r="C779" s="3">
        <v>48.62</v>
      </c>
      <c r="D779">
        <v>7</v>
      </c>
      <c r="E779" s="3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 s="3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  <c r="Z779" s="3">
        <f>Table1[[#This Row],[QUANTITYORDERED]]*Table1[[#This Row],[PRICEEACH]]</f>
        <v>1701.6999999999998</v>
      </c>
    </row>
    <row r="780" spans="1:26" hidden="1" x14ac:dyDescent="0.35">
      <c r="A780">
        <v>10391</v>
      </c>
      <c r="B780">
        <v>44</v>
      </c>
      <c r="C780" s="3">
        <v>38.5</v>
      </c>
      <c r="D780">
        <v>5</v>
      </c>
      <c r="E780" s="3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 s="3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  <c r="Z780" s="3">
        <f>Table1[[#This Row],[QUANTITYORDERED]]*Table1[[#This Row],[PRICEEACH]]</f>
        <v>1694</v>
      </c>
    </row>
    <row r="781" spans="1:26" hidden="1" x14ac:dyDescent="0.35">
      <c r="A781">
        <v>10412</v>
      </c>
      <c r="B781">
        <v>47</v>
      </c>
      <c r="C781" s="3">
        <v>61.99</v>
      </c>
      <c r="D781">
        <v>11</v>
      </c>
      <c r="E781" s="3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 s="3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  <c r="Z781" s="3">
        <f>Table1[[#This Row],[QUANTITYORDERED]]*Table1[[#This Row],[PRICEEACH]]</f>
        <v>2913.53</v>
      </c>
    </row>
    <row r="782" spans="1:26" hidden="1" x14ac:dyDescent="0.35">
      <c r="A782">
        <v>10425</v>
      </c>
      <c r="B782">
        <v>19</v>
      </c>
      <c r="C782" s="3">
        <v>49.22</v>
      </c>
      <c r="D782">
        <v>10</v>
      </c>
      <c r="E782" s="3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 s="3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  <c r="Z782" s="3">
        <f>Table1[[#This Row],[QUANTITYORDERED]]*Table1[[#This Row],[PRICEEACH]]</f>
        <v>935.18</v>
      </c>
    </row>
    <row r="783" spans="1:26" hidden="1" x14ac:dyDescent="0.35">
      <c r="A783">
        <v>10106</v>
      </c>
      <c r="B783">
        <v>34</v>
      </c>
      <c r="C783" s="3">
        <v>90.39</v>
      </c>
      <c r="D783">
        <v>2</v>
      </c>
      <c r="E783" s="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 s="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  <c r="Z783" s="3">
        <f>Table1[[#This Row],[QUANTITYORDERED]]*Table1[[#This Row],[PRICEEACH]]</f>
        <v>3073.26</v>
      </c>
    </row>
    <row r="784" spans="1:26" hidden="1" x14ac:dyDescent="0.35">
      <c r="A784">
        <v>10120</v>
      </c>
      <c r="B784">
        <v>29</v>
      </c>
      <c r="C784" s="3">
        <v>71.81</v>
      </c>
      <c r="D784">
        <v>8</v>
      </c>
      <c r="E784" s="3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 s="3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  <c r="Z784" s="3">
        <f>Table1[[#This Row],[QUANTITYORDERED]]*Table1[[#This Row],[PRICEEACH]]</f>
        <v>2082.4900000000002</v>
      </c>
    </row>
    <row r="785" spans="1:26" hidden="1" x14ac:dyDescent="0.35">
      <c r="A785">
        <v>10133</v>
      </c>
      <c r="B785">
        <v>49</v>
      </c>
      <c r="C785" s="3">
        <v>69.27</v>
      </c>
      <c r="D785">
        <v>3</v>
      </c>
      <c r="E785" s="3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 s="3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  <c r="Z785" s="3">
        <f>Table1[[#This Row],[QUANTITYORDERED]]*Table1[[#This Row],[PRICEEACH]]</f>
        <v>3394.23</v>
      </c>
    </row>
    <row r="786" spans="1:26" hidden="1" x14ac:dyDescent="0.35">
      <c r="A786">
        <v>10145</v>
      </c>
      <c r="B786">
        <v>30</v>
      </c>
      <c r="C786" s="3">
        <v>85.32</v>
      </c>
      <c r="D786">
        <v>14</v>
      </c>
      <c r="E786" s="3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 s="3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  <c r="Z786" s="3">
        <f>Table1[[#This Row],[QUANTITYORDERED]]*Table1[[#This Row],[PRICEEACH]]</f>
        <v>2559.6</v>
      </c>
    </row>
    <row r="787" spans="1:26" hidden="1" x14ac:dyDescent="0.35">
      <c r="A787">
        <v>10168</v>
      </c>
      <c r="B787">
        <v>21</v>
      </c>
      <c r="C787" s="3">
        <v>70.959999999999994</v>
      </c>
      <c r="D787">
        <v>9</v>
      </c>
      <c r="E787" s="3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 s="3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  <c r="Z787" s="3">
        <f>Table1[[#This Row],[QUANTITYORDERED]]*Table1[[#This Row],[PRICEEACH]]</f>
        <v>1490.1599999999999</v>
      </c>
    </row>
    <row r="788" spans="1:26" hidden="1" x14ac:dyDescent="0.35">
      <c r="A788">
        <v>10210</v>
      </c>
      <c r="B788">
        <v>50</v>
      </c>
      <c r="C788" s="3">
        <v>76.88</v>
      </c>
      <c r="D788">
        <v>7</v>
      </c>
      <c r="E788" s="3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 s="3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  <c r="Z788" s="3">
        <f>Table1[[#This Row],[QUANTITYORDERED]]*Table1[[#This Row],[PRICEEACH]]</f>
        <v>3844</v>
      </c>
    </row>
    <row r="789" spans="1:26" hidden="1" x14ac:dyDescent="0.35">
      <c r="A789">
        <v>10223</v>
      </c>
      <c r="B789">
        <v>47</v>
      </c>
      <c r="C789" s="3">
        <v>100</v>
      </c>
      <c r="D789">
        <v>9</v>
      </c>
      <c r="E789" s="3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 s="3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  <c r="Z789" s="3">
        <f>Table1[[#This Row],[QUANTITYORDERED]]*Table1[[#This Row],[PRICEEACH]]</f>
        <v>4700</v>
      </c>
    </row>
    <row r="790" spans="1:26" hidden="1" x14ac:dyDescent="0.35">
      <c r="A790">
        <v>10235</v>
      </c>
      <c r="B790">
        <v>24</v>
      </c>
      <c r="C790" s="3">
        <v>76.03</v>
      </c>
      <c r="D790">
        <v>3</v>
      </c>
      <c r="E790" s="3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 s="3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  <c r="Z790" s="3">
        <f>Table1[[#This Row],[QUANTITYORDERED]]*Table1[[#This Row],[PRICEEACH]]</f>
        <v>1824.72</v>
      </c>
    </row>
    <row r="791" spans="1:26" hidden="1" x14ac:dyDescent="0.35">
      <c r="A791">
        <v>10250</v>
      </c>
      <c r="B791">
        <v>27</v>
      </c>
      <c r="C791" s="3">
        <v>98.84</v>
      </c>
      <c r="D791">
        <v>4</v>
      </c>
      <c r="E791" s="3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 s="3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  <c r="Z791" s="3">
        <f>Table1[[#This Row],[QUANTITYORDERED]]*Table1[[#This Row],[PRICEEACH]]</f>
        <v>2668.6800000000003</v>
      </c>
    </row>
    <row r="792" spans="1:26" hidden="1" x14ac:dyDescent="0.35">
      <c r="A792">
        <v>10263</v>
      </c>
      <c r="B792">
        <v>33</v>
      </c>
      <c r="C792" s="3">
        <v>86.17</v>
      </c>
      <c r="D792">
        <v>10</v>
      </c>
      <c r="E792" s="3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 s="3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  <c r="Z792" s="3">
        <f>Table1[[#This Row],[QUANTITYORDERED]]*Table1[[#This Row],[PRICEEACH]]</f>
        <v>2843.61</v>
      </c>
    </row>
    <row r="793" spans="1:26" hidden="1" x14ac:dyDescent="0.35">
      <c r="A793">
        <v>10275</v>
      </c>
      <c r="B793">
        <v>35</v>
      </c>
      <c r="C793" s="3">
        <v>90.39</v>
      </c>
      <c r="D793">
        <v>9</v>
      </c>
      <c r="E793" s="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 s="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  <c r="Z793" s="3">
        <f>Table1[[#This Row],[QUANTITYORDERED]]*Table1[[#This Row],[PRICEEACH]]</f>
        <v>3163.65</v>
      </c>
    </row>
    <row r="794" spans="1:26" hidden="1" x14ac:dyDescent="0.35">
      <c r="A794">
        <v>10284</v>
      </c>
      <c r="B794">
        <v>31</v>
      </c>
      <c r="C794" s="3">
        <v>71.81</v>
      </c>
      <c r="D794">
        <v>1</v>
      </c>
      <c r="E794" s="3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 s="3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  <c r="Z794" s="3">
        <f>Table1[[#This Row],[QUANTITYORDERED]]*Table1[[#This Row],[PRICEEACH]]</f>
        <v>2226.11</v>
      </c>
    </row>
    <row r="795" spans="1:26" hidden="1" x14ac:dyDescent="0.35">
      <c r="A795">
        <v>10297</v>
      </c>
      <c r="B795">
        <v>25</v>
      </c>
      <c r="C795" s="3">
        <v>82.79</v>
      </c>
      <c r="D795">
        <v>4</v>
      </c>
      <c r="E795" s="3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 s="3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  <c r="Z795" s="3">
        <f>Table1[[#This Row],[QUANTITYORDERED]]*Table1[[#This Row],[PRICEEACH]]</f>
        <v>2069.75</v>
      </c>
    </row>
    <row r="796" spans="1:26" hidden="1" x14ac:dyDescent="0.35">
      <c r="A796">
        <v>10308</v>
      </c>
      <c r="B796">
        <v>27</v>
      </c>
      <c r="C796" s="3">
        <v>82.79</v>
      </c>
      <c r="D796">
        <v>7</v>
      </c>
      <c r="E796" s="3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 s="3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  <c r="Z796" s="3">
        <f>Table1[[#This Row],[QUANTITYORDERED]]*Table1[[#This Row],[PRICEEACH]]</f>
        <v>2235.3300000000004</v>
      </c>
    </row>
    <row r="797" spans="1:26" hidden="1" x14ac:dyDescent="0.35">
      <c r="A797">
        <v>10318</v>
      </c>
      <c r="B797">
        <v>31</v>
      </c>
      <c r="C797" s="3">
        <v>100</v>
      </c>
      <c r="D797">
        <v>9</v>
      </c>
      <c r="E797" s="3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 s="3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  <c r="Z797" s="3">
        <f>Table1[[#This Row],[QUANTITYORDERED]]*Table1[[#This Row],[PRICEEACH]]</f>
        <v>3100</v>
      </c>
    </row>
    <row r="798" spans="1:26" hidden="1" x14ac:dyDescent="0.35">
      <c r="A798">
        <v>10327</v>
      </c>
      <c r="B798">
        <v>45</v>
      </c>
      <c r="C798" s="3">
        <v>100</v>
      </c>
      <c r="D798">
        <v>8</v>
      </c>
      <c r="E798" s="3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 s="3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  <c r="Z798" s="3">
        <f>Table1[[#This Row],[QUANTITYORDERED]]*Table1[[#This Row],[PRICEEACH]]</f>
        <v>4500</v>
      </c>
    </row>
    <row r="799" spans="1:26" hidden="1" x14ac:dyDescent="0.35">
      <c r="A799">
        <v>10339</v>
      </c>
      <c r="B799">
        <v>27</v>
      </c>
      <c r="C799" s="3">
        <v>100</v>
      </c>
      <c r="D799">
        <v>2</v>
      </c>
      <c r="E799" s="3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 s="3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  <c r="Z799" s="3">
        <f>Table1[[#This Row],[QUANTITYORDERED]]*Table1[[#This Row],[PRICEEACH]]</f>
        <v>2700</v>
      </c>
    </row>
    <row r="800" spans="1:26" hidden="1" x14ac:dyDescent="0.35">
      <c r="A800">
        <v>10353</v>
      </c>
      <c r="B800">
        <v>27</v>
      </c>
      <c r="C800" s="3">
        <v>100</v>
      </c>
      <c r="D800">
        <v>1</v>
      </c>
      <c r="E800" s="3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 s="3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  <c r="Z800" s="3">
        <f>Table1[[#This Row],[QUANTITYORDERED]]*Table1[[#This Row],[PRICEEACH]]</f>
        <v>2700</v>
      </c>
    </row>
    <row r="801" spans="1:26" hidden="1" x14ac:dyDescent="0.35">
      <c r="A801">
        <v>10374</v>
      </c>
      <c r="B801">
        <v>42</v>
      </c>
      <c r="C801" s="3">
        <v>69.27</v>
      </c>
      <c r="D801">
        <v>2</v>
      </c>
      <c r="E801" s="3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 s="3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  <c r="Z801" s="3">
        <f>Table1[[#This Row],[QUANTITYORDERED]]*Table1[[#This Row],[PRICEEACH]]</f>
        <v>2909.3399999999997</v>
      </c>
    </row>
    <row r="802" spans="1:26" hidden="1" x14ac:dyDescent="0.35">
      <c r="A802">
        <v>10386</v>
      </c>
      <c r="B802">
        <v>21</v>
      </c>
      <c r="C802" s="3">
        <v>74.77</v>
      </c>
      <c r="D802">
        <v>18</v>
      </c>
      <c r="E802" s="3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 s="3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  <c r="Z802" s="3">
        <f>Table1[[#This Row],[QUANTITYORDERED]]*Table1[[#This Row],[PRICEEACH]]</f>
        <v>1570.1699999999998</v>
      </c>
    </row>
    <row r="803" spans="1:26" hidden="1" x14ac:dyDescent="0.35">
      <c r="A803">
        <v>10398</v>
      </c>
      <c r="B803">
        <v>34</v>
      </c>
      <c r="C803" s="3">
        <v>76.88</v>
      </c>
      <c r="D803">
        <v>15</v>
      </c>
      <c r="E803" s="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 s="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  <c r="Z803" s="3">
        <f>Table1[[#This Row],[QUANTITYORDERED]]*Table1[[#This Row],[PRICEEACH]]</f>
        <v>2613.92</v>
      </c>
    </row>
    <row r="804" spans="1:26" hidden="1" x14ac:dyDescent="0.35">
      <c r="A804">
        <v>10401</v>
      </c>
      <c r="B804">
        <v>42</v>
      </c>
      <c r="C804" s="3">
        <v>76.03</v>
      </c>
      <c r="D804">
        <v>3</v>
      </c>
      <c r="E804" s="3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 s="3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  <c r="Z804" s="3">
        <f>Table1[[#This Row],[QUANTITYORDERED]]*Table1[[#This Row],[PRICEEACH]]</f>
        <v>3193.26</v>
      </c>
    </row>
    <row r="805" spans="1:26" hidden="1" x14ac:dyDescent="0.35">
      <c r="A805">
        <v>10416</v>
      </c>
      <c r="B805">
        <v>15</v>
      </c>
      <c r="C805" s="3">
        <v>98.84</v>
      </c>
      <c r="D805">
        <v>4</v>
      </c>
      <c r="E805" s="3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 s="3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  <c r="Z805" s="3">
        <f>Table1[[#This Row],[QUANTITYORDERED]]*Table1[[#This Row],[PRICEEACH]]</f>
        <v>1482.6000000000001</v>
      </c>
    </row>
    <row r="806" spans="1:26" hidden="1" x14ac:dyDescent="0.35">
      <c r="A806">
        <v>10107</v>
      </c>
      <c r="B806">
        <v>29</v>
      </c>
      <c r="C806" s="3">
        <v>70.87</v>
      </c>
      <c r="D806">
        <v>6</v>
      </c>
      <c r="E806" s="3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 s="3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  <c r="Z806" s="3">
        <f>Table1[[#This Row],[QUANTITYORDERED]]*Table1[[#This Row],[PRICEEACH]]</f>
        <v>2055.23</v>
      </c>
    </row>
    <row r="807" spans="1:26" hidden="1" x14ac:dyDescent="0.35">
      <c r="A807">
        <v>10120</v>
      </c>
      <c r="B807">
        <v>46</v>
      </c>
      <c r="C807" s="3">
        <v>58.15</v>
      </c>
      <c r="D807">
        <v>4</v>
      </c>
      <c r="E807" s="3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 s="3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  <c r="Z807" s="3">
        <f>Table1[[#This Row],[QUANTITYORDERED]]*Table1[[#This Row],[PRICEEACH]]</f>
        <v>2674.9</v>
      </c>
    </row>
    <row r="808" spans="1:26" hidden="1" x14ac:dyDescent="0.35">
      <c r="A808">
        <v>10134</v>
      </c>
      <c r="B808">
        <v>30</v>
      </c>
      <c r="C808" s="3">
        <v>61.78</v>
      </c>
      <c r="D808">
        <v>6</v>
      </c>
      <c r="E808" s="3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 s="3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  <c r="Z808" s="3">
        <f>Table1[[#This Row],[QUANTITYORDERED]]*Table1[[#This Row],[PRICEEACH]]</f>
        <v>1853.4</v>
      </c>
    </row>
    <row r="809" spans="1:26" hidden="1" x14ac:dyDescent="0.35">
      <c r="A809">
        <v>10145</v>
      </c>
      <c r="B809">
        <v>30</v>
      </c>
      <c r="C809" s="3">
        <v>49.67</v>
      </c>
      <c r="D809">
        <v>10</v>
      </c>
      <c r="E809" s="3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 s="3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  <c r="Z809" s="3">
        <f>Table1[[#This Row],[QUANTITYORDERED]]*Table1[[#This Row],[PRICEEACH]]</f>
        <v>1490.1000000000001</v>
      </c>
    </row>
    <row r="810" spans="1:26" hidden="1" x14ac:dyDescent="0.35">
      <c r="A810">
        <v>10159</v>
      </c>
      <c r="B810">
        <v>42</v>
      </c>
      <c r="C810" s="3">
        <v>51.48</v>
      </c>
      <c r="D810">
        <v>18</v>
      </c>
      <c r="E810" s="3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 s="3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  <c r="Z810" s="3">
        <f>Table1[[#This Row],[QUANTITYORDERED]]*Table1[[#This Row],[PRICEEACH]]</f>
        <v>2162.16</v>
      </c>
    </row>
    <row r="811" spans="1:26" hidden="1" x14ac:dyDescent="0.35">
      <c r="A811">
        <v>10168</v>
      </c>
      <c r="B811">
        <v>46</v>
      </c>
      <c r="C811" s="3">
        <v>61.18</v>
      </c>
      <c r="D811">
        <v>5</v>
      </c>
      <c r="E811" s="3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 s="3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  <c r="Z811" s="3">
        <f>Table1[[#This Row],[QUANTITYORDERED]]*Table1[[#This Row],[PRICEEACH]]</f>
        <v>2814.28</v>
      </c>
    </row>
    <row r="812" spans="1:26" hidden="1" x14ac:dyDescent="0.35">
      <c r="A812">
        <v>10180</v>
      </c>
      <c r="B812">
        <v>25</v>
      </c>
      <c r="C812" s="3">
        <v>64.2</v>
      </c>
      <c r="D812">
        <v>13</v>
      </c>
      <c r="E812" s="3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 s="3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  <c r="Z812" s="3">
        <f>Table1[[#This Row],[QUANTITYORDERED]]*Table1[[#This Row],[PRICEEACH]]</f>
        <v>1605</v>
      </c>
    </row>
    <row r="813" spans="1:26" hidden="1" x14ac:dyDescent="0.35">
      <c r="A813">
        <v>10188</v>
      </c>
      <c r="B813">
        <v>32</v>
      </c>
      <c r="C813" s="3">
        <v>65.42</v>
      </c>
      <c r="D813">
        <v>5</v>
      </c>
      <c r="E813" s="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 s="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  <c r="Z813" s="3">
        <f>Table1[[#This Row],[QUANTITYORDERED]]*Table1[[#This Row],[PRICEEACH]]</f>
        <v>2093.44</v>
      </c>
    </row>
    <row r="814" spans="1:26" hidden="1" x14ac:dyDescent="0.35">
      <c r="A814">
        <v>10201</v>
      </c>
      <c r="B814">
        <v>30</v>
      </c>
      <c r="C814" s="3">
        <v>64.81</v>
      </c>
      <c r="D814">
        <v>6</v>
      </c>
      <c r="E814" s="3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 s="3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  <c r="Z814" s="3">
        <f>Table1[[#This Row],[QUANTITYORDERED]]*Table1[[#This Row],[PRICEEACH]]</f>
        <v>1944.3000000000002</v>
      </c>
    </row>
    <row r="815" spans="1:26" hidden="1" x14ac:dyDescent="0.35">
      <c r="A815">
        <v>10210</v>
      </c>
      <c r="B815">
        <v>40</v>
      </c>
      <c r="C815" s="3">
        <v>49.67</v>
      </c>
      <c r="D815">
        <v>3</v>
      </c>
      <c r="E815" s="3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 s="3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  <c r="Z815" s="3">
        <f>Table1[[#This Row],[QUANTITYORDERED]]*Table1[[#This Row],[PRICEEACH]]</f>
        <v>1986.8000000000002</v>
      </c>
    </row>
    <row r="816" spans="1:26" hidden="1" x14ac:dyDescent="0.35">
      <c r="A816">
        <v>10223</v>
      </c>
      <c r="B816">
        <v>28</v>
      </c>
      <c r="C816" s="3">
        <v>60.57</v>
      </c>
      <c r="D816">
        <v>5</v>
      </c>
      <c r="E816" s="3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 s="3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  <c r="Z816" s="3">
        <f>Table1[[#This Row],[QUANTITYORDERED]]*Table1[[#This Row],[PRICEEACH]]</f>
        <v>1695.96</v>
      </c>
    </row>
    <row r="817" spans="1:26" hidden="1" x14ac:dyDescent="0.35">
      <c r="A817">
        <v>10236</v>
      </c>
      <c r="B817">
        <v>23</v>
      </c>
      <c r="C817" s="3">
        <v>55.72</v>
      </c>
      <c r="D817">
        <v>2</v>
      </c>
      <c r="E817" s="3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 s="3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  <c r="Z817" s="3">
        <f>Table1[[#This Row],[QUANTITYORDERED]]*Table1[[#This Row],[PRICEEACH]]</f>
        <v>1281.56</v>
      </c>
    </row>
    <row r="818" spans="1:26" hidden="1" x14ac:dyDescent="0.35">
      <c r="A818">
        <v>10251</v>
      </c>
      <c r="B818">
        <v>29</v>
      </c>
      <c r="C818" s="3">
        <v>61.18</v>
      </c>
      <c r="D818">
        <v>6</v>
      </c>
      <c r="E818" s="3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 s="3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  <c r="Z818" s="3">
        <f>Table1[[#This Row],[QUANTITYORDERED]]*Table1[[#This Row],[PRICEEACH]]</f>
        <v>1774.22</v>
      </c>
    </row>
    <row r="819" spans="1:26" hidden="1" x14ac:dyDescent="0.35">
      <c r="A819">
        <v>10263</v>
      </c>
      <c r="B819">
        <v>34</v>
      </c>
      <c r="C819" s="3">
        <v>58.75</v>
      </c>
      <c r="D819">
        <v>6</v>
      </c>
      <c r="E819" s="3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 s="3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  <c r="Z819" s="3">
        <f>Table1[[#This Row],[QUANTITYORDERED]]*Table1[[#This Row],[PRICEEACH]]</f>
        <v>1997.5</v>
      </c>
    </row>
    <row r="820" spans="1:26" hidden="1" x14ac:dyDescent="0.35">
      <c r="A820">
        <v>10275</v>
      </c>
      <c r="B820">
        <v>37</v>
      </c>
      <c r="C820" s="3">
        <v>63.6</v>
      </c>
      <c r="D820">
        <v>5</v>
      </c>
      <c r="E820" s="3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 s="3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  <c r="Z820" s="3">
        <f>Table1[[#This Row],[QUANTITYORDERED]]*Table1[[#This Row],[PRICEEACH]]</f>
        <v>2353.2000000000003</v>
      </c>
    </row>
    <row r="821" spans="1:26" hidden="1" x14ac:dyDescent="0.35">
      <c r="A821">
        <v>10285</v>
      </c>
      <c r="B821">
        <v>20</v>
      </c>
      <c r="C821" s="3">
        <v>49.06</v>
      </c>
      <c r="D821">
        <v>10</v>
      </c>
      <c r="E821" s="3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 s="3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  <c r="Z821" s="3">
        <f>Table1[[#This Row],[QUANTITYORDERED]]*Table1[[#This Row],[PRICEEACH]]</f>
        <v>981.2</v>
      </c>
    </row>
    <row r="822" spans="1:26" hidden="1" x14ac:dyDescent="0.35">
      <c r="A822">
        <v>10298</v>
      </c>
      <c r="B822">
        <v>32</v>
      </c>
      <c r="C822" s="3">
        <v>48.46</v>
      </c>
      <c r="D822">
        <v>2</v>
      </c>
      <c r="E822" s="3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 s="3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  <c r="Z822" s="3">
        <f>Table1[[#This Row],[QUANTITYORDERED]]*Table1[[#This Row],[PRICEEACH]]</f>
        <v>1550.72</v>
      </c>
    </row>
    <row r="823" spans="1:26" hidden="1" x14ac:dyDescent="0.35">
      <c r="A823">
        <v>10308</v>
      </c>
      <c r="B823">
        <v>34</v>
      </c>
      <c r="C823" s="3">
        <v>52.09</v>
      </c>
      <c r="D823">
        <v>3</v>
      </c>
      <c r="E823" s="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 s="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  <c r="Z823" s="3">
        <f>Table1[[#This Row],[QUANTITYORDERED]]*Table1[[#This Row],[PRICEEACH]]</f>
        <v>1771.0600000000002</v>
      </c>
    </row>
    <row r="824" spans="1:26" hidden="1" x14ac:dyDescent="0.35">
      <c r="A824">
        <v>10318</v>
      </c>
      <c r="B824">
        <v>42</v>
      </c>
      <c r="C824" s="3">
        <v>52.7</v>
      </c>
      <c r="D824">
        <v>5</v>
      </c>
      <c r="E824" s="3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 s="3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  <c r="Z824" s="3">
        <f>Table1[[#This Row],[QUANTITYORDERED]]*Table1[[#This Row],[PRICEEACH]]</f>
        <v>2213.4</v>
      </c>
    </row>
    <row r="825" spans="1:26" hidden="1" x14ac:dyDescent="0.35">
      <c r="A825">
        <v>10329</v>
      </c>
      <c r="B825">
        <v>38</v>
      </c>
      <c r="C825" s="3">
        <v>100</v>
      </c>
      <c r="D825">
        <v>12</v>
      </c>
      <c r="E825" s="3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 s="3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  <c r="Z825" s="3">
        <f>Table1[[#This Row],[QUANTITYORDERED]]*Table1[[#This Row],[PRICEEACH]]</f>
        <v>3800</v>
      </c>
    </row>
    <row r="826" spans="1:26" hidden="1" x14ac:dyDescent="0.35">
      <c r="A826">
        <v>10339</v>
      </c>
      <c r="B826">
        <v>30</v>
      </c>
      <c r="C826" s="3">
        <v>62.16</v>
      </c>
      <c r="D826">
        <v>1</v>
      </c>
      <c r="E826" s="3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 s="3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  <c r="Z826" s="3">
        <f>Table1[[#This Row],[QUANTITYORDERED]]*Table1[[#This Row],[PRICEEACH]]</f>
        <v>1864.8</v>
      </c>
    </row>
    <row r="827" spans="1:26" hidden="1" x14ac:dyDescent="0.35">
      <c r="A827">
        <v>10362</v>
      </c>
      <c r="B827">
        <v>23</v>
      </c>
      <c r="C827" s="3">
        <v>49.67</v>
      </c>
      <c r="D827">
        <v>3</v>
      </c>
      <c r="E827" s="3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 s="3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  <c r="Z827" s="3">
        <f>Table1[[#This Row],[QUANTITYORDERED]]*Table1[[#This Row],[PRICEEACH]]</f>
        <v>1142.4100000000001</v>
      </c>
    </row>
    <row r="828" spans="1:26" hidden="1" x14ac:dyDescent="0.35">
      <c r="A828">
        <v>10374</v>
      </c>
      <c r="B828">
        <v>22</v>
      </c>
      <c r="C828" s="3">
        <v>53.3</v>
      </c>
      <c r="D828">
        <v>4</v>
      </c>
      <c r="E828" s="3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 s="3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  <c r="Z828" s="3">
        <f>Table1[[#This Row],[QUANTITYORDERED]]*Table1[[#This Row],[PRICEEACH]]</f>
        <v>1172.5999999999999</v>
      </c>
    </row>
    <row r="829" spans="1:26" hidden="1" x14ac:dyDescent="0.35">
      <c r="A829">
        <v>10389</v>
      </c>
      <c r="B829">
        <v>39</v>
      </c>
      <c r="C829" s="3">
        <v>100</v>
      </c>
      <c r="D829">
        <v>5</v>
      </c>
      <c r="E829" s="3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 s="3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  <c r="Z829" s="3">
        <f>Table1[[#This Row],[QUANTITYORDERED]]*Table1[[#This Row],[PRICEEACH]]</f>
        <v>3900</v>
      </c>
    </row>
    <row r="830" spans="1:26" hidden="1" x14ac:dyDescent="0.35">
      <c r="A830">
        <v>10402</v>
      </c>
      <c r="B830">
        <v>55</v>
      </c>
      <c r="C830" s="3">
        <v>55.72</v>
      </c>
      <c r="D830">
        <v>2</v>
      </c>
      <c r="E830" s="3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 s="3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  <c r="Z830" s="3">
        <f>Table1[[#This Row],[QUANTITYORDERED]]*Table1[[#This Row],[PRICEEACH]]</f>
        <v>3064.6</v>
      </c>
    </row>
    <row r="831" spans="1:26" hidden="1" x14ac:dyDescent="0.35">
      <c r="A831">
        <v>10417</v>
      </c>
      <c r="B831">
        <v>36</v>
      </c>
      <c r="C831" s="3">
        <v>61.18</v>
      </c>
      <c r="D831">
        <v>6</v>
      </c>
      <c r="E831" s="3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 s="3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  <c r="Z831" s="3">
        <f>Table1[[#This Row],[QUANTITYORDERED]]*Table1[[#This Row],[PRICEEACH]]</f>
        <v>2202.48</v>
      </c>
    </row>
    <row r="832" spans="1:26" hidden="1" x14ac:dyDescent="0.35">
      <c r="A832">
        <v>10101</v>
      </c>
      <c r="B832">
        <v>26</v>
      </c>
      <c r="C832" s="3">
        <v>100</v>
      </c>
      <c r="D832">
        <v>1</v>
      </c>
      <c r="E832" s="3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 s="3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  <c r="Z832" s="3">
        <f>Table1[[#This Row],[QUANTITYORDERED]]*Table1[[#This Row],[PRICEEACH]]</f>
        <v>2600</v>
      </c>
    </row>
    <row r="833" spans="1:26" hidden="1" x14ac:dyDescent="0.35">
      <c r="A833">
        <v>10110</v>
      </c>
      <c r="B833">
        <v>31</v>
      </c>
      <c r="C833" s="3">
        <v>100</v>
      </c>
      <c r="D833">
        <v>1</v>
      </c>
      <c r="E833" s="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 s="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  <c r="Z833" s="3">
        <f>Table1[[#This Row],[QUANTITYORDERED]]*Table1[[#This Row],[PRICEEACH]]</f>
        <v>3100</v>
      </c>
    </row>
    <row r="834" spans="1:26" hidden="1" x14ac:dyDescent="0.35">
      <c r="A834">
        <v>10125</v>
      </c>
      <c r="B834">
        <v>34</v>
      </c>
      <c r="C834" s="3">
        <v>100</v>
      </c>
      <c r="D834">
        <v>2</v>
      </c>
      <c r="E834" s="3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 s="3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  <c r="Z834" s="3">
        <f>Table1[[#This Row],[QUANTITYORDERED]]*Table1[[#This Row],[PRICEEACH]]</f>
        <v>3400</v>
      </c>
    </row>
    <row r="835" spans="1:26" hidden="1" x14ac:dyDescent="0.35">
      <c r="A835">
        <v>10139</v>
      </c>
      <c r="B835">
        <v>41</v>
      </c>
      <c r="C835" s="3">
        <v>100</v>
      </c>
      <c r="D835">
        <v>8</v>
      </c>
      <c r="E835" s="3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 s="3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  <c r="Z835" s="3">
        <f>Table1[[#This Row],[QUANTITYORDERED]]*Table1[[#This Row],[PRICEEACH]]</f>
        <v>4100</v>
      </c>
    </row>
    <row r="836" spans="1:26" hidden="1" x14ac:dyDescent="0.35">
      <c r="A836">
        <v>10149</v>
      </c>
      <c r="B836">
        <v>23</v>
      </c>
      <c r="C836" s="3">
        <v>100</v>
      </c>
      <c r="D836">
        <v>5</v>
      </c>
      <c r="E836" s="3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 s="3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  <c r="Z836" s="3">
        <f>Table1[[#This Row],[QUANTITYORDERED]]*Table1[[#This Row],[PRICEEACH]]</f>
        <v>2300</v>
      </c>
    </row>
    <row r="837" spans="1:26" hidden="1" x14ac:dyDescent="0.35">
      <c r="A837">
        <v>10162</v>
      </c>
      <c r="B837">
        <v>48</v>
      </c>
      <c r="C837" s="3">
        <v>100</v>
      </c>
      <c r="D837">
        <v>3</v>
      </c>
      <c r="E837" s="3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 s="3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  <c r="Z837" s="3">
        <f>Table1[[#This Row],[QUANTITYORDERED]]*Table1[[#This Row],[PRICEEACH]]</f>
        <v>4800</v>
      </c>
    </row>
    <row r="838" spans="1:26" hidden="1" x14ac:dyDescent="0.35">
      <c r="A838">
        <v>10173</v>
      </c>
      <c r="B838">
        <v>22</v>
      </c>
      <c r="C838" s="3">
        <v>100</v>
      </c>
      <c r="D838">
        <v>7</v>
      </c>
      <c r="E838" s="3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 s="3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  <c r="Z838" s="3">
        <f>Table1[[#This Row],[QUANTITYORDERED]]*Table1[[#This Row],[PRICEEACH]]</f>
        <v>2200</v>
      </c>
    </row>
    <row r="839" spans="1:26" hidden="1" x14ac:dyDescent="0.35">
      <c r="A839">
        <v>10182</v>
      </c>
      <c r="B839">
        <v>21</v>
      </c>
      <c r="C839" s="3">
        <v>100</v>
      </c>
      <c r="D839">
        <v>4</v>
      </c>
      <c r="E839" s="3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 s="3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  <c r="Z839" s="3">
        <f>Table1[[#This Row],[QUANTITYORDERED]]*Table1[[#This Row],[PRICEEACH]]</f>
        <v>2100</v>
      </c>
    </row>
    <row r="840" spans="1:26" hidden="1" x14ac:dyDescent="0.35">
      <c r="A840">
        <v>10193</v>
      </c>
      <c r="B840">
        <v>22</v>
      </c>
      <c r="C840" s="3">
        <v>100</v>
      </c>
      <c r="D840">
        <v>8</v>
      </c>
      <c r="E840" s="3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 s="3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  <c r="Z840" s="3">
        <f>Table1[[#This Row],[QUANTITYORDERED]]*Table1[[#This Row],[PRICEEACH]]</f>
        <v>2200</v>
      </c>
    </row>
    <row r="841" spans="1:26" hidden="1" x14ac:dyDescent="0.35">
      <c r="A841">
        <v>10205</v>
      </c>
      <c r="B841">
        <v>40</v>
      </c>
      <c r="C841" s="3">
        <v>100</v>
      </c>
      <c r="D841">
        <v>3</v>
      </c>
      <c r="E841" s="3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 s="3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  <c r="Z841" s="3">
        <f>Table1[[#This Row],[QUANTITYORDERED]]*Table1[[#This Row],[PRICEEACH]]</f>
        <v>4000</v>
      </c>
    </row>
    <row r="842" spans="1:26" hidden="1" x14ac:dyDescent="0.35">
      <c r="A842">
        <v>10214</v>
      </c>
      <c r="B842">
        <v>50</v>
      </c>
      <c r="C842" s="3">
        <v>100</v>
      </c>
      <c r="D842">
        <v>1</v>
      </c>
      <c r="E842" s="3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 s="3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  <c r="Z842" s="3">
        <f>Table1[[#This Row],[QUANTITYORDERED]]*Table1[[#This Row],[PRICEEACH]]</f>
        <v>5000</v>
      </c>
    </row>
    <row r="843" spans="1:26" hidden="1" x14ac:dyDescent="0.35">
      <c r="A843">
        <v>10227</v>
      </c>
      <c r="B843">
        <v>29</v>
      </c>
      <c r="C843" s="3">
        <v>100</v>
      </c>
      <c r="D843">
        <v>4</v>
      </c>
      <c r="E843" s="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 s="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  <c r="Z843" s="3">
        <f>Table1[[#This Row],[QUANTITYORDERED]]*Table1[[#This Row],[PRICEEACH]]</f>
        <v>2900</v>
      </c>
    </row>
    <row r="844" spans="1:26" hidden="1" x14ac:dyDescent="0.35">
      <c r="A844">
        <v>10244</v>
      </c>
      <c r="B844">
        <v>43</v>
      </c>
      <c r="C844" s="3">
        <v>100</v>
      </c>
      <c r="D844">
        <v>8</v>
      </c>
      <c r="E844" s="3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 s="3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  <c r="Z844" s="3">
        <f>Table1[[#This Row],[QUANTITYORDERED]]*Table1[[#This Row],[PRICEEACH]]</f>
        <v>4300</v>
      </c>
    </row>
    <row r="845" spans="1:26" hidden="1" x14ac:dyDescent="0.35">
      <c r="A845">
        <v>10255</v>
      </c>
      <c r="B845">
        <v>24</v>
      </c>
      <c r="C845" s="3">
        <v>100</v>
      </c>
      <c r="D845">
        <v>1</v>
      </c>
      <c r="E845" s="3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 s="3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  <c r="Z845" s="3">
        <f>Table1[[#This Row],[QUANTITYORDERED]]*Table1[[#This Row],[PRICEEACH]]</f>
        <v>2400</v>
      </c>
    </row>
    <row r="846" spans="1:26" hidden="1" x14ac:dyDescent="0.35">
      <c r="A846">
        <v>10280</v>
      </c>
      <c r="B846">
        <v>22</v>
      </c>
      <c r="C846" s="3">
        <v>100</v>
      </c>
      <c r="D846">
        <v>10</v>
      </c>
      <c r="E846" s="3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 s="3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  <c r="Z846" s="3">
        <f>Table1[[#This Row],[QUANTITYORDERED]]*Table1[[#This Row],[PRICEEACH]]</f>
        <v>2200</v>
      </c>
    </row>
    <row r="847" spans="1:26" hidden="1" x14ac:dyDescent="0.35">
      <c r="A847">
        <v>10289</v>
      </c>
      <c r="B847">
        <v>43</v>
      </c>
      <c r="C847" s="3">
        <v>100</v>
      </c>
      <c r="D847">
        <v>3</v>
      </c>
      <c r="E847" s="3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 s="3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  <c r="Z847" s="3">
        <f>Table1[[#This Row],[QUANTITYORDERED]]*Table1[[#This Row],[PRICEEACH]]</f>
        <v>4300</v>
      </c>
    </row>
    <row r="848" spans="1:26" hidden="1" x14ac:dyDescent="0.35">
      <c r="A848">
        <v>10304</v>
      </c>
      <c r="B848">
        <v>20</v>
      </c>
      <c r="C848" s="3">
        <v>100</v>
      </c>
      <c r="D848">
        <v>14</v>
      </c>
      <c r="E848" s="3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 s="3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  <c r="Z848" s="3">
        <f>Table1[[#This Row],[QUANTITYORDERED]]*Table1[[#This Row],[PRICEEACH]]</f>
        <v>2000</v>
      </c>
    </row>
    <row r="849" spans="1:26" hidden="1" x14ac:dyDescent="0.35">
      <c r="A849">
        <v>10312</v>
      </c>
      <c r="B849">
        <v>25</v>
      </c>
      <c r="C849" s="3">
        <v>100</v>
      </c>
      <c r="D849">
        <v>11</v>
      </c>
      <c r="E849" s="3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 s="3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  <c r="Z849" s="3">
        <f>Table1[[#This Row],[QUANTITYORDERED]]*Table1[[#This Row],[PRICEEACH]]</f>
        <v>2500</v>
      </c>
    </row>
    <row r="850" spans="1:26" hidden="1" x14ac:dyDescent="0.35">
      <c r="A850">
        <v>10322</v>
      </c>
      <c r="B850">
        <v>36</v>
      </c>
      <c r="C850" s="3">
        <v>100</v>
      </c>
      <c r="D850">
        <v>2</v>
      </c>
      <c r="E850" s="3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 s="3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  <c r="Z850" s="3">
        <f>Table1[[#This Row],[QUANTITYORDERED]]*Table1[[#This Row],[PRICEEACH]]</f>
        <v>3600</v>
      </c>
    </row>
    <row r="851" spans="1:26" hidden="1" x14ac:dyDescent="0.35">
      <c r="A851">
        <v>10332</v>
      </c>
      <c r="B851">
        <v>24</v>
      </c>
      <c r="C851" s="3">
        <v>52.67</v>
      </c>
      <c r="D851">
        <v>1</v>
      </c>
      <c r="E851" s="3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 s="3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  <c r="Z851" s="3">
        <f>Table1[[#This Row],[QUANTITYORDERED]]*Table1[[#This Row],[PRICEEACH]]</f>
        <v>1264.08</v>
      </c>
    </row>
    <row r="852" spans="1:26" hidden="1" x14ac:dyDescent="0.35">
      <c r="A852">
        <v>10347</v>
      </c>
      <c r="B852">
        <v>21</v>
      </c>
      <c r="C852" s="3">
        <v>100</v>
      </c>
      <c r="D852">
        <v>6</v>
      </c>
      <c r="E852" s="3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 s="3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  <c r="Z852" s="3">
        <f>Table1[[#This Row],[QUANTITYORDERED]]*Table1[[#This Row],[PRICEEACH]]</f>
        <v>2100</v>
      </c>
    </row>
    <row r="853" spans="1:26" hidden="1" x14ac:dyDescent="0.35">
      <c r="A853">
        <v>10356</v>
      </c>
      <c r="B853">
        <v>30</v>
      </c>
      <c r="C853" s="3">
        <v>100</v>
      </c>
      <c r="D853">
        <v>1</v>
      </c>
      <c r="E853" s="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 s="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  <c r="Z853" s="3">
        <f>Table1[[#This Row],[QUANTITYORDERED]]*Table1[[#This Row],[PRICEEACH]]</f>
        <v>3000</v>
      </c>
    </row>
    <row r="854" spans="1:26" hidden="1" x14ac:dyDescent="0.35">
      <c r="A854">
        <v>10367</v>
      </c>
      <c r="B854">
        <v>32</v>
      </c>
      <c r="C854" s="3">
        <v>94.79</v>
      </c>
      <c r="D854">
        <v>7</v>
      </c>
      <c r="E854" s="3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 s="3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  <c r="Z854" s="3">
        <f>Table1[[#This Row],[QUANTITYORDERED]]*Table1[[#This Row],[PRICEEACH]]</f>
        <v>3033.28</v>
      </c>
    </row>
    <row r="855" spans="1:26" hidden="1" x14ac:dyDescent="0.35">
      <c r="A855">
        <v>10380</v>
      </c>
      <c r="B855">
        <v>21</v>
      </c>
      <c r="C855" s="3">
        <v>47.18</v>
      </c>
      <c r="D855">
        <v>8</v>
      </c>
      <c r="E855" s="3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 s="3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  <c r="Z855" s="3">
        <f>Table1[[#This Row],[QUANTITYORDERED]]*Table1[[#This Row],[PRICEEACH]]</f>
        <v>990.78</v>
      </c>
    </row>
    <row r="856" spans="1:26" hidden="1" x14ac:dyDescent="0.35">
      <c r="A856">
        <v>10390</v>
      </c>
      <c r="B856">
        <v>26</v>
      </c>
      <c r="C856" s="3">
        <v>78.11</v>
      </c>
      <c r="D856">
        <v>7</v>
      </c>
      <c r="E856" s="3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 s="3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  <c r="Z856" s="3">
        <f>Table1[[#This Row],[QUANTITYORDERED]]*Table1[[#This Row],[PRICEEACH]]</f>
        <v>2030.86</v>
      </c>
    </row>
    <row r="857" spans="1:26" hidden="1" x14ac:dyDescent="0.35">
      <c r="A857">
        <v>10421</v>
      </c>
      <c r="B857">
        <v>35</v>
      </c>
      <c r="C857" s="3">
        <v>100</v>
      </c>
      <c r="D857">
        <v>1</v>
      </c>
      <c r="E857" s="3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 s="3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  <c r="Z857" s="3">
        <f>Table1[[#This Row],[QUANTITYORDERED]]*Table1[[#This Row],[PRICEEACH]]</f>
        <v>3500</v>
      </c>
    </row>
    <row r="858" spans="1:26" x14ac:dyDescent="0.35">
      <c r="A858">
        <v>10109</v>
      </c>
      <c r="B858">
        <v>26</v>
      </c>
      <c r="C858" s="3">
        <v>100</v>
      </c>
      <c r="D858">
        <v>1</v>
      </c>
      <c r="E858" s="3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 s="3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  <c r="Z858" s="3">
        <f>Table1[[#This Row],[QUANTITYORDERED]]*Table1[[#This Row],[PRICEEACH]]</f>
        <v>2600</v>
      </c>
    </row>
    <row r="859" spans="1:26" x14ac:dyDescent="0.35">
      <c r="A859">
        <v>10123</v>
      </c>
      <c r="B859">
        <v>46</v>
      </c>
      <c r="C859" s="3">
        <v>100</v>
      </c>
      <c r="D859">
        <v>3</v>
      </c>
      <c r="E859" s="3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 s="3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  <c r="Z859" s="3">
        <f>Table1[[#This Row],[QUANTITYORDERED]]*Table1[[#This Row],[PRICEEACH]]</f>
        <v>4600</v>
      </c>
    </row>
    <row r="860" spans="1:26" x14ac:dyDescent="0.35">
      <c r="A860">
        <v>10137</v>
      </c>
      <c r="B860">
        <v>37</v>
      </c>
      <c r="C860" s="3">
        <v>100</v>
      </c>
      <c r="D860">
        <v>3</v>
      </c>
      <c r="E860" s="3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 s="3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  <c r="Z860" s="3">
        <f>Table1[[#This Row],[QUANTITYORDERED]]*Table1[[#This Row],[PRICEEACH]]</f>
        <v>3700</v>
      </c>
    </row>
    <row r="861" spans="1:26" x14ac:dyDescent="0.35">
      <c r="A861">
        <v>10148</v>
      </c>
      <c r="B861">
        <v>27</v>
      </c>
      <c r="C861" s="3">
        <v>100</v>
      </c>
      <c r="D861">
        <v>10</v>
      </c>
      <c r="E861" s="3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 s="3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  <c r="Z861" s="3">
        <f>Table1[[#This Row],[QUANTITYORDERED]]*Table1[[#This Row],[PRICEEACH]]</f>
        <v>2700</v>
      </c>
    </row>
    <row r="862" spans="1:26" x14ac:dyDescent="0.35">
      <c r="A862">
        <v>10161</v>
      </c>
      <c r="B862">
        <v>23</v>
      </c>
      <c r="C862" s="3">
        <v>100</v>
      </c>
      <c r="D862">
        <v>9</v>
      </c>
      <c r="E862" s="3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 s="3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  <c r="Z862" s="3">
        <f>Table1[[#This Row],[QUANTITYORDERED]]*Table1[[#This Row],[PRICEEACH]]</f>
        <v>2300</v>
      </c>
    </row>
    <row r="863" spans="1:26" x14ac:dyDescent="0.35">
      <c r="A863">
        <v>10172</v>
      </c>
      <c r="B863">
        <v>39</v>
      </c>
      <c r="C863" s="3">
        <v>100</v>
      </c>
      <c r="D863">
        <v>7</v>
      </c>
      <c r="E863" s="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 s="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  <c r="Z863" s="3">
        <f>Table1[[#This Row],[QUANTITYORDERED]]*Table1[[#This Row],[PRICEEACH]]</f>
        <v>3900</v>
      </c>
    </row>
    <row r="864" spans="1:26" x14ac:dyDescent="0.35">
      <c r="A864">
        <v>10181</v>
      </c>
      <c r="B864">
        <v>27</v>
      </c>
      <c r="C864" s="3">
        <v>100</v>
      </c>
      <c r="D864">
        <v>3</v>
      </c>
      <c r="E864" s="3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 s="3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  <c r="Z864" s="3">
        <f>Table1[[#This Row],[QUANTITYORDERED]]*Table1[[#This Row],[PRICEEACH]]</f>
        <v>2700</v>
      </c>
    </row>
    <row r="865" spans="1:26" x14ac:dyDescent="0.35">
      <c r="A865">
        <v>10192</v>
      </c>
      <c r="B865">
        <v>38</v>
      </c>
      <c r="C865" s="3">
        <v>100</v>
      </c>
      <c r="D865">
        <v>8</v>
      </c>
      <c r="E865" s="3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 s="3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  <c r="Z865" s="3">
        <f>Table1[[#This Row],[QUANTITYORDERED]]*Table1[[#This Row],[PRICEEACH]]</f>
        <v>3800</v>
      </c>
    </row>
    <row r="866" spans="1:26" x14ac:dyDescent="0.35">
      <c r="A866">
        <v>10204</v>
      </c>
      <c r="B866">
        <v>27</v>
      </c>
      <c r="C866" s="3">
        <v>100</v>
      </c>
      <c r="D866">
        <v>14</v>
      </c>
      <c r="E866" s="3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 s="3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  <c r="Z866" s="3">
        <f>Table1[[#This Row],[QUANTITYORDERED]]*Table1[[#This Row],[PRICEEACH]]</f>
        <v>2700</v>
      </c>
    </row>
    <row r="867" spans="1:26" x14ac:dyDescent="0.35">
      <c r="A867">
        <v>10212</v>
      </c>
      <c r="B867">
        <v>40</v>
      </c>
      <c r="C867" s="3">
        <v>100</v>
      </c>
      <c r="D867">
        <v>7</v>
      </c>
      <c r="E867" s="3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 s="3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  <c r="Z867" s="3">
        <f>Table1[[#This Row],[QUANTITYORDERED]]*Table1[[#This Row],[PRICEEACH]]</f>
        <v>4000</v>
      </c>
    </row>
    <row r="868" spans="1:26" x14ac:dyDescent="0.35">
      <c r="A868">
        <v>10226</v>
      </c>
      <c r="B868">
        <v>24</v>
      </c>
      <c r="C868" s="3">
        <v>100</v>
      </c>
      <c r="D868">
        <v>5</v>
      </c>
      <c r="E868" s="3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 s="3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  <c r="Z868" s="3">
        <f>Table1[[#This Row],[QUANTITYORDERED]]*Table1[[#This Row],[PRICEEACH]]</f>
        <v>2400</v>
      </c>
    </row>
    <row r="869" spans="1:26" x14ac:dyDescent="0.35">
      <c r="A869">
        <v>10241</v>
      </c>
      <c r="B869">
        <v>44</v>
      </c>
      <c r="C869" s="3">
        <v>100</v>
      </c>
      <c r="D869">
        <v>12</v>
      </c>
      <c r="E869" s="3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 s="3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  <c r="Z869" s="3">
        <f>Table1[[#This Row],[QUANTITYORDERED]]*Table1[[#This Row],[PRICEEACH]]</f>
        <v>4400</v>
      </c>
    </row>
    <row r="870" spans="1:26" x14ac:dyDescent="0.35">
      <c r="A870">
        <v>10253</v>
      </c>
      <c r="B870">
        <v>37</v>
      </c>
      <c r="C870" s="3">
        <v>100</v>
      </c>
      <c r="D870">
        <v>2</v>
      </c>
      <c r="E870" s="3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 s="3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  <c r="Z870" s="3">
        <f>Table1[[#This Row],[QUANTITYORDERED]]*Table1[[#This Row],[PRICEEACH]]</f>
        <v>3700</v>
      </c>
    </row>
    <row r="871" spans="1:26" x14ac:dyDescent="0.35">
      <c r="A871">
        <v>10266</v>
      </c>
      <c r="B871">
        <v>20</v>
      </c>
      <c r="C871" s="3">
        <v>100</v>
      </c>
      <c r="D871">
        <v>3</v>
      </c>
      <c r="E871" s="3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 s="3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  <c r="Z871" s="3">
        <f>Table1[[#This Row],[QUANTITYORDERED]]*Table1[[#This Row],[PRICEEACH]]</f>
        <v>2000</v>
      </c>
    </row>
    <row r="872" spans="1:26" x14ac:dyDescent="0.35">
      <c r="A872">
        <v>10278</v>
      </c>
      <c r="B872">
        <v>39</v>
      </c>
      <c r="C872" s="3">
        <v>100</v>
      </c>
      <c r="D872">
        <v>3</v>
      </c>
      <c r="E872" s="3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 s="3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  <c r="Z872" s="3">
        <f>Table1[[#This Row],[QUANTITYORDERED]]*Table1[[#This Row],[PRICEEACH]]</f>
        <v>3900</v>
      </c>
    </row>
    <row r="873" spans="1:26" x14ac:dyDescent="0.35">
      <c r="A873">
        <v>10287</v>
      </c>
      <c r="B873">
        <v>44</v>
      </c>
      <c r="C873" s="3">
        <v>100</v>
      </c>
      <c r="D873">
        <v>1</v>
      </c>
      <c r="E873" s="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 s="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  <c r="Z873" s="3">
        <f>Table1[[#This Row],[QUANTITYORDERED]]*Table1[[#This Row],[PRICEEACH]]</f>
        <v>4400</v>
      </c>
    </row>
    <row r="874" spans="1:26" x14ac:dyDescent="0.35">
      <c r="A874">
        <v>10301</v>
      </c>
      <c r="B874">
        <v>22</v>
      </c>
      <c r="C874" s="3">
        <v>100</v>
      </c>
      <c r="D874">
        <v>5</v>
      </c>
      <c r="E874" s="3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 s="3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  <c r="Z874" s="3">
        <f>Table1[[#This Row],[QUANTITYORDERED]]*Table1[[#This Row],[PRICEEACH]]</f>
        <v>2200</v>
      </c>
    </row>
    <row r="875" spans="1:26" x14ac:dyDescent="0.35">
      <c r="A875">
        <v>10311</v>
      </c>
      <c r="B875">
        <v>43</v>
      </c>
      <c r="C875" s="3">
        <v>100</v>
      </c>
      <c r="D875">
        <v>10</v>
      </c>
      <c r="E875" s="3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 s="3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  <c r="Z875" s="3">
        <f>Table1[[#This Row],[QUANTITYORDERED]]*Table1[[#This Row],[PRICEEACH]]</f>
        <v>4300</v>
      </c>
    </row>
    <row r="876" spans="1:26" x14ac:dyDescent="0.35">
      <c r="A876">
        <v>10321</v>
      </c>
      <c r="B876">
        <v>27</v>
      </c>
      <c r="C876" s="3">
        <v>100</v>
      </c>
      <c r="D876">
        <v>7</v>
      </c>
      <c r="E876" s="3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 s="3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  <c r="Z876" s="3">
        <f>Table1[[#This Row],[QUANTITYORDERED]]*Table1[[#This Row],[PRICEEACH]]</f>
        <v>2700</v>
      </c>
    </row>
    <row r="877" spans="1:26" x14ac:dyDescent="0.35">
      <c r="A877">
        <v>10331</v>
      </c>
      <c r="B877">
        <v>26</v>
      </c>
      <c r="C877" s="3">
        <v>64.900000000000006</v>
      </c>
      <c r="D877">
        <v>10</v>
      </c>
      <c r="E877" s="3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 s="3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  <c r="Z877" s="3">
        <f>Table1[[#This Row],[QUANTITYORDERED]]*Table1[[#This Row],[PRICEEACH]]</f>
        <v>1687.4</v>
      </c>
    </row>
    <row r="878" spans="1:26" x14ac:dyDescent="0.35">
      <c r="A878">
        <v>10343</v>
      </c>
      <c r="B878">
        <v>25</v>
      </c>
      <c r="C878" s="3">
        <v>52.32</v>
      </c>
      <c r="D878">
        <v>3</v>
      </c>
      <c r="E878" s="3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 s="3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  <c r="Z878" s="3">
        <f>Table1[[#This Row],[QUANTITYORDERED]]*Table1[[#This Row],[PRICEEACH]]</f>
        <v>1308</v>
      </c>
    </row>
    <row r="879" spans="1:26" x14ac:dyDescent="0.35">
      <c r="A879">
        <v>10366</v>
      </c>
      <c r="B879">
        <v>49</v>
      </c>
      <c r="C879" s="3">
        <v>100</v>
      </c>
      <c r="D879">
        <v>2</v>
      </c>
      <c r="E879" s="3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 s="3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  <c r="Z879" s="3">
        <f>Table1[[#This Row],[QUANTITYORDERED]]*Table1[[#This Row],[PRICEEACH]]</f>
        <v>4900</v>
      </c>
    </row>
    <row r="880" spans="1:26" x14ac:dyDescent="0.35">
      <c r="A880">
        <v>10379</v>
      </c>
      <c r="B880">
        <v>29</v>
      </c>
      <c r="C880" s="3">
        <v>100</v>
      </c>
      <c r="D880">
        <v>5</v>
      </c>
      <c r="E880" s="3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 s="3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  <c r="Z880" s="3">
        <f>Table1[[#This Row],[QUANTITYORDERED]]*Table1[[#This Row],[PRICEEACH]]</f>
        <v>2900</v>
      </c>
    </row>
    <row r="881" spans="1:26" x14ac:dyDescent="0.35">
      <c r="A881">
        <v>10407</v>
      </c>
      <c r="B881">
        <v>41</v>
      </c>
      <c r="C881" s="3">
        <v>100</v>
      </c>
      <c r="D881">
        <v>12</v>
      </c>
      <c r="E881" s="3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 s="3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  <c r="Z881" s="3">
        <f>Table1[[#This Row],[QUANTITYORDERED]]*Table1[[#This Row],[PRICEEACH]]</f>
        <v>4100</v>
      </c>
    </row>
    <row r="882" spans="1:26" x14ac:dyDescent="0.35">
      <c r="A882">
        <v>10419</v>
      </c>
      <c r="B882">
        <v>55</v>
      </c>
      <c r="C882" s="3">
        <v>100</v>
      </c>
      <c r="D882">
        <v>2</v>
      </c>
      <c r="E882" s="3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 s="3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  <c r="Z882" s="3">
        <f>Table1[[#This Row],[QUANTITYORDERED]]*Table1[[#This Row],[PRICEEACH]]</f>
        <v>5500</v>
      </c>
    </row>
    <row r="883" spans="1:26" hidden="1" x14ac:dyDescent="0.35">
      <c r="A883">
        <v>10103</v>
      </c>
      <c r="B883">
        <v>27</v>
      </c>
      <c r="C883" s="3">
        <v>83.07</v>
      </c>
      <c r="D883">
        <v>12</v>
      </c>
      <c r="E883" s="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 s="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  <c r="Z883" s="3">
        <f>Table1[[#This Row],[QUANTITYORDERED]]*Table1[[#This Row],[PRICEEACH]]</f>
        <v>2242.89</v>
      </c>
    </row>
    <row r="884" spans="1:26" hidden="1" x14ac:dyDescent="0.35">
      <c r="A884">
        <v>10112</v>
      </c>
      <c r="B884">
        <v>23</v>
      </c>
      <c r="C884" s="3">
        <v>100</v>
      </c>
      <c r="D884">
        <v>2</v>
      </c>
      <c r="E884" s="3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 s="3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  <c r="Z884" s="3">
        <f>Table1[[#This Row],[QUANTITYORDERED]]*Table1[[#This Row],[PRICEEACH]]</f>
        <v>2300</v>
      </c>
    </row>
    <row r="885" spans="1:26" hidden="1" x14ac:dyDescent="0.35">
      <c r="A885">
        <v>10126</v>
      </c>
      <c r="B885">
        <v>31</v>
      </c>
      <c r="C885" s="3">
        <v>90.17</v>
      </c>
      <c r="D885">
        <v>12</v>
      </c>
      <c r="E885" s="3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 s="3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  <c r="Z885" s="3">
        <f>Table1[[#This Row],[QUANTITYORDERED]]*Table1[[#This Row],[PRICEEACH]]</f>
        <v>2795.27</v>
      </c>
    </row>
    <row r="886" spans="1:26" hidden="1" x14ac:dyDescent="0.35">
      <c r="A886">
        <v>10139</v>
      </c>
      <c r="B886">
        <v>46</v>
      </c>
      <c r="C886" s="3">
        <v>100</v>
      </c>
      <c r="D886">
        <v>1</v>
      </c>
      <c r="E886" s="3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 s="3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  <c r="Z886" s="3">
        <f>Table1[[#This Row],[QUANTITYORDERED]]*Table1[[#This Row],[PRICEEACH]]</f>
        <v>4600</v>
      </c>
    </row>
    <row r="887" spans="1:26" hidden="1" x14ac:dyDescent="0.35">
      <c r="A887">
        <v>10150</v>
      </c>
      <c r="B887">
        <v>47</v>
      </c>
      <c r="C887" s="3">
        <v>91.18</v>
      </c>
      <c r="D887">
        <v>9</v>
      </c>
      <c r="E887" s="3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 s="3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  <c r="Z887" s="3">
        <f>Table1[[#This Row],[QUANTITYORDERED]]*Table1[[#This Row],[PRICEEACH]]</f>
        <v>4285.46</v>
      </c>
    </row>
    <row r="888" spans="1:26" hidden="1" x14ac:dyDescent="0.35">
      <c r="A888">
        <v>10163</v>
      </c>
      <c r="B888">
        <v>31</v>
      </c>
      <c r="C888" s="3">
        <v>100</v>
      </c>
      <c r="D888">
        <v>2</v>
      </c>
      <c r="E888" s="3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 s="3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  <c r="Z888" s="3">
        <f>Table1[[#This Row],[QUANTITYORDERED]]*Table1[[#This Row],[PRICEEACH]]</f>
        <v>3100</v>
      </c>
    </row>
    <row r="889" spans="1:26" hidden="1" x14ac:dyDescent="0.35">
      <c r="A889">
        <v>10174</v>
      </c>
      <c r="B889">
        <v>46</v>
      </c>
      <c r="C889" s="3">
        <v>100</v>
      </c>
      <c r="D889">
        <v>5</v>
      </c>
      <c r="E889" s="3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 s="3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  <c r="Z889" s="3">
        <f>Table1[[#This Row],[QUANTITYORDERED]]*Table1[[#This Row],[PRICEEACH]]</f>
        <v>4600</v>
      </c>
    </row>
    <row r="890" spans="1:26" hidden="1" x14ac:dyDescent="0.35">
      <c r="A890">
        <v>10183</v>
      </c>
      <c r="B890">
        <v>37</v>
      </c>
      <c r="C890" s="3">
        <v>89.15</v>
      </c>
      <c r="D890">
        <v>9</v>
      </c>
      <c r="E890" s="3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 s="3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  <c r="Z890" s="3">
        <f>Table1[[#This Row],[QUANTITYORDERED]]*Table1[[#This Row],[PRICEEACH]]</f>
        <v>3298.55</v>
      </c>
    </row>
    <row r="891" spans="1:26" hidden="1" x14ac:dyDescent="0.35">
      <c r="A891">
        <v>10193</v>
      </c>
      <c r="B891">
        <v>28</v>
      </c>
      <c r="C891" s="3">
        <v>93.21</v>
      </c>
      <c r="D891">
        <v>1</v>
      </c>
      <c r="E891" s="3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 s="3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  <c r="Z891" s="3">
        <f>Table1[[#This Row],[QUANTITYORDERED]]*Table1[[#This Row],[PRICEEACH]]</f>
        <v>2609.8799999999997</v>
      </c>
    </row>
    <row r="892" spans="1:26" hidden="1" x14ac:dyDescent="0.35">
      <c r="A892">
        <v>10206</v>
      </c>
      <c r="B892">
        <v>37</v>
      </c>
      <c r="C892" s="3">
        <v>90.17</v>
      </c>
      <c r="D892">
        <v>7</v>
      </c>
      <c r="E892" s="3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 s="3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  <c r="Z892" s="3">
        <f>Table1[[#This Row],[QUANTITYORDERED]]*Table1[[#This Row],[PRICEEACH]]</f>
        <v>3336.29</v>
      </c>
    </row>
    <row r="893" spans="1:26" hidden="1" x14ac:dyDescent="0.35">
      <c r="A893">
        <v>10215</v>
      </c>
      <c r="B893">
        <v>49</v>
      </c>
      <c r="C893" s="3">
        <v>100</v>
      </c>
      <c r="D893">
        <v>4</v>
      </c>
      <c r="E893" s="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 s="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  <c r="Z893" s="3">
        <f>Table1[[#This Row],[QUANTITYORDERED]]*Table1[[#This Row],[PRICEEACH]]</f>
        <v>4900</v>
      </c>
    </row>
    <row r="894" spans="1:26" hidden="1" x14ac:dyDescent="0.35">
      <c r="A894">
        <v>10228</v>
      </c>
      <c r="B894">
        <v>24</v>
      </c>
      <c r="C894" s="3">
        <v>100</v>
      </c>
      <c r="D894">
        <v>3</v>
      </c>
      <c r="E894" s="3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 s="3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  <c r="Z894" s="3">
        <f>Table1[[#This Row],[QUANTITYORDERED]]*Table1[[#This Row],[PRICEEACH]]</f>
        <v>2400</v>
      </c>
    </row>
    <row r="895" spans="1:26" hidden="1" x14ac:dyDescent="0.35">
      <c r="A895">
        <v>10244</v>
      </c>
      <c r="B895">
        <v>30</v>
      </c>
      <c r="C895" s="3">
        <v>100</v>
      </c>
      <c r="D895">
        <v>1</v>
      </c>
      <c r="E895" s="3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 s="3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  <c r="Z895" s="3">
        <f>Table1[[#This Row],[QUANTITYORDERED]]*Table1[[#This Row],[PRICEEACH]]</f>
        <v>3000</v>
      </c>
    </row>
    <row r="896" spans="1:26" hidden="1" x14ac:dyDescent="0.35">
      <c r="A896">
        <v>10257</v>
      </c>
      <c r="B896">
        <v>50</v>
      </c>
      <c r="C896" s="3">
        <v>88.14</v>
      </c>
      <c r="D896">
        <v>1</v>
      </c>
      <c r="E896" s="3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 s="3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  <c r="Z896" s="3">
        <f>Table1[[#This Row],[QUANTITYORDERED]]*Table1[[#This Row],[PRICEEACH]]</f>
        <v>4407</v>
      </c>
    </row>
    <row r="897" spans="1:26" hidden="1" x14ac:dyDescent="0.35">
      <c r="A897">
        <v>10270</v>
      </c>
      <c r="B897">
        <v>31</v>
      </c>
      <c r="C897" s="3">
        <v>96.24</v>
      </c>
      <c r="D897">
        <v>10</v>
      </c>
      <c r="E897" s="3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 s="3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  <c r="Z897" s="3">
        <f>Table1[[#This Row],[QUANTITYORDERED]]*Table1[[#This Row],[PRICEEACH]]</f>
        <v>2983.44</v>
      </c>
    </row>
    <row r="898" spans="1:26" hidden="1" x14ac:dyDescent="0.35">
      <c r="A898">
        <v>10280</v>
      </c>
      <c r="B898">
        <v>46</v>
      </c>
      <c r="C898" s="3">
        <v>100</v>
      </c>
      <c r="D898">
        <v>3</v>
      </c>
      <c r="E898" s="3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 s="3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  <c r="Z898" s="3">
        <f>Table1[[#This Row],[QUANTITYORDERED]]*Table1[[#This Row],[PRICEEACH]]</f>
        <v>4600</v>
      </c>
    </row>
    <row r="899" spans="1:26" hidden="1" x14ac:dyDescent="0.35">
      <c r="A899">
        <v>10291</v>
      </c>
      <c r="B899">
        <v>47</v>
      </c>
      <c r="C899" s="3">
        <v>100</v>
      </c>
      <c r="D899">
        <v>12</v>
      </c>
      <c r="E899" s="3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 s="3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  <c r="Z899" s="3">
        <f>Table1[[#This Row],[QUANTITYORDERED]]*Table1[[#This Row],[PRICEEACH]]</f>
        <v>4700</v>
      </c>
    </row>
    <row r="900" spans="1:26" hidden="1" x14ac:dyDescent="0.35">
      <c r="A900">
        <v>10304</v>
      </c>
      <c r="B900">
        <v>46</v>
      </c>
      <c r="C900" s="3">
        <v>100</v>
      </c>
      <c r="D900">
        <v>7</v>
      </c>
      <c r="E900" s="3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 s="3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  <c r="Z900" s="3">
        <f>Table1[[#This Row],[QUANTITYORDERED]]*Table1[[#This Row],[PRICEEACH]]</f>
        <v>4600</v>
      </c>
    </row>
    <row r="901" spans="1:26" hidden="1" x14ac:dyDescent="0.35">
      <c r="A901">
        <v>10312</v>
      </c>
      <c r="B901">
        <v>37</v>
      </c>
      <c r="C901" s="3">
        <v>100</v>
      </c>
      <c r="D901">
        <v>4</v>
      </c>
      <c r="E901" s="3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 s="3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  <c r="Z901" s="3">
        <f>Table1[[#This Row],[QUANTITYORDERED]]*Table1[[#This Row],[PRICEEACH]]</f>
        <v>3700</v>
      </c>
    </row>
    <row r="902" spans="1:26" hidden="1" x14ac:dyDescent="0.35">
      <c r="A902">
        <v>10322</v>
      </c>
      <c r="B902">
        <v>33</v>
      </c>
      <c r="C902" s="3">
        <v>100</v>
      </c>
      <c r="D902">
        <v>12</v>
      </c>
      <c r="E902" s="3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 s="3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  <c r="Z902" s="3">
        <f>Table1[[#This Row],[QUANTITYORDERED]]*Table1[[#This Row],[PRICEEACH]]</f>
        <v>3300</v>
      </c>
    </row>
    <row r="903" spans="1:26" hidden="1" x14ac:dyDescent="0.35">
      <c r="A903">
        <v>10333</v>
      </c>
      <c r="B903">
        <v>31</v>
      </c>
      <c r="C903" s="3">
        <v>90.17</v>
      </c>
      <c r="D903">
        <v>5</v>
      </c>
      <c r="E903" s="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 s="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  <c r="Z903" s="3">
        <f>Table1[[#This Row],[QUANTITYORDERED]]*Table1[[#This Row],[PRICEEACH]]</f>
        <v>2795.27</v>
      </c>
    </row>
    <row r="904" spans="1:26" hidden="1" x14ac:dyDescent="0.35">
      <c r="A904">
        <v>10347</v>
      </c>
      <c r="B904">
        <v>48</v>
      </c>
      <c r="C904" s="3">
        <v>100</v>
      </c>
      <c r="D904">
        <v>9</v>
      </c>
      <c r="E904" s="3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 s="3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  <c r="Z904" s="3">
        <f>Table1[[#This Row],[QUANTITYORDERED]]*Table1[[#This Row],[PRICEEACH]]</f>
        <v>4800</v>
      </c>
    </row>
    <row r="905" spans="1:26" hidden="1" x14ac:dyDescent="0.35">
      <c r="A905">
        <v>10357</v>
      </c>
      <c r="B905">
        <v>41</v>
      </c>
      <c r="C905" s="3">
        <v>87.13</v>
      </c>
      <c r="D905">
        <v>6</v>
      </c>
      <c r="E905" s="3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 s="3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  <c r="Z905" s="3">
        <f>Table1[[#This Row],[QUANTITYORDERED]]*Table1[[#This Row],[PRICEEACH]]</f>
        <v>3572.33</v>
      </c>
    </row>
    <row r="906" spans="1:26" hidden="1" x14ac:dyDescent="0.35">
      <c r="A906">
        <v>10369</v>
      </c>
      <c r="B906">
        <v>42</v>
      </c>
      <c r="C906" s="3">
        <v>100</v>
      </c>
      <c r="D906">
        <v>1</v>
      </c>
      <c r="E906" s="3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 s="3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  <c r="Z906" s="3">
        <f>Table1[[#This Row],[QUANTITYORDERED]]*Table1[[#This Row],[PRICEEACH]]</f>
        <v>4200</v>
      </c>
    </row>
    <row r="907" spans="1:26" hidden="1" x14ac:dyDescent="0.35">
      <c r="A907">
        <v>10381</v>
      </c>
      <c r="B907">
        <v>41</v>
      </c>
      <c r="C907" s="3">
        <v>100</v>
      </c>
      <c r="D907">
        <v>8</v>
      </c>
      <c r="E907" s="3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 s="3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  <c r="Z907" s="3">
        <f>Table1[[#This Row],[QUANTITYORDERED]]*Table1[[#This Row],[PRICEEACH]]</f>
        <v>4100</v>
      </c>
    </row>
    <row r="908" spans="1:26" hidden="1" x14ac:dyDescent="0.35">
      <c r="A908">
        <v>10391</v>
      </c>
      <c r="B908">
        <v>32</v>
      </c>
      <c r="C908" s="3">
        <v>45.25</v>
      </c>
      <c r="D908">
        <v>6</v>
      </c>
      <c r="E908" s="3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 s="3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  <c r="Z908" s="3">
        <f>Table1[[#This Row],[QUANTITYORDERED]]*Table1[[#This Row],[PRICEEACH]]</f>
        <v>1448</v>
      </c>
    </row>
    <row r="909" spans="1:26" hidden="1" x14ac:dyDescent="0.35">
      <c r="A909">
        <v>10423</v>
      </c>
      <c r="B909">
        <v>10</v>
      </c>
      <c r="C909" s="3">
        <v>88.14</v>
      </c>
      <c r="D909">
        <v>1</v>
      </c>
      <c r="E909" s="3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 s="3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  <c r="Z909" s="3">
        <f>Table1[[#This Row],[QUANTITYORDERED]]*Table1[[#This Row],[PRICEEACH]]</f>
        <v>881.4</v>
      </c>
    </row>
    <row r="910" spans="1:26" hidden="1" x14ac:dyDescent="0.35">
      <c r="A910">
        <v>10103</v>
      </c>
      <c r="B910">
        <v>35</v>
      </c>
      <c r="C910" s="3">
        <v>57.46</v>
      </c>
      <c r="D910">
        <v>14</v>
      </c>
      <c r="E910" s="3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 s="3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  <c r="Z910" s="3">
        <f>Table1[[#This Row],[QUANTITYORDERED]]*Table1[[#This Row],[PRICEEACH]]</f>
        <v>2011.1000000000001</v>
      </c>
    </row>
    <row r="911" spans="1:26" hidden="1" x14ac:dyDescent="0.35">
      <c r="A911">
        <v>10111</v>
      </c>
      <c r="B911">
        <v>28</v>
      </c>
      <c r="C911" s="3">
        <v>64.33</v>
      </c>
      <c r="D911">
        <v>2</v>
      </c>
      <c r="E911" s="3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 s="3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  <c r="Z911" s="3">
        <f>Table1[[#This Row],[QUANTITYORDERED]]*Table1[[#This Row],[PRICEEACH]]</f>
        <v>1801.24</v>
      </c>
    </row>
    <row r="912" spans="1:26" hidden="1" x14ac:dyDescent="0.35">
      <c r="A912">
        <v>10126</v>
      </c>
      <c r="B912">
        <v>46</v>
      </c>
      <c r="C912" s="3">
        <v>73.7</v>
      </c>
      <c r="D912">
        <v>14</v>
      </c>
      <c r="E912" s="3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 s="3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  <c r="Z912" s="3">
        <f>Table1[[#This Row],[QUANTITYORDERED]]*Table1[[#This Row],[PRICEEACH]]</f>
        <v>3390.2000000000003</v>
      </c>
    </row>
    <row r="913" spans="1:26" hidden="1" x14ac:dyDescent="0.35">
      <c r="A913">
        <v>10139</v>
      </c>
      <c r="B913">
        <v>20</v>
      </c>
      <c r="C913" s="3">
        <v>71.2</v>
      </c>
      <c r="D913">
        <v>3</v>
      </c>
      <c r="E913" s="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 s="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  <c r="Z913" s="3">
        <f>Table1[[#This Row],[QUANTITYORDERED]]*Table1[[#This Row],[PRICEEACH]]</f>
        <v>1424</v>
      </c>
    </row>
    <row r="914" spans="1:26" hidden="1" x14ac:dyDescent="0.35">
      <c r="A914">
        <v>10150</v>
      </c>
      <c r="B914">
        <v>30</v>
      </c>
      <c r="C914" s="3">
        <v>49.97</v>
      </c>
      <c r="D914">
        <v>11</v>
      </c>
      <c r="E914" s="3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 s="3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  <c r="Z914" s="3">
        <f>Table1[[#This Row],[QUANTITYORDERED]]*Table1[[#This Row],[PRICEEACH]]</f>
        <v>1499.1</v>
      </c>
    </row>
    <row r="915" spans="1:26" hidden="1" x14ac:dyDescent="0.35">
      <c r="A915">
        <v>10163</v>
      </c>
      <c r="B915">
        <v>48</v>
      </c>
      <c r="C915" s="3">
        <v>69.959999999999994</v>
      </c>
      <c r="D915">
        <v>4</v>
      </c>
      <c r="E915" s="3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 s="3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  <c r="Z915" s="3">
        <f>Table1[[#This Row],[QUANTITYORDERED]]*Table1[[#This Row],[PRICEEACH]]</f>
        <v>3358.08</v>
      </c>
    </row>
    <row r="916" spans="1:26" hidden="1" x14ac:dyDescent="0.35">
      <c r="A916">
        <v>10173</v>
      </c>
      <c r="B916">
        <v>28</v>
      </c>
      <c r="C916" s="3">
        <v>53.72</v>
      </c>
      <c r="D916">
        <v>2</v>
      </c>
      <c r="E916" s="3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 s="3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  <c r="Z916" s="3">
        <f>Table1[[#This Row],[QUANTITYORDERED]]*Table1[[#This Row],[PRICEEACH]]</f>
        <v>1504.1599999999999</v>
      </c>
    </row>
    <row r="917" spans="1:26" hidden="1" x14ac:dyDescent="0.35">
      <c r="A917">
        <v>10183</v>
      </c>
      <c r="B917">
        <v>39</v>
      </c>
      <c r="C917" s="3">
        <v>68.08</v>
      </c>
      <c r="D917">
        <v>11</v>
      </c>
      <c r="E917" s="3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 s="3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  <c r="Z917" s="3">
        <f>Table1[[#This Row],[QUANTITYORDERED]]*Table1[[#This Row],[PRICEEACH]]</f>
        <v>2655.12</v>
      </c>
    </row>
    <row r="918" spans="1:26" hidden="1" x14ac:dyDescent="0.35">
      <c r="A918">
        <v>10193</v>
      </c>
      <c r="B918">
        <v>24</v>
      </c>
      <c r="C918" s="3">
        <v>51.84</v>
      </c>
      <c r="D918">
        <v>3</v>
      </c>
      <c r="E918" s="3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 s="3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  <c r="Z918" s="3">
        <f>Table1[[#This Row],[QUANTITYORDERED]]*Table1[[#This Row],[PRICEEACH]]</f>
        <v>1244.1600000000001</v>
      </c>
    </row>
    <row r="919" spans="1:26" hidden="1" x14ac:dyDescent="0.35">
      <c r="A919">
        <v>10206</v>
      </c>
      <c r="B919">
        <v>28</v>
      </c>
      <c r="C919" s="3">
        <v>67.459999999999994</v>
      </c>
      <c r="D919">
        <v>9</v>
      </c>
      <c r="E919" s="3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 s="3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  <c r="Z919" s="3">
        <f>Table1[[#This Row],[QUANTITYORDERED]]*Table1[[#This Row],[PRICEEACH]]</f>
        <v>1888.8799999999999</v>
      </c>
    </row>
    <row r="920" spans="1:26" hidden="1" x14ac:dyDescent="0.35">
      <c r="A920">
        <v>10215</v>
      </c>
      <c r="B920">
        <v>31</v>
      </c>
      <c r="C920" s="3">
        <v>58.71</v>
      </c>
      <c r="D920">
        <v>6</v>
      </c>
      <c r="E920" s="3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 s="3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  <c r="Z920" s="3">
        <f>Table1[[#This Row],[QUANTITYORDERED]]*Table1[[#This Row],[PRICEEACH]]</f>
        <v>1820.01</v>
      </c>
    </row>
    <row r="921" spans="1:26" hidden="1" x14ac:dyDescent="0.35">
      <c r="A921">
        <v>10228</v>
      </c>
      <c r="B921">
        <v>45</v>
      </c>
      <c r="C921" s="3">
        <v>63.71</v>
      </c>
      <c r="D921">
        <v>5</v>
      </c>
      <c r="E921" s="3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 s="3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  <c r="Z921" s="3">
        <f>Table1[[#This Row],[QUANTITYORDERED]]*Table1[[#This Row],[PRICEEACH]]</f>
        <v>2866.95</v>
      </c>
    </row>
    <row r="922" spans="1:26" hidden="1" x14ac:dyDescent="0.35">
      <c r="A922">
        <v>10244</v>
      </c>
      <c r="B922">
        <v>24</v>
      </c>
      <c r="C922" s="3">
        <v>58.09</v>
      </c>
      <c r="D922">
        <v>3</v>
      </c>
      <c r="E922" s="3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 s="3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  <c r="Z922" s="3">
        <f>Table1[[#This Row],[QUANTITYORDERED]]*Table1[[#This Row],[PRICEEACH]]</f>
        <v>1394.16</v>
      </c>
    </row>
    <row r="923" spans="1:26" hidden="1" x14ac:dyDescent="0.35">
      <c r="A923">
        <v>10257</v>
      </c>
      <c r="B923">
        <v>49</v>
      </c>
      <c r="C923" s="3">
        <v>53.72</v>
      </c>
      <c r="D923">
        <v>3</v>
      </c>
      <c r="E923" s="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 s="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  <c r="Z923" s="3">
        <f>Table1[[#This Row],[QUANTITYORDERED]]*Table1[[#This Row],[PRICEEACH]]</f>
        <v>2632.2799999999997</v>
      </c>
    </row>
    <row r="924" spans="1:26" hidden="1" x14ac:dyDescent="0.35">
      <c r="A924">
        <v>10269</v>
      </c>
      <c r="B924">
        <v>32</v>
      </c>
      <c r="C924" s="3">
        <v>63.08</v>
      </c>
      <c r="D924">
        <v>1</v>
      </c>
      <c r="E924" s="3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 s="3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  <c r="Z924" s="3">
        <f>Table1[[#This Row],[QUANTITYORDERED]]*Table1[[#This Row],[PRICEEACH]]</f>
        <v>2018.56</v>
      </c>
    </row>
    <row r="925" spans="1:26" hidden="1" x14ac:dyDescent="0.35">
      <c r="A925">
        <v>10280</v>
      </c>
      <c r="B925">
        <v>43</v>
      </c>
      <c r="C925" s="3">
        <v>68.709999999999994</v>
      </c>
      <c r="D925">
        <v>5</v>
      </c>
      <c r="E925" s="3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 s="3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  <c r="Z925" s="3">
        <f>Table1[[#This Row],[QUANTITYORDERED]]*Table1[[#This Row],[PRICEEACH]]</f>
        <v>2954.5299999999997</v>
      </c>
    </row>
    <row r="926" spans="1:26" hidden="1" x14ac:dyDescent="0.35">
      <c r="A926">
        <v>10291</v>
      </c>
      <c r="B926">
        <v>37</v>
      </c>
      <c r="C926" s="3">
        <v>50.59</v>
      </c>
      <c r="D926">
        <v>14</v>
      </c>
      <c r="E926" s="3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 s="3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  <c r="Z926" s="3">
        <f>Table1[[#This Row],[QUANTITYORDERED]]*Table1[[#This Row],[PRICEEACH]]</f>
        <v>1871.8300000000002</v>
      </c>
    </row>
    <row r="927" spans="1:26" hidden="1" x14ac:dyDescent="0.35">
      <c r="A927">
        <v>10304</v>
      </c>
      <c r="B927">
        <v>24</v>
      </c>
      <c r="C927" s="3">
        <v>64.959999999999994</v>
      </c>
      <c r="D927">
        <v>9</v>
      </c>
      <c r="E927" s="3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 s="3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  <c r="Z927" s="3">
        <f>Table1[[#This Row],[QUANTITYORDERED]]*Table1[[#This Row],[PRICEEACH]]</f>
        <v>1559.04</v>
      </c>
    </row>
    <row r="928" spans="1:26" hidden="1" x14ac:dyDescent="0.35">
      <c r="A928">
        <v>10312</v>
      </c>
      <c r="B928">
        <v>35</v>
      </c>
      <c r="C928" s="3">
        <v>53.72</v>
      </c>
      <c r="D928">
        <v>6</v>
      </c>
      <c r="E928" s="3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 s="3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  <c r="Z928" s="3">
        <f>Table1[[#This Row],[QUANTITYORDERED]]*Table1[[#This Row],[PRICEEACH]]</f>
        <v>1880.2</v>
      </c>
    </row>
    <row r="929" spans="1:26" hidden="1" x14ac:dyDescent="0.35">
      <c r="A929">
        <v>10322</v>
      </c>
      <c r="B929">
        <v>41</v>
      </c>
      <c r="C929" s="3">
        <v>29.87</v>
      </c>
      <c r="D929">
        <v>13</v>
      </c>
      <c r="E929" s="3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 s="3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  <c r="Z929" s="3">
        <f>Table1[[#This Row],[QUANTITYORDERED]]*Table1[[#This Row],[PRICEEACH]]</f>
        <v>1224.67</v>
      </c>
    </row>
    <row r="930" spans="1:26" hidden="1" x14ac:dyDescent="0.35">
      <c r="A930">
        <v>10332</v>
      </c>
      <c r="B930">
        <v>26</v>
      </c>
      <c r="C930" s="3">
        <v>100</v>
      </c>
      <c r="D930">
        <v>17</v>
      </c>
      <c r="E930" s="3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 s="3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  <c r="Z930" s="3">
        <f>Table1[[#This Row],[QUANTITYORDERED]]*Table1[[#This Row],[PRICEEACH]]</f>
        <v>2600</v>
      </c>
    </row>
    <row r="931" spans="1:26" hidden="1" x14ac:dyDescent="0.35">
      <c r="A931">
        <v>10347</v>
      </c>
      <c r="B931">
        <v>34</v>
      </c>
      <c r="C931" s="3">
        <v>64.959999999999994</v>
      </c>
      <c r="D931">
        <v>10</v>
      </c>
      <c r="E931" s="3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 s="3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  <c r="Z931" s="3">
        <f>Table1[[#This Row],[QUANTITYORDERED]]*Table1[[#This Row],[PRICEEACH]]</f>
        <v>2208.64</v>
      </c>
    </row>
    <row r="932" spans="1:26" hidden="1" x14ac:dyDescent="0.35">
      <c r="A932">
        <v>10357</v>
      </c>
      <c r="B932">
        <v>49</v>
      </c>
      <c r="C932" s="3">
        <v>70.58</v>
      </c>
      <c r="D932">
        <v>5</v>
      </c>
      <c r="E932" s="3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 s="3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  <c r="Z932" s="3">
        <f>Table1[[#This Row],[QUANTITYORDERED]]*Table1[[#This Row],[PRICEEACH]]</f>
        <v>3458.42</v>
      </c>
    </row>
    <row r="933" spans="1:26" hidden="1" x14ac:dyDescent="0.35">
      <c r="A933">
        <v>10369</v>
      </c>
      <c r="B933">
        <v>28</v>
      </c>
      <c r="C933" s="3">
        <v>44.21</v>
      </c>
      <c r="D933">
        <v>6</v>
      </c>
      <c r="E933" s="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 s="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  <c r="Z933" s="3">
        <f>Table1[[#This Row],[QUANTITYORDERED]]*Table1[[#This Row],[PRICEEACH]]</f>
        <v>1237.8800000000001</v>
      </c>
    </row>
    <row r="934" spans="1:26" hidden="1" x14ac:dyDescent="0.35">
      <c r="A934">
        <v>10381</v>
      </c>
      <c r="B934">
        <v>40</v>
      </c>
      <c r="C934" s="3">
        <v>68.08</v>
      </c>
      <c r="D934">
        <v>4</v>
      </c>
      <c r="E934" s="3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 s="3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  <c r="Z934" s="3">
        <f>Table1[[#This Row],[QUANTITYORDERED]]*Table1[[#This Row],[PRICEEACH]]</f>
        <v>2723.2</v>
      </c>
    </row>
    <row r="935" spans="1:26" hidden="1" x14ac:dyDescent="0.35">
      <c r="A935">
        <v>10392</v>
      </c>
      <c r="B935">
        <v>37</v>
      </c>
      <c r="C935" s="3">
        <v>59.96</v>
      </c>
      <c r="D935">
        <v>3</v>
      </c>
      <c r="E935" s="3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 s="3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  <c r="Z935" s="3">
        <f>Table1[[#This Row],[QUANTITYORDERED]]*Table1[[#This Row],[PRICEEACH]]</f>
        <v>2218.52</v>
      </c>
    </row>
    <row r="936" spans="1:26" hidden="1" x14ac:dyDescent="0.35">
      <c r="A936">
        <v>10423</v>
      </c>
      <c r="B936">
        <v>31</v>
      </c>
      <c r="C936" s="3">
        <v>53.72</v>
      </c>
      <c r="D936">
        <v>3</v>
      </c>
      <c r="E936" s="3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 s="3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  <c r="Z936" s="3">
        <f>Table1[[#This Row],[QUANTITYORDERED]]*Table1[[#This Row],[PRICEEACH]]</f>
        <v>1665.32</v>
      </c>
    </row>
    <row r="937" spans="1:26" hidden="1" x14ac:dyDescent="0.35">
      <c r="A937">
        <v>10106</v>
      </c>
      <c r="B937">
        <v>41</v>
      </c>
      <c r="C937" s="3">
        <v>83.44</v>
      </c>
      <c r="D937">
        <v>18</v>
      </c>
      <c r="E937" s="3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 s="3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  <c r="Z937" s="3">
        <f>Table1[[#This Row],[QUANTITYORDERED]]*Table1[[#This Row],[PRICEEACH]]</f>
        <v>3421.04</v>
      </c>
    </row>
    <row r="938" spans="1:26" hidden="1" x14ac:dyDescent="0.35">
      <c r="A938">
        <v>10119</v>
      </c>
      <c r="B938">
        <v>21</v>
      </c>
      <c r="C938" s="3">
        <v>89.46</v>
      </c>
      <c r="D938">
        <v>9</v>
      </c>
      <c r="E938" s="3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 s="3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  <c r="Z938" s="3">
        <f>Table1[[#This Row],[QUANTITYORDERED]]*Table1[[#This Row],[PRICEEACH]]</f>
        <v>1878.6599999999999</v>
      </c>
    </row>
    <row r="939" spans="1:26" hidden="1" x14ac:dyDescent="0.35">
      <c r="A939">
        <v>10130</v>
      </c>
      <c r="B939">
        <v>40</v>
      </c>
      <c r="C939" s="3">
        <v>96.34</v>
      </c>
      <c r="D939">
        <v>2</v>
      </c>
      <c r="E939" s="3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 s="3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  <c r="Z939" s="3">
        <f>Table1[[#This Row],[QUANTITYORDERED]]*Table1[[#This Row],[PRICEEACH]]</f>
        <v>3853.6000000000004</v>
      </c>
    </row>
    <row r="940" spans="1:26" hidden="1" x14ac:dyDescent="0.35">
      <c r="A940">
        <v>10143</v>
      </c>
      <c r="B940">
        <v>46</v>
      </c>
      <c r="C940" s="3">
        <v>74.84</v>
      </c>
      <c r="D940">
        <v>13</v>
      </c>
      <c r="E940" s="3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 s="3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  <c r="Z940" s="3">
        <f>Table1[[#This Row],[QUANTITYORDERED]]*Table1[[#This Row],[PRICEEACH]]</f>
        <v>3442.6400000000003</v>
      </c>
    </row>
    <row r="941" spans="1:26" hidden="1" x14ac:dyDescent="0.35">
      <c r="A941">
        <v>10155</v>
      </c>
      <c r="B941">
        <v>44</v>
      </c>
      <c r="C941" s="3">
        <v>79.14</v>
      </c>
      <c r="D941">
        <v>11</v>
      </c>
      <c r="E941" s="3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 s="3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  <c r="Z941" s="3">
        <f>Table1[[#This Row],[QUANTITYORDERED]]*Table1[[#This Row],[PRICEEACH]]</f>
        <v>3482.16</v>
      </c>
    </row>
    <row r="942" spans="1:26" hidden="1" x14ac:dyDescent="0.35">
      <c r="A942">
        <v>10167</v>
      </c>
      <c r="B942">
        <v>46</v>
      </c>
      <c r="C942" s="3">
        <v>73.12</v>
      </c>
      <c r="D942">
        <v>7</v>
      </c>
      <c r="E942" s="3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 s="3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  <c r="Z942" s="3">
        <f>Table1[[#This Row],[QUANTITYORDERED]]*Table1[[#This Row],[PRICEEACH]]</f>
        <v>3363.5200000000004</v>
      </c>
    </row>
    <row r="943" spans="1:26" hidden="1" x14ac:dyDescent="0.35">
      <c r="A943">
        <v>10178</v>
      </c>
      <c r="B943">
        <v>41</v>
      </c>
      <c r="C943" s="3">
        <v>81.72</v>
      </c>
      <c r="D943">
        <v>10</v>
      </c>
      <c r="E943" s="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 s="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  <c r="Z943" s="3">
        <f>Table1[[#This Row],[QUANTITYORDERED]]*Table1[[#This Row],[PRICEEACH]]</f>
        <v>3350.52</v>
      </c>
    </row>
    <row r="944" spans="1:26" hidden="1" x14ac:dyDescent="0.35">
      <c r="A944">
        <v>10186</v>
      </c>
      <c r="B944">
        <v>32</v>
      </c>
      <c r="C944" s="3">
        <v>89.46</v>
      </c>
      <c r="D944">
        <v>7</v>
      </c>
      <c r="E944" s="3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 s="3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  <c r="Z944" s="3">
        <f>Table1[[#This Row],[QUANTITYORDERED]]*Table1[[#This Row],[PRICEEACH]]</f>
        <v>2862.72</v>
      </c>
    </row>
    <row r="945" spans="1:26" hidden="1" x14ac:dyDescent="0.35">
      <c r="A945">
        <v>10197</v>
      </c>
      <c r="B945">
        <v>46</v>
      </c>
      <c r="C945" s="3">
        <v>87.74</v>
      </c>
      <c r="D945">
        <v>4</v>
      </c>
      <c r="E945" s="3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 s="3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  <c r="Z945" s="3">
        <f>Table1[[#This Row],[QUANTITYORDERED]]*Table1[[#This Row],[PRICEEACH]]</f>
        <v>4036.04</v>
      </c>
    </row>
    <row r="946" spans="1:26" hidden="1" x14ac:dyDescent="0.35">
      <c r="A946">
        <v>10209</v>
      </c>
      <c r="B946">
        <v>28</v>
      </c>
      <c r="C946" s="3">
        <v>100</v>
      </c>
      <c r="D946">
        <v>6</v>
      </c>
      <c r="E946" s="3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 s="3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  <c r="Z946" s="3">
        <f>Table1[[#This Row],[QUANTITYORDERED]]*Table1[[#This Row],[PRICEEACH]]</f>
        <v>2800</v>
      </c>
    </row>
    <row r="947" spans="1:26" hidden="1" x14ac:dyDescent="0.35">
      <c r="A947">
        <v>10222</v>
      </c>
      <c r="B947">
        <v>49</v>
      </c>
      <c r="C947" s="3">
        <v>94.62</v>
      </c>
      <c r="D947">
        <v>10</v>
      </c>
      <c r="E947" s="3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 s="3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  <c r="Z947" s="3">
        <f>Table1[[#This Row],[QUANTITYORDERED]]*Table1[[#This Row],[PRICEEACH]]</f>
        <v>4636.38</v>
      </c>
    </row>
    <row r="948" spans="1:26" hidden="1" x14ac:dyDescent="0.35">
      <c r="A948">
        <v>10248</v>
      </c>
      <c r="B948">
        <v>21</v>
      </c>
      <c r="C948" s="3">
        <v>73.98</v>
      </c>
      <c r="D948">
        <v>1</v>
      </c>
      <c r="E948" s="3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 s="3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  <c r="Z948" s="3">
        <f>Table1[[#This Row],[QUANTITYORDERED]]*Table1[[#This Row],[PRICEEACH]]</f>
        <v>1553.5800000000002</v>
      </c>
    </row>
    <row r="949" spans="1:26" hidden="1" x14ac:dyDescent="0.35">
      <c r="A949">
        <v>10262</v>
      </c>
      <c r="B949">
        <v>32</v>
      </c>
      <c r="C949" s="3">
        <v>84.3</v>
      </c>
      <c r="D949">
        <v>15</v>
      </c>
      <c r="E949" s="3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 s="3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  <c r="Z949" s="3">
        <f>Table1[[#This Row],[QUANTITYORDERED]]*Table1[[#This Row],[PRICEEACH]]</f>
        <v>2697.6</v>
      </c>
    </row>
    <row r="950" spans="1:26" hidden="1" x14ac:dyDescent="0.35">
      <c r="A950">
        <v>10273</v>
      </c>
      <c r="B950">
        <v>34</v>
      </c>
      <c r="C950" s="3">
        <v>98.06</v>
      </c>
      <c r="D950">
        <v>2</v>
      </c>
      <c r="E950" s="3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 s="3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  <c r="Z950" s="3">
        <f>Table1[[#This Row],[QUANTITYORDERED]]*Table1[[#This Row],[PRICEEACH]]</f>
        <v>3334.04</v>
      </c>
    </row>
    <row r="951" spans="1:26" hidden="1" x14ac:dyDescent="0.35">
      <c r="A951">
        <v>10283</v>
      </c>
      <c r="B951">
        <v>21</v>
      </c>
      <c r="C951" s="3">
        <v>98.06</v>
      </c>
      <c r="D951">
        <v>4</v>
      </c>
      <c r="E951" s="3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 s="3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  <c r="Z951" s="3">
        <f>Table1[[#This Row],[QUANTITYORDERED]]*Table1[[#This Row],[PRICEEACH]]</f>
        <v>2059.2600000000002</v>
      </c>
    </row>
    <row r="952" spans="1:26" hidden="1" x14ac:dyDescent="0.35">
      <c r="A952">
        <v>10296</v>
      </c>
      <c r="B952">
        <v>21</v>
      </c>
      <c r="C952" s="3">
        <v>96.34</v>
      </c>
      <c r="D952">
        <v>13</v>
      </c>
      <c r="E952" s="3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 s="3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  <c r="Z952" s="3">
        <f>Table1[[#This Row],[QUANTITYORDERED]]*Table1[[#This Row],[PRICEEACH]]</f>
        <v>2023.14</v>
      </c>
    </row>
    <row r="953" spans="1:26" hidden="1" x14ac:dyDescent="0.35">
      <c r="A953">
        <v>10307</v>
      </c>
      <c r="B953">
        <v>31</v>
      </c>
      <c r="C953" s="3">
        <v>83.44</v>
      </c>
      <c r="D953">
        <v>7</v>
      </c>
      <c r="E953" s="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 s="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  <c r="Z953" s="3">
        <f>Table1[[#This Row],[QUANTITYORDERED]]*Table1[[#This Row],[PRICEEACH]]</f>
        <v>2586.64</v>
      </c>
    </row>
    <row r="954" spans="1:26" hidden="1" x14ac:dyDescent="0.35">
      <c r="A954">
        <v>10316</v>
      </c>
      <c r="B954">
        <v>21</v>
      </c>
      <c r="C954" s="3">
        <v>94.62</v>
      </c>
      <c r="D954">
        <v>15</v>
      </c>
      <c r="E954" s="3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 s="3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  <c r="Z954" s="3">
        <f>Table1[[#This Row],[QUANTITYORDERED]]*Table1[[#This Row],[PRICEEACH]]</f>
        <v>1987.02</v>
      </c>
    </row>
    <row r="955" spans="1:26" hidden="1" x14ac:dyDescent="0.35">
      <c r="A955">
        <v>10327</v>
      </c>
      <c r="B955">
        <v>25</v>
      </c>
      <c r="C955" s="3">
        <v>45.86</v>
      </c>
      <c r="D955">
        <v>5</v>
      </c>
      <c r="E955" s="3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 s="3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  <c r="Z955" s="3">
        <f>Table1[[#This Row],[QUANTITYORDERED]]*Table1[[#This Row],[PRICEEACH]]</f>
        <v>1146.5</v>
      </c>
    </row>
    <row r="956" spans="1:26" hidden="1" x14ac:dyDescent="0.35">
      <c r="A956">
        <v>10338</v>
      </c>
      <c r="B956">
        <v>28</v>
      </c>
      <c r="C956" s="3">
        <v>82.58</v>
      </c>
      <c r="D956">
        <v>3</v>
      </c>
      <c r="E956" s="3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 s="3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  <c r="Z956" s="3">
        <f>Table1[[#This Row],[QUANTITYORDERED]]*Table1[[#This Row],[PRICEEACH]]</f>
        <v>2312.2399999999998</v>
      </c>
    </row>
    <row r="957" spans="1:26" hidden="1" x14ac:dyDescent="0.35">
      <c r="A957">
        <v>10350</v>
      </c>
      <c r="B957">
        <v>43</v>
      </c>
      <c r="C957" s="3">
        <v>64.97</v>
      </c>
      <c r="D957">
        <v>6</v>
      </c>
      <c r="E957" s="3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 s="3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  <c r="Z957" s="3">
        <f>Table1[[#This Row],[QUANTITYORDERED]]*Table1[[#This Row],[PRICEEACH]]</f>
        <v>2793.71</v>
      </c>
    </row>
    <row r="958" spans="1:26" hidden="1" x14ac:dyDescent="0.35">
      <c r="A958">
        <v>10373</v>
      </c>
      <c r="B958">
        <v>22</v>
      </c>
      <c r="C958" s="3">
        <v>86.74</v>
      </c>
      <c r="D958">
        <v>5</v>
      </c>
      <c r="E958" s="3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 s="3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  <c r="Z958" s="3">
        <f>Table1[[#This Row],[QUANTITYORDERED]]*Table1[[#This Row],[PRICEEACH]]</f>
        <v>1908.28</v>
      </c>
    </row>
    <row r="959" spans="1:26" hidden="1" x14ac:dyDescent="0.35">
      <c r="A959">
        <v>10386</v>
      </c>
      <c r="B959">
        <v>37</v>
      </c>
      <c r="C959" s="3">
        <v>93.01</v>
      </c>
      <c r="D959">
        <v>5</v>
      </c>
      <c r="E959" s="3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 s="3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  <c r="Z959" s="3">
        <f>Table1[[#This Row],[QUANTITYORDERED]]*Table1[[#This Row],[PRICEEACH]]</f>
        <v>3441.3700000000003</v>
      </c>
    </row>
    <row r="960" spans="1:26" hidden="1" x14ac:dyDescent="0.35">
      <c r="A960">
        <v>10398</v>
      </c>
      <c r="B960">
        <v>28</v>
      </c>
      <c r="C960" s="3">
        <v>72.260000000000005</v>
      </c>
      <c r="D960">
        <v>18</v>
      </c>
      <c r="E960" s="3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 s="3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  <c r="Z960" s="3">
        <f>Table1[[#This Row],[QUANTITYORDERED]]*Table1[[#This Row],[PRICEEACH]]</f>
        <v>2023.2800000000002</v>
      </c>
    </row>
    <row r="961" spans="1:26" hidden="1" x14ac:dyDescent="0.35">
      <c r="A961">
        <v>10400</v>
      </c>
      <c r="B961">
        <v>30</v>
      </c>
      <c r="C961" s="3">
        <v>74.84</v>
      </c>
      <c r="D961">
        <v>7</v>
      </c>
      <c r="E961" s="3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 s="3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  <c r="Z961" s="3">
        <f>Table1[[#This Row],[QUANTITYORDERED]]*Table1[[#This Row],[PRICEEACH]]</f>
        <v>2245.2000000000003</v>
      </c>
    </row>
    <row r="962" spans="1:26" hidden="1" x14ac:dyDescent="0.35">
      <c r="A962">
        <v>10414</v>
      </c>
      <c r="B962">
        <v>44</v>
      </c>
      <c r="C962" s="3">
        <v>73.98</v>
      </c>
      <c r="D962">
        <v>1</v>
      </c>
      <c r="E962" s="3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 s="3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  <c r="Z962" s="3">
        <f>Table1[[#This Row],[QUANTITYORDERED]]*Table1[[#This Row],[PRICEEACH]]</f>
        <v>3255.1200000000003</v>
      </c>
    </row>
    <row r="963" spans="1:26" hidden="1" x14ac:dyDescent="0.35">
      <c r="A963">
        <v>10103</v>
      </c>
      <c r="B963">
        <v>25</v>
      </c>
      <c r="C963" s="3">
        <v>100</v>
      </c>
      <c r="D963">
        <v>13</v>
      </c>
      <c r="E963" s="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 s="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  <c r="Z963" s="3">
        <f>Table1[[#This Row],[QUANTITYORDERED]]*Table1[[#This Row],[PRICEEACH]]</f>
        <v>2500</v>
      </c>
    </row>
    <row r="964" spans="1:26" hidden="1" x14ac:dyDescent="0.35">
      <c r="A964">
        <v>10111</v>
      </c>
      <c r="B964">
        <v>43</v>
      </c>
      <c r="C964" s="3">
        <v>100</v>
      </c>
      <c r="D964">
        <v>1</v>
      </c>
      <c r="E964" s="3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 s="3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  <c r="Z964" s="3">
        <f>Table1[[#This Row],[QUANTITYORDERED]]*Table1[[#This Row],[PRICEEACH]]</f>
        <v>4300</v>
      </c>
    </row>
    <row r="965" spans="1:26" hidden="1" x14ac:dyDescent="0.35">
      <c r="A965">
        <v>10126</v>
      </c>
      <c r="B965">
        <v>30</v>
      </c>
      <c r="C965" s="3">
        <v>97.39</v>
      </c>
      <c r="D965">
        <v>13</v>
      </c>
      <c r="E965" s="3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 s="3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  <c r="Z965" s="3">
        <f>Table1[[#This Row],[QUANTITYORDERED]]*Table1[[#This Row],[PRICEEACH]]</f>
        <v>2921.7</v>
      </c>
    </row>
    <row r="966" spans="1:26" hidden="1" x14ac:dyDescent="0.35">
      <c r="A966">
        <v>10139</v>
      </c>
      <c r="B966">
        <v>20</v>
      </c>
      <c r="C966" s="3">
        <v>90.06</v>
      </c>
      <c r="D966">
        <v>2</v>
      </c>
      <c r="E966" s="3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 s="3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  <c r="Z966" s="3">
        <f>Table1[[#This Row],[QUANTITYORDERED]]*Table1[[#This Row],[PRICEEACH]]</f>
        <v>1801.2</v>
      </c>
    </row>
    <row r="967" spans="1:26" hidden="1" x14ac:dyDescent="0.35">
      <c r="A967">
        <v>10150</v>
      </c>
      <c r="B967">
        <v>26</v>
      </c>
      <c r="C967" s="3">
        <v>100</v>
      </c>
      <c r="D967">
        <v>10</v>
      </c>
      <c r="E967" s="3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 s="3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  <c r="Z967" s="3">
        <f>Table1[[#This Row],[QUANTITYORDERED]]*Table1[[#This Row],[PRICEEACH]]</f>
        <v>2600</v>
      </c>
    </row>
    <row r="968" spans="1:26" hidden="1" x14ac:dyDescent="0.35">
      <c r="A968">
        <v>10163</v>
      </c>
      <c r="B968">
        <v>40</v>
      </c>
      <c r="C968" s="3">
        <v>100</v>
      </c>
      <c r="D968">
        <v>3</v>
      </c>
      <c r="E968" s="3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 s="3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  <c r="Z968" s="3">
        <f>Table1[[#This Row],[QUANTITYORDERED]]*Table1[[#This Row],[PRICEEACH]]</f>
        <v>4000</v>
      </c>
    </row>
    <row r="969" spans="1:26" hidden="1" x14ac:dyDescent="0.35">
      <c r="A969">
        <v>10173</v>
      </c>
      <c r="B969">
        <v>31</v>
      </c>
      <c r="C969" s="3">
        <v>89.01</v>
      </c>
      <c r="D969">
        <v>1</v>
      </c>
      <c r="E969" s="3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 s="3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  <c r="Z969" s="3">
        <f>Table1[[#This Row],[QUANTITYORDERED]]*Table1[[#This Row],[PRICEEACH]]</f>
        <v>2759.31</v>
      </c>
    </row>
    <row r="970" spans="1:26" hidden="1" x14ac:dyDescent="0.35">
      <c r="A970">
        <v>10183</v>
      </c>
      <c r="B970">
        <v>22</v>
      </c>
      <c r="C970" s="3">
        <v>100</v>
      </c>
      <c r="D970">
        <v>10</v>
      </c>
      <c r="E970" s="3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 s="3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  <c r="Z970" s="3">
        <f>Table1[[#This Row],[QUANTITYORDERED]]*Table1[[#This Row],[PRICEEACH]]</f>
        <v>2200</v>
      </c>
    </row>
    <row r="971" spans="1:26" hidden="1" x14ac:dyDescent="0.35">
      <c r="A971">
        <v>10193</v>
      </c>
      <c r="B971">
        <v>23</v>
      </c>
      <c r="C971" s="3">
        <v>100</v>
      </c>
      <c r="D971">
        <v>2</v>
      </c>
      <c r="E971" s="3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 s="3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  <c r="Z971" s="3">
        <f>Table1[[#This Row],[QUANTITYORDERED]]*Table1[[#This Row],[PRICEEACH]]</f>
        <v>2300</v>
      </c>
    </row>
    <row r="972" spans="1:26" hidden="1" x14ac:dyDescent="0.35">
      <c r="A972">
        <v>10206</v>
      </c>
      <c r="B972">
        <v>30</v>
      </c>
      <c r="C972" s="3">
        <v>100</v>
      </c>
      <c r="D972">
        <v>8</v>
      </c>
      <c r="E972" s="3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 s="3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  <c r="Z972" s="3">
        <f>Table1[[#This Row],[QUANTITYORDERED]]*Table1[[#This Row],[PRICEEACH]]</f>
        <v>3000</v>
      </c>
    </row>
    <row r="973" spans="1:26" hidden="1" x14ac:dyDescent="0.35">
      <c r="A973">
        <v>10215</v>
      </c>
      <c r="B973">
        <v>49</v>
      </c>
      <c r="C973" s="3">
        <v>100</v>
      </c>
      <c r="D973">
        <v>5</v>
      </c>
      <c r="E973" s="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 s="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  <c r="Z973" s="3">
        <f>Table1[[#This Row],[QUANTITYORDERED]]*Table1[[#This Row],[PRICEEACH]]</f>
        <v>4900</v>
      </c>
    </row>
    <row r="974" spans="1:26" hidden="1" x14ac:dyDescent="0.35">
      <c r="A974">
        <v>10228</v>
      </c>
      <c r="B974">
        <v>31</v>
      </c>
      <c r="C974" s="3">
        <v>100</v>
      </c>
      <c r="D974">
        <v>4</v>
      </c>
      <c r="E974" s="3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 s="3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  <c r="Z974" s="3">
        <f>Table1[[#This Row],[QUANTITYORDERED]]*Table1[[#This Row],[PRICEEACH]]</f>
        <v>3100</v>
      </c>
    </row>
    <row r="975" spans="1:26" hidden="1" x14ac:dyDescent="0.35">
      <c r="A975">
        <v>10244</v>
      </c>
      <c r="B975">
        <v>29</v>
      </c>
      <c r="C975" s="3">
        <v>100</v>
      </c>
      <c r="D975">
        <v>2</v>
      </c>
      <c r="E975" s="3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 s="3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  <c r="Z975" s="3">
        <f>Table1[[#This Row],[QUANTITYORDERED]]*Table1[[#This Row],[PRICEEACH]]</f>
        <v>2900</v>
      </c>
    </row>
    <row r="976" spans="1:26" hidden="1" x14ac:dyDescent="0.35">
      <c r="A976">
        <v>10257</v>
      </c>
      <c r="B976">
        <v>37</v>
      </c>
      <c r="C976" s="3">
        <v>84.82</v>
      </c>
      <c r="D976">
        <v>2</v>
      </c>
      <c r="E976" s="3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 s="3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  <c r="Z976" s="3">
        <f>Table1[[#This Row],[QUANTITYORDERED]]*Table1[[#This Row],[PRICEEACH]]</f>
        <v>3138.3399999999997</v>
      </c>
    </row>
    <row r="977" spans="1:26" hidden="1" x14ac:dyDescent="0.35">
      <c r="A977">
        <v>10270</v>
      </c>
      <c r="B977">
        <v>38</v>
      </c>
      <c r="C977" s="3">
        <v>100</v>
      </c>
      <c r="D977">
        <v>11</v>
      </c>
      <c r="E977" s="3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 s="3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  <c r="Z977" s="3">
        <f>Table1[[#This Row],[QUANTITYORDERED]]*Table1[[#This Row],[PRICEEACH]]</f>
        <v>3800</v>
      </c>
    </row>
    <row r="978" spans="1:26" hidden="1" x14ac:dyDescent="0.35">
      <c r="A978">
        <v>10280</v>
      </c>
      <c r="B978">
        <v>29</v>
      </c>
      <c r="C978" s="3">
        <v>100</v>
      </c>
      <c r="D978">
        <v>4</v>
      </c>
      <c r="E978" s="3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 s="3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  <c r="Z978" s="3">
        <f>Table1[[#This Row],[QUANTITYORDERED]]*Table1[[#This Row],[PRICEEACH]]</f>
        <v>2900</v>
      </c>
    </row>
    <row r="979" spans="1:26" hidden="1" x14ac:dyDescent="0.35">
      <c r="A979">
        <v>10291</v>
      </c>
      <c r="B979">
        <v>23</v>
      </c>
      <c r="C979" s="3">
        <v>100</v>
      </c>
      <c r="D979">
        <v>13</v>
      </c>
      <c r="E979" s="3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 s="3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  <c r="Z979" s="3">
        <f>Table1[[#This Row],[QUANTITYORDERED]]*Table1[[#This Row],[PRICEEACH]]</f>
        <v>2300</v>
      </c>
    </row>
    <row r="980" spans="1:26" hidden="1" x14ac:dyDescent="0.35">
      <c r="A980">
        <v>10304</v>
      </c>
      <c r="B980">
        <v>26</v>
      </c>
      <c r="C980" s="3">
        <v>85.87</v>
      </c>
      <c r="D980">
        <v>8</v>
      </c>
      <c r="E980" s="3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 s="3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  <c r="Z980" s="3">
        <f>Table1[[#This Row],[QUANTITYORDERED]]*Table1[[#This Row],[PRICEEACH]]</f>
        <v>2232.62</v>
      </c>
    </row>
    <row r="981" spans="1:26" hidden="1" x14ac:dyDescent="0.35">
      <c r="A981">
        <v>10312</v>
      </c>
      <c r="B981">
        <v>38</v>
      </c>
      <c r="C981" s="3">
        <v>100</v>
      </c>
      <c r="D981">
        <v>5</v>
      </c>
      <c r="E981" s="3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 s="3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  <c r="Z981" s="3">
        <f>Table1[[#This Row],[QUANTITYORDERED]]*Table1[[#This Row],[PRICEEACH]]</f>
        <v>3800</v>
      </c>
    </row>
    <row r="982" spans="1:26" hidden="1" x14ac:dyDescent="0.35">
      <c r="A982">
        <v>10322</v>
      </c>
      <c r="B982">
        <v>48</v>
      </c>
      <c r="C982" s="3">
        <v>47.04</v>
      </c>
      <c r="D982">
        <v>7</v>
      </c>
      <c r="E982" s="3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 s="3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  <c r="Z982" s="3">
        <f>Table1[[#This Row],[QUANTITYORDERED]]*Table1[[#This Row],[PRICEEACH]]</f>
        <v>2257.92</v>
      </c>
    </row>
    <row r="983" spans="1:26" hidden="1" x14ac:dyDescent="0.35">
      <c r="A983">
        <v>10332</v>
      </c>
      <c r="B983">
        <v>40</v>
      </c>
      <c r="C983" s="3">
        <v>39.799999999999997</v>
      </c>
      <c r="D983">
        <v>18</v>
      </c>
      <c r="E983" s="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 s="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  <c r="Z983" s="3">
        <f>Table1[[#This Row],[QUANTITYORDERED]]*Table1[[#This Row],[PRICEEACH]]</f>
        <v>1592</v>
      </c>
    </row>
    <row r="984" spans="1:26" hidden="1" x14ac:dyDescent="0.35">
      <c r="A984">
        <v>10347</v>
      </c>
      <c r="B984">
        <v>45</v>
      </c>
      <c r="C984" s="3">
        <v>100</v>
      </c>
      <c r="D984">
        <v>11</v>
      </c>
      <c r="E984" s="3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 s="3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  <c r="Z984" s="3">
        <f>Table1[[#This Row],[QUANTITYORDERED]]*Table1[[#This Row],[PRICEEACH]]</f>
        <v>4500</v>
      </c>
    </row>
    <row r="985" spans="1:26" hidden="1" x14ac:dyDescent="0.35">
      <c r="A985">
        <v>10357</v>
      </c>
      <c r="B985">
        <v>44</v>
      </c>
      <c r="C985" s="3">
        <v>100</v>
      </c>
      <c r="D985">
        <v>4</v>
      </c>
      <c r="E985" s="3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 s="3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  <c r="Z985" s="3">
        <f>Table1[[#This Row],[QUANTITYORDERED]]*Table1[[#This Row],[PRICEEACH]]</f>
        <v>4400</v>
      </c>
    </row>
    <row r="986" spans="1:26" hidden="1" x14ac:dyDescent="0.35">
      <c r="A986">
        <v>10369</v>
      </c>
      <c r="B986">
        <v>21</v>
      </c>
      <c r="C986" s="3">
        <v>94.22</v>
      </c>
      <c r="D986">
        <v>5</v>
      </c>
      <c r="E986" s="3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 s="3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  <c r="Z986" s="3">
        <f>Table1[[#This Row],[QUANTITYORDERED]]*Table1[[#This Row],[PRICEEACH]]</f>
        <v>1978.62</v>
      </c>
    </row>
    <row r="987" spans="1:26" hidden="1" x14ac:dyDescent="0.35">
      <c r="A987">
        <v>10381</v>
      </c>
      <c r="B987">
        <v>35</v>
      </c>
      <c r="C987" s="3">
        <v>100</v>
      </c>
      <c r="D987">
        <v>5</v>
      </c>
      <c r="E987" s="3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 s="3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  <c r="Z987" s="3">
        <f>Table1[[#This Row],[QUANTITYORDERED]]*Table1[[#This Row],[PRICEEACH]]</f>
        <v>3500</v>
      </c>
    </row>
    <row r="988" spans="1:26" hidden="1" x14ac:dyDescent="0.35">
      <c r="A988">
        <v>10392</v>
      </c>
      <c r="B988">
        <v>29</v>
      </c>
      <c r="C988" s="3">
        <v>86.92</v>
      </c>
      <c r="D988">
        <v>2</v>
      </c>
      <c r="E988" s="3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 s="3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  <c r="Z988" s="3">
        <f>Table1[[#This Row],[QUANTITYORDERED]]*Table1[[#This Row],[PRICEEACH]]</f>
        <v>2520.6799999999998</v>
      </c>
    </row>
    <row r="989" spans="1:26" hidden="1" x14ac:dyDescent="0.35">
      <c r="A989">
        <v>10423</v>
      </c>
      <c r="B989">
        <v>21</v>
      </c>
      <c r="C989" s="3">
        <v>84.82</v>
      </c>
      <c r="D989">
        <v>2</v>
      </c>
      <c r="E989" s="3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 s="3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  <c r="Z989" s="3">
        <f>Table1[[#This Row],[QUANTITYORDERED]]*Table1[[#This Row],[PRICEEACH]]</f>
        <v>1781.2199999999998</v>
      </c>
    </row>
    <row r="990" spans="1:26" hidden="1" x14ac:dyDescent="0.35">
      <c r="A990">
        <v>10105</v>
      </c>
      <c r="B990">
        <v>22</v>
      </c>
      <c r="C990" s="3">
        <v>100</v>
      </c>
      <c r="D990">
        <v>11</v>
      </c>
      <c r="E990" s="3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 s="3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  <c r="Z990" s="3">
        <f>Table1[[#This Row],[QUANTITYORDERED]]*Table1[[#This Row],[PRICEEACH]]</f>
        <v>2200</v>
      </c>
    </row>
    <row r="991" spans="1:26" hidden="1" x14ac:dyDescent="0.35">
      <c r="A991">
        <v>10117</v>
      </c>
      <c r="B991">
        <v>26</v>
      </c>
      <c r="C991" s="3">
        <v>100</v>
      </c>
      <c r="D991">
        <v>5</v>
      </c>
      <c r="E991" s="3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 s="3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  <c r="Z991" s="3">
        <f>Table1[[#This Row],[QUANTITYORDERED]]*Table1[[#This Row],[PRICEEACH]]</f>
        <v>2600</v>
      </c>
    </row>
    <row r="992" spans="1:26" hidden="1" x14ac:dyDescent="0.35">
      <c r="A992">
        <v>10128</v>
      </c>
      <c r="B992">
        <v>41</v>
      </c>
      <c r="C992" s="3">
        <v>100</v>
      </c>
      <c r="D992">
        <v>2</v>
      </c>
      <c r="E992" s="3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 s="3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  <c r="Z992" s="3">
        <f>Table1[[#This Row],[QUANTITYORDERED]]*Table1[[#This Row],[PRICEEACH]]</f>
        <v>4100</v>
      </c>
    </row>
    <row r="993" spans="1:26" hidden="1" x14ac:dyDescent="0.35">
      <c r="A993">
        <v>10142</v>
      </c>
      <c r="B993">
        <v>47</v>
      </c>
      <c r="C993" s="3">
        <v>100</v>
      </c>
      <c r="D993">
        <v>8</v>
      </c>
      <c r="E993" s="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 s="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  <c r="Z993" s="3">
        <f>Table1[[#This Row],[QUANTITYORDERED]]*Table1[[#This Row],[PRICEEACH]]</f>
        <v>4700</v>
      </c>
    </row>
    <row r="994" spans="1:26" hidden="1" x14ac:dyDescent="0.35">
      <c r="A994">
        <v>10153</v>
      </c>
      <c r="B994">
        <v>31</v>
      </c>
      <c r="C994" s="3">
        <v>100</v>
      </c>
      <c r="D994">
        <v>7</v>
      </c>
      <c r="E994" s="3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 s="3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  <c r="Z994" s="3">
        <f>Table1[[#This Row],[QUANTITYORDERED]]*Table1[[#This Row],[PRICEEACH]]</f>
        <v>3100</v>
      </c>
    </row>
    <row r="995" spans="1:26" hidden="1" x14ac:dyDescent="0.35">
      <c r="A995">
        <v>10166</v>
      </c>
      <c r="B995">
        <v>43</v>
      </c>
      <c r="C995" s="3">
        <v>100</v>
      </c>
      <c r="D995">
        <v>2</v>
      </c>
      <c r="E995" s="3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 s="3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  <c r="Z995" s="3">
        <f>Table1[[#This Row],[QUANTITYORDERED]]*Table1[[#This Row],[PRICEEACH]]</f>
        <v>4300</v>
      </c>
    </row>
    <row r="996" spans="1:26" hidden="1" x14ac:dyDescent="0.35">
      <c r="A996">
        <v>10177</v>
      </c>
      <c r="B996">
        <v>23</v>
      </c>
      <c r="C996" s="3">
        <v>100</v>
      </c>
      <c r="D996">
        <v>9</v>
      </c>
      <c r="E996" s="3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 s="3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  <c r="Z996" s="3">
        <f>Table1[[#This Row],[QUANTITYORDERED]]*Table1[[#This Row],[PRICEEACH]]</f>
        <v>2300</v>
      </c>
    </row>
    <row r="997" spans="1:26" hidden="1" x14ac:dyDescent="0.35">
      <c r="A997">
        <v>10185</v>
      </c>
      <c r="B997">
        <v>28</v>
      </c>
      <c r="C997" s="3">
        <v>100</v>
      </c>
      <c r="D997">
        <v>9</v>
      </c>
      <c r="E997" s="3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 s="3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  <c r="Z997" s="3">
        <f>Table1[[#This Row],[QUANTITYORDERED]]*Table1[[#This Row],[PRICEEACH]]</f>
        <v>2800</v>
      </c>
    </row>
    <row r="998" spans="1:26" hidden="1" x14ac:dyDescent="0.35">
      <c r="A998">
        <v>10196</v>
      </c>
      <c r="B998">
        <v>49</v>
      </c>
      <c r="C998" s="3">
        <v>100</v>
      </c>
      <c r="D998">
        <v>1</v>
      </c>
      <c r="E998" s="3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 s="3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  <c r="Z998" s="3">
        <f>Table1[[#This Row],[QUANTITYORDERED]]*Table1[[#This Row],[PRICEEACH]]</f>
        <v>4900</v>
      </c>
    </row>
    <row r="999" spans="1:26" hidden="1" x14ac:dyDescent="0.35">
      <c r="A999">
        <v>10208</v>
      </c>
      <c r="B999">
        <v>24</v>
      </c>
      <c r="C999" s="3">
        <v>100</v>
      </c>
      <c r="D999">
        <v>9</v>
      </c>
      <c r="E999" s="3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 s="3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  <c r="Z999" s="3">
        <f>Table1[[#This Row],[QUANTITYORDERED]]*Table1[[#This Row],[PRICEEACH]]</f>
        <v>2400</v>
      </c>
    </row>
    <row r="1000" spans="1:26" hidden="1" x14ac:dyDescent="0.35">
      <c r="A1000">
        <v>10221</v>
      </c>
      <c r="B1000">
        <v>33</v>
      </c>
      <c r="C1000" s="3">
        <v>100</v>
      </c>
      <c r="D1000">
        <v>3</v>
      </c>
      <c r="E1000" s="3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 s="3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  <c r="Z1000" s="3">
        <f>Table1[[#This Row],[QUANTITYORDERED]]*Table1[[#This Row],[PRICEEACH]]</f>
        <v>3300</v>
      </c>
    </row>
    <row r="1001" spans="1:26" hidden="1" x14ac:dyDescent="0.35">
      <c r="A1001">
        <v>10232</v>
      </c>
      <c r="B1001">
        <v>22</v>
      </c>
      <c r="C1001" s="3">
        <v>100</v>
      </c>
      <c r="D1001">
        <v>6</v>
      </c>
      <c r="E1001" s="3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 s="3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  <c r="Z1001" s="3">
        <f>Table1[[#This Row],[QUANTITYORDERED]]*Table1[[#This Row],[PRICEEACH]]</f>
        <v>2200</v>
      </c>
    </row>
    <row r="1002" spans="1:26" hidden="1" x14ac:dyDescent="0.35">
      <c r="A1002">
        <v>10248</v>
      </c>
      <c r="B1002">
        <v>32</v>
      </c>
      <c r="C1002" s="3">
        <v>100</v>
      </c>
      <c r="D1002">
        <v>12</v>
      </c>
      <c r="E1002" s="3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 s="3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  <c r="Z1002" s="3">
        <f>Table1[[#This Row],[QUANTITYORDERED]]*Table1[[#This Row],[PRICEEACH]]</f>
        <v>3200</v>
      </c>
    </row>
    <row r="1003" spans="1:26" hidden="1" x14ac:dyDescent="0.35">
      <c r="A1003">
        <v>10273</v>
      </c>
      <c r="B1003">
        <v>40</v>
      </c>
      <c r="C1003" s="3">
        <v>100</v>
      </c>
      <c r="D1003">
        <v>13</v>
      </c>
      <c r="E1003" s="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 s="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  <c r="Z1003" s="3">
        <f>Table1[[#This Row],[QUANTITYORDERED]]*Table1[[#This Row],[PRICEEACH]]</f>
        <v>4000</v>
      </c>
    </row>
    <row r="1004" spans="1:26" hidden="1" x14ac:dyDescent="0.35">
      <c r="A1004">
        <v>10282</v>
      </c>
      <c r="B1004">
        <v>43</v>
      </c>
      <c r="C1004" s="3">
        <v>100</v>
      </c>
      <c r="D1004">
        <v>1</v>
      </c>
      <c r="E1004" s="3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 s="3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  <c r="Z1004" s="3">
        <f>Table1[[#This Row],[QUANTITYORDERED]]*Table1[[#This Row],[PRICEEACH]]</f>
        <v>4300</v>
      </c>
    </row>
    <row r="1005" spans="1:26" hidden="1" x14ac:dyDescent="0.35">
      <c r="A1005">
        <v>10293</v>
      </c>
      <c r="B1005">
        <v>24</v>
      </c>
      <c r="C1005" s="3">
        <v>100</v>
      </c>
      <c r="D1005">
        <v>4</v>
      </c>
      <c r="E1005" s="3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 s="3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  <c r="Z1005" s="3">
        <f>Table1[[#This Row],[QUANTITYORDERED]]*Table1[[#This Row],[PRICEEACH]]</f>
        <v>2400</v>
      </c>
    </row>
    <row r="1006" spans="1:26" hidden="1" x14ac:dyDescent="0.35">
      <c r="A1006">
        <v>10306</v>
      </c>
      <c r="B1006">
        <v>32</v>
      </c>
      <c r="C1006" s="3">
        <v>100</v>
      </c>
      <c r="D1006">
        <v>9</v>
      </c>
      <c r="E1006" s="3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 s="3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  <c r="Z1006" s="3">
        <f>Table1[[#This Row],[QUANTITYORDERED]]*Table1[[#This Row],[PRICEEACH]]</f>
        <v>3200</v>
      </c>
    </row>
    <row r="1007" spans="1:26" hidden="1" x14ac:dyDescent="0.35">
      <c r="A1007">
        <v>10314</v>
      </c>
      <c r="B1007">
        <v>20</v>
      </c>
      <c r="C1007" s="3">
        <v>100</v>
      </c>
      <c r="D1007">
        <v>1</v>
      </c>
      <c r="E1007" s="3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 s="3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  <c r="Z1007" s="3">
        <f>Table1[[#This Row],[QUANTITYORDERED]]*Table1[[#This Row],[PRICEEACH]]</f>
        <v>2000</v>
      </c>
    </row>
    <row r="1008" spans="1:26" hidden="1" x14ac:dyDescent="0.35">
      <c r="A1008">
        <v>10325</v>
      </c>
      <c r="B1008">
        <v>24</v>
      </c>
      <c r="C1008" s="3">
        <v>69.12</v>
      </c>
      <c r="D1008">
        <v>9</v>
      </c>
      <c r="E1008" s="3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 s="3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  <c r="Z1008" s="3">
        <f>Table1[[#This Row],[QUANTITYORDERED]]*Table1[[#This Row],[PRICEEACH]]</f>
        <v>1658.88</v>
      </c>
    </row>
    <row r="1009" spans="1:26" hidden="1" x14ac:dyDescent="0.35">
      <c r="A1009">
        <v>10336</v>
      </c>
      <c r="B1009">
        <v>48</v>
      </c>
      <c r="C1009" s="3">
        <v>100</v>
      </c>
      <c r="D1009">
        <v>12</v>
      </c>
      <c r="E1009" s="3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 s="3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  <c r="Z1009" s="3">
        <f>Table1[[#This Row],[QUANTITYORDERED]]*Table1[[#This Row],[PRICEEACH]]</f>
        <v>4800</v>
      </c>
    </row>
    <row r="1010" spans="1:26" hidden="1" x14ac:dyDescent="0.35">
      <c r="A1010">
        <v>10350</v>
      </c>
      <c r="B1010">
        <v>44</v>
      </c>
      <c r="C1010" s="3">
        <v>100</v>
      </c>
      <c r="D1010">
        <v>1</v>
      </c>
      <c r="E1010" s="3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 s="3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  <c r="Z1010" s="3">
        <f>Table1[[#This Row],[QUANTITYORDERED]]*Table1[[#This Row],[PRICEEACH]]</f>
        <v>4400</v>
      </c>
    </row>
    <row r="1011" spans="1:26" hidden="1" x14ac:dyDescent="0.35">
      <c r="A1011">
        <v>10372</v>
      </c>
      <c r="B1011">
        <v>28</v>
      </c>
      <c r="C1011" s="3">
        <v>100</v>
      </c>
      <c r="D1011">
        <v>3</v>
      </c>
      <c r="E1011" s="3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 s="3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  <c r="Z1011" s="3">
        <f>Table1[[#This Row],[QUANTITYORDERED]]*Table1[[#This Row],[PRICEEACH]]</f>
        <v>2800</v>
      </c>
    </row>
    <row r="1012" spans="1:26" hidden="1" x14ac:dyDescent="0.35">
      <c r="A1012">
        <v>10383</v>
      </c>
      <c r="B1012">
        <v>24</v>
      </c>
      <c r="C1012" s="3">
        <v>61.52</v>
      </c>
      <c r="D1012">
        <v>9</v>
      </c>
      <c r="E1012" s="3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 s="3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  <c r="Z1012" s="3">
        <f>Table1[[#This Row],[QUANTITYORDERED]]*Table1[[#This Row],[PRICEEACH]]</f>
        <v>1476.48</v>
      </c>
    </row>
    <row r="1013" spans="1:26" hidden="1" x14ac:dyDescent="0.35">
      <c r="A1013">
        <v>10396</v>
      </c>
      <c r="B1013">
        <v>33</v>
      </c>
      <c r="C1013" s="3">
        <v>100</v>
      </c>
      <c r="D1013">
        <v>2</v>
      </c>
      <c r="E1013" s="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 s="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  <c r="Z1013" s="3">
        <f>Table1[[#This Row],[QUANTITYORDERED]]*Table1[[#This Row],[PRICEEACH]]</f>
        <v>3300</v>
      </c>
    </row>
    <row r="1014" spans="1:26" hidden="1" x14ac:dyDescent="0.35">
      <c r="A1014">
        <v>10414</v>
      </c>
      <c r="B1014">
        <v>41</v>
      </c>
      <c r="C1014" s="3">
        <v>100</v>
      </c>
      <c r="D1014">
        <v>12</v>
      </c>
      <c r="E1014" s="3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 s="3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  <c r="Z1014" s="3">
        <f>Table1[[#This Row],[QUANTITYORDERED]]*Table1[[#This Row],[PRICEEACH]]</f>
        <v>4100</v>
      </c>
    </row>
    <row r="1015" spans="1:26" x14ac:dyDescent="0.35">
      <c r="A1015">
        <v>10104</v>
      </c>
      <c r="B1015">
        <v>23</v>
      </c>
      <c r="C1015" s="3">
        <v>100</v>
      </c>
      <c r="D1015">
        <v>13</v>
      </c>
      <c r="E1015" s="3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 s="3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  <c r="Z1015" s="3">
        <f>Table1[[#This Row],[QUANTITYORDERED]]*Table1[[#This Row],[PRICEEACH]]</f>
        <v>2300</v>
      </c>
    </row>
    <row r="1016" spans="1:26" x14ac:dyDescent="0.35">
      <c r="A1016">
        <v>10109</v>
      </c>
      <c r="B1016">
        <v>46</v>
      </c>
      <c r="C1016" s="3">
        <v>100</v>
      </c>
      <c r="D1016">
        <v>5</v>
      </c>
      <c r="E1016" s="3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 s="3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  <c r="Z1016" s="3">
        <f>Table1[[#This Row],[QUANTITYORDERED]]*Table1[[#This Row],[PRICEEACH]]</f>
        <v>4600</v>
      </c>
    </row>
    <row r="1017" spans="1:26" x14ac:dyDescent="0.35">
      <c r="A1017">
        <v>10114</v>
      </c>
      <c r="B1017">
        <v>48</v>
      </c>
      <c r="C1017" s="3">
        <v>100</v>
      </c>
      <c r="D1017">
        <v>4</v>
      </c>
      <c r="E1017" s="3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 s="3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  <c r="Z1017" s="3">
        <f>Table1[[#This Row],[QUANTITYORDERED]]*Table1[[#This Row],[PRICEEACH]]</f>
        <v>4800</v>
      </c>
    </row>
    <row r="1018" spans="1:26" x14ac:dyDescent="0.35">
      <c r="A1018">
        <v>10122</v>
      </c>
      <c r="B1018">
        <v>25</v>
      </c>
      <c r="C1018" s="3">
        <v>100</v>
      </c>
      <c r="D1018">
        <v>3</v>
      </c>
      <c r="E1018" s="3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 s="3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  <c r="Z1018" s="3">
        <f>Table1[[#This Row],[QUANTITYORDERED]]*Table1[[#This Row],[PRICEEACH]]</f>
        <v>2500</v>
      </c>
    </row>
    <row r="1019" spans="1:26" x14ac:dyDescent="0.35">
      <c r="A1019">
        <v>10127</v>
      </c>
      <c r="B1019">
        <v>22</v>
      </c>
      <c r="C1019" s="3">
        <v>100</v>
      </c>
      <c r="D1019">
        <v>15</v>
      </c>
      <c r="E1019" s="3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 s="3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  <c r="Z1019" s="3">
        <f>Table1[[#This Row],[QUANTITYORDERED]]*Table1[[#This Row],[PRICEEACH]]</f>
        <v>2200</v>
      </c>
    </row>
    <row r="1020" spans="1:26" x14ac:dyDescent="0.35">
      <c r="A1020">
        <v>10136</v>
      </c>
      <c r="B1020">
        <v>41</v>
      </c>
      <c r="C1020" s="3">
        <v>100</v>
      </c>
      <c r="D1020">
        <v>3</v>
      </c>
      <c r="E1020" s="3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 s="3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  <c r="Z1020" s="3">
        <f>Table1[[#This Row],[QUANTITYORDERED]]*Table1[[#This Row],[PRICEEACH]]</f>
        <v>4100</v>
      </c>
    </row>
    <row r="1021" spans="1:26" x14ac:dyDescent="0.35">
      <c r="A1021">
        <v>10141</v>
      </c>
      <c r="B1021">
        <v>34</v>
      </c>
      <c r="C1021" s="3">
        <v>100</v>
      </c>
      <c r="D1021">
        <v>9</v>
      </c>
      <c r="E1021" s="3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 s="3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  <c r="Z1021" s="3">
        <f>Table1[[#This Row],[QUANTITYORDERED]]*Table1[[#This Row],[PRICEEACH]]</f>
        <v>3400</v>
      </c>
    </row>
    <row r="1022" spans="1:26" x14ac:dyDescent="0.35">
      <c r="A1022">
        <v>10148</v>
      </c>
      <c r="B1022">
        <v>32</v>
      </c>
      <c r="C1022" s="3">
        <v>100</v>
      </c>
      <c r="D1022">
        <v>14</v>
      </c>
      <c r="E1022" s="3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 s="3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  <c r="Z1022" s="3">
        <f>Table1[[#This Row],[QUANTITYORDERED]]*Table1[[#This Row],[PRICEEACH]]</f>
        <v>3200</v>
      </c>
    </row>
    <row r="1023" spans="1:26" x14ac:dyDescent="0.35">
      <c r="A1023">
        <v>10151</v>
      </c>
      <c r="B1023">
        <v>21</v>
      </c>
      <c r="C1023" s="3">
        <v>100</v>
      </c>
      <c r="D1023">
        <v>7</v>
      </c>
      <c r="E1023" s="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 s="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  <c r="Z1023" s="3">
        <f>Table1[[#This Row],[QUANTITYORDERED]]*Table1[[#This Row],[PRICEEACH]]</f>
        <v>2100</v>
      </c>
    </row>
    <row r="1024" spans="1:26" x14ac:dyDescent="0.35">
      <c r="A1024">
        <v>10160</v>
      </c>
      <c r="B1024">
        <v>20</v>
      </c>
      <c r="C1024" s="3">
        <v>100</v>
      </c>
      <c r="D1024">
        <v>1</v>
      </c>
      <c r="E1024" s="3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 s="3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  <c r="Z1024" s="3">
        <f>Table1[[#This Row],[QUANTITYORDERED]]*Table1[[#This Row],[PRICEEACH]]</f>
        <v>2000</v>
      </c>
    </row>
    <row r="1025" spans="1:26" x14ac:dyDescent="0.35">
      <c r="A1025">
        <v>10165</v>
      </c>
      <c r="B1025">
        <v>47</v>
      </c>
      <c r="C1025" s="3">
        <v>100</v>
      </c>
      <c r="D1025">
        <v>16</v>
      </c>
      <c r="E1025" s="3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 s="3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  <c r="Z1025" s="3">
        <f>Table1[[#This Row],[QUANTITYORDERED]]*Table1[[#This Row],[PRICEEACH]]</f>
        <v>4700</v>
      </c>
    </row>
    <row r="1026" spans="1:26" x14ac:dyDescent="0.35">
      <c r="A1026">
        <v>10171</v>
      </c>
      <c r="B1026">
        <v>39</v>
      </c>
      <c r="C1026" s="3">
        <v>100</v>
      </c>
      <c r="D1026">
        <v>3</v>
      </c>
      <c r="E1026" s="3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 s="3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  <c r="Z1026" s="3">
        <f>Table1[[#This Row],[QUANTITYORDERED]]*Table1[[#This Row],[PRICEEACH]]</f>
        <v>3900</v>
      </c>
    </row>
    <row r="1027" spans="1:26" x14ac:dyDescent="0.35">
      <c r="A1027">
        <v>10175</v>
      </c>
      <c r="B1027">
        <v>29</v>
      </c>
      <c r="C1027" s="3">
        <v>100</v>
      </c>
      <c r="D1027">
        <v>5</v>
      </c>
      <c r="E1027" s="3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 s="3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  <c r="Z1027" s="3">
        <f>Table1[[#This Row],[QUANTITYORDERED]]*Table1[[#This Row],[PRICEEACH]]</f>
        <v>2900</v>
      </c>
    </row>
    <row r="1028" spans="1:26" x14ac:dyDescent="0.35">
      <c r="A1028">
        <v>10181</v>
      </c>
      <c r="B1028">
        <v>45</v>
      </c>
      <c r="C1028" s="3">
        <v>100</v>
      </c>
      <c r="D1028">
        <v>7</v>
      </c>
      <c r="E1028" s="3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 s="3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  <c r="Z1028" s="3">
        <f>Table1[[#This Row],[QUANTITYORDERED]]*Table1[[#This Row],[PRICEEACH]]</f>
        <v>4500</v>
      </c>
    </row>
    <row r="1029" spans="1:26" x14ac:dyDescent="0.35">
      <c r="A1029">
        <v>10184</v>
      </c>
      <c r="B1029">
        <v>28</v>
      </c>
      <c r="C1029" s="3">
        <v>100</v>
      </c>
      <c r="D1029">
        <v>10</v>
      </c>
      <c r="E1029" s="3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 s="3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  <c r="Z1029" s="3">
        <f>Table1[[#This Row],[QUANTITYORDERED]]*Table1[[#This Row],[PRICEEACH]]</f>
        <v>2800</v>
      </c>
    </row>
    <row r="1030" spans="1:26" x14ac:dyDescent="0.35">
      <c r="A1030">
        <v>10192</v>
      </c>
      <c r="B1030">
        <v>26</v>
      </c>
      <c r="C1030" s="3">
        <v>100</v>
      </c>
      <c r="D1030">
        <v>12</v>
      </c>
      <c r="E1030" s="3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 s="3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  <c r="Z1030" s="3">
        <f>Table1[[#This Row],[QUANTITYORDERED]]*Table1[[#This Row],[PRICEEACH]]</f>
        <v>2600</v>
      </c>
    </row>
    <row r="1031" spans="1:26" x14ac:dyDescent="0.35">
      <c r="A1031">
        <v>10195</v>
      </c>
      <c r="B1031">
        <v>50</v>
      </c>
      <c r="C1031" s="3">
        <v>100</v>
      </c>
      <c r="D1031">
        <v>10</v>
      </c>
      <c r="E1031" s="3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 s="3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  <c r="Z1031" s="3">
        <f>Table1[[#This Row],[QUANTITYORDERED]]*Table1[[#This Row],[PRICEEACH]]</f>
        <v>5000</v>
      </c>
    </row>
    <row r="1032" spans="1:26" x14ac:dyDescent="0.35">
      <c r="A1032">
        <v>10203</v>
      </c>
      <c r="B1032">
        <v>48</v>
      </c>
      <c r="C1032" s="3">
        <v>100</v>
      </c>
      <c r="D1032">
        <v>1</v>
      </c>
      <c r="E1032" s="3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 s="3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  <c r="Z1032" s="3">
        <f>Table1[[#This Row],[QUANTITYORDERED]]*Table1[[#This Row],[PRICEEACH]]</f>
        <v>4800</v>
      </c>
    </row>
    <row r="1033" spans="1:26" x14ac:dyDescent="0.35">
      <c r="A1033">
        <v>10207</v>
      </c>
      <c r="B1033">
        <v>25</v>
      </c>
      <c r="C1033" s="3">
        <v>100</v>
      </c>
      <c r="D1033">
        <v>11</v>
      </c>
      <c r="E1033" s="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 s="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  <c r="Z1033" s="3">
        <f>Table1[[#This Row],[QUANTITYORDERED]]*Table1[[#This Row],[PRICEEACH]]</f>
        <v>2500</v>
      </c>
    </row>
    <row r="1034" spans="1:26" x14ac:dyDescent="0.35">
      <c r="A1034">
        <v>10212</v>
      </c>
      <c r="B1034">
        <v>40</v>
      </c>
      <c r="C1034" s="3">
        <v>100</v>
      </c>
      <c r="D1034">
        <v>11</v>
      </c>
      <c r="E1034" s="3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 s="3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  <c r="Z1034" s="3">
        <f>Table1[[#This Row],[QUANTITYORDERED]]*Table1[[#This Row],[PRICEEACH]]</f>
        <v>4000</v>
      </c>
    </row>
    <row r="1035" spans="1:26" x14ac:dyDescent="0.35">
      <c r="A1035">
        <v>10225</v>
      </c>
      <c r="B1035">
        <v>43</v>
      </c>
      <c r="C1035" s="3">
        <v>100</v>
      </c>
      <c r="D1035">
        <v>2</v>
      </c>
      <c r="E1035" s="3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 s="3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  <c r="Z1035" s="3">
        <f>Table1[[#This Row],[QUANTITYORDERED]]*Table1[[#This Row],[PRICEEACH]]</f>
        <v>4300</v>
      </c>
    </row>
    <row r="1036" spans="1:26" x14ac:dyDescent="0.35">
      <c r="A1036">
        <v>10229</v>
      </c>
      <c r="B1036">
        <v>22</v>
      </c>
      <c r="C1036" s="3">
        <v>100</v>
      </c>
      <c r="D1036">
        <v>5</v>
      </c>
      <c r="E1036" s="3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 s="3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  <c r="Z1036" s="3">
        <f>Table1[[#This Row],[QUANTITYORDERED]]*Table1[[#This Row],[PRICEEACH]]</f>
        <v>2200</v>
      </c>
    </row>
    <row r="1037" spans="1:26" x14ac:dyDescent="0.35">
      <c r="A1037">
        <v>10239</v>
      </c>
      <c r="B1037">
        <v>47</v>
      </c>
      <c r="C1037" s="3">
        <v>100</v>
      </c>
      <c r="D1037">
        <v>1</v>
      </c>
      <c r="E1037" s="3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 s="3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  <c r="Z1037" s="3">
        <f>Table1[[#This Row],[QUANTITYORDERED]]*Table1[[#This Row],[PRICEEACH]]</f>
        <v>4700</v>
      </c>
    </row>
    <row r="1038" spans="1:26" x14ac:dyDescent="0.35">
      <c r="A1038">
        <v>10246</v>
      </c>
      <c r="B1038">
        <v>36</v>
      </c>
      <c r="C1038" s="3">
        <v>100</v>
      </c>
      <c r="D1038">
        <v>9</v>
      </c>
      <c r="E1038" s="3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 s="3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  <c r="Z1038" s="3">
        <f>Table1[[#This Row],[QUANTITYORDERED]]*Table1[[#This Row],[PRICEEACH]]</f>
        <v>3600</v>
      </c>
    </row>
    <row r="1039" spans="1:26" x14ac:dyDescent="0.35">
      <c r="A1039">
        <v>10253</v>
      </c>
      <c r="B1039">
        <v>40</v>
      </c>
      <c r="C1039" s="3">
        <v>100</v>
      </c>
      <c r="D1039">
        <v>6</v>
      </c>
      <c r="E1039" s="3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 s="3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  <c r="Z1039" s="3">
        <f>Table1[[#This Row],[QUANTITYORDERED]]*Table1[[#This Row],[PRICEEACH]]</f>
        <v>4000</v>
      </c>
    </row>
    <row r="1040" spans="1:26" x14ac:dyDescent="0.35">
      <c r="A1040">
        <v>10259</v>
      </c>
      <c r="B1040">
        <v>27</v>
      </c>
      <c r="C1040" s="3">
        <v>100</v>
      </c>
      <c r="D1040">
        <v>8</v>
      </c>
      <c r="E1040" s="3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 s="3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  <c r="Z1040" s="3">
        <f>Table1[[#This Row],[QUANTITYORDERED]]*Table1[[#This Row],[PRICEEACH]]</f>
        <v>2700</v>
      </c>
    </row>
    <row r="1041" spans="1:26" x14ac:dyDescent="0.35">
      <c r="A1041">
        <v>10266</v>
      </c>
      <c r="B1041">
        <v>29</v>
      </c>
      <c r="C1041" s="3">
        <v>100</v>
      </c>
      <c r="D1041">
        <v>7</v>
      </c>
      <c r="E1041" s="3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 s="3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  <c r="Z1041" s="3">
        <f>Table1[[#This Row],[QUANTITYORDERED]]*Table1[[#This Row],[PRICEEACH]]</f>
        <v>2900</v>
      </c>
    </row>
    <row r="1042" spans="1:26" x14ac:dyDescent="0.35">
      <c r="A1042">
        <v>10271</v>
      </c>
      <c r="B1042">
        <v>20</v>
      </c>
      <c r="C1042" s="3">
        <v>100</v>
      </c>
      <c r="D1042">
        <v>9</v>
      </c>
      <c r="E1042" s="3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 s="3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  <c r="Z1042" s="3">
        <f>Table1[[#This Row],[QUANTITYORDERED]]*Table1[[#This Row],[PRICEEACH]]</f>
        <v>2000</v>
      </c>
    </row>
    <row r="1043" spans="1:26" x14ac:dyDescent="0.35">
      <c r="A1043">
        <v>10278</v>
      </c>
      <c r="B1043">
        <v>42</v>
      </c>
      <c r="C1043" s="3">
        <v>100</v>
      </c>
      <c r="D1043">
        <v>7</v>
      </c>
      <c r="E1043" s="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 s="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  <c r="Z1043" s="3">
        <f>Table1[[#This Row],[QUANTITYORDERED]]*Table1[[#This Row],[PRICEEACH]]</f>
        <v>4200</v>
      </c>
    </row>
    <row r="1044" spans="1:26" x14ac:dyDescent="0.35">
      <c r="A1044">
        <v>10281</v>
      </c>
      <c r="B1044">
        <v>25</v>
      </c>
      <c r="C1044" s="3">
        <v>100</v>
      </c>
      <c r="D1044">
        <v>5</v>
      </c>
      <c r="E1044" s="3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 s="3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  <c r="Z1044" s="3">
        <f>Table1[[#This Row],[QUANTITYORDERED]]*Table1[[#This Row],[PRICEEACH]]</f>
        <v>2500</v>
      </c>
    </row>
    <row r="1045" spans="1:26" x14ac:dyDescent="0.35">
      <c r="A1045">
        <v>10287</v>
      </c>
      <c r="B1045">
        <v>36</v>
      </c>
      <c r="C1045" s="3">
        <v>100</v>
      </c>
      <c r="D1045">
        <v>5</v>
      </c>
      <c r="E1045" s="3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 s="3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  <c r="Z1045" s="3">
        <f>Table1[[#This Row],[QUANTITYORDERED]]*Table1[[#This Row],[PRICEEACH]]</f>
        <v>3600</v>
      </c>
    </row>
    <row r="1046" spans="1:26" x14ac:dyDescent="0.35">
      <c r="A1046">
        <v>10292</v>
      </c>
      <c r="B1046">
        <v>21</v>
      </c>
      <c r="C1046" s="3">
        <v>100</v>
      </c>
      <c r="D1046">
        <v>12</v>
      </c>
      <c r="E1046" s="3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 s="3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  <c r="Z1046" s="3">
        <f>Table1[[#This Row],[QUANTITYORDERED]]*Table1[[#This Row],[PRICEEACH]]</f>
        <v>2100</v>
      </c>
    </row>
    <row r="1047" spans="1:26" x14ac:dyDescent="0.35">
      <c r="A1047">
        <v>10301</v>
      </c>
      <c r="B1047">
        <v>23</v>
      </c>
      <c r="C1047" s="3">
        <v>100</v>
      </c>
      <c r="D1047">
        <v>9</v>
      </c>
      <c r="E1047" s="3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 s="3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  <c r="Z1047" s="3">
        <f>Table1[[#This Row],[QUANTITYORDERED]]*Table1[[#This Row],[PRICEEACH]]</f>
        <v>2300</v>
      </c>
    </row>
    <row r="1048" spans="1:26" x14ac:dyDescent="0.35">
      <c r="A1048">
        <v>10305</v>
      </c>
      <c r="B1048">
        <v>37</v>
      </c>
      <c r="C1048" s="3">
        <v>100</v>
      </c>
      <c r="D1048">
        <v>9</v>
      </c>
      <c r="E1048" s="3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 s="3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  <c r="Z1048" s="3">
        <f>Table1[[#This Row],[QUANTITYORDERED]]*Table1[[#This Row],[PRICEEACH]]</f>
        <v>3700</v>
      </c>
    </row>
    <row r="1049" spans="1:26" x14ac:dyDescent="0.35">
      <c r="A1049">
        <v>10310</v>
      </c>
      <c r="B1049">
        <v>48</v>
      </c>
      <c r="C1049" s="3">
        <v>100</v>
      </c>
      <c r="D1049">
        <v>3</v>
      </c>
      <c r="E1049" s="3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 s="3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  <c r="Z1049" s="3">
        <f>Table1[[#This Row],[QUANTITYORDERED]]*Table1[[#This Row],[PRICEEACH]]</f>
        <v>4800</v>
      </c>
    </row>
    <row r="1050" spans="1:26" x14ac:dyDescent="0.35">
      <c r="A1050">
        <v>10313</v>
      </c>
      <c r="B1050">
        <v>25</v>
      </c>
      <c r="C1050" s="3">
        <v>100</v>
      </c>
      <c r="D1050">
        <v>3</v>
      </c>
      <c r="E1050" s="3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 s="3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  <c r="Z1050" s="3">
        <f>Table1[[#This Row],[QUANTITYORDERED]]*Table1[[#This Row],[PRICEEACH]]</f>
        <v>2500</v>
      </c>
    </row>
    <row r="1051" spans="1:26" x14ac:dyDescent="0.35">
      <c r="A1051">
        <v>10321</v>
      </c>
      <c r="B1051">
        <v>33</v>
      </c>
      <c r="C1051" s="3">
        <v>100</v>
      </c>
      <c r="D1051">
        <v>11</v>
      </c>
      <c r="E1051" s="3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 s="3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  <c r="Z1051" s="3">
        <f>Table1[[#This Row],[QUANTITYORDERED]]*Table1[[#This Row],[PRICEEACH]]</f>
        <v>3300</v>
      </c>
    </row>
    <row r="1052" spans="1:26" x14ac:dyDescent="0.35">
      <c r="A1052">
        <v>10324</v>
      </c>
      <c r="B1052">
        <v>27</v>
      </c>
      <c r="C1052" s="3">
        <v>100</v>
      </c>
      <c r="D1052">
        <v>12</v>
      </c>
      <c r="E1052" s="3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 s="3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  <c r="Z1052" s="3">
        <f>Table1[[#This Row],[QUANTITYORDERED]]*Table1[[#This Row],[PRICEEACH]]</f>
        <v>2700</v>
      </c>
    </row>
    <row r="1053" spans="1:26" x14ac:dyDescent="0.35">
      <c r="A1053">
        <v>10331</v>
      </c>
      <c r="B1053">
        <v>27</v>
      </c>
      <c r="C1053" s="3">
        <v>100</v>
      </c>
      <c r="D1053">
        <v>11</v>
      </c>
      <c r="E1053" s="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 s="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  <c r="Z1053" s="3">
        <f>Table1[[#This Row],[QUANTITYORDERED]]*Table1[[#This Row],[PRICEEACH]]</f>
        <v>2700</v>
      </c>
    </row>
    <row r="1054" spans="1:26" x14ac:dyDescent="0.35">
      <c r="A1054">
        <v>10334</v>
      </c>
      <c r="B1054">
        <v>20</v>
      </c>
      <c r="C1054" s="3">
        <v>100</v>
      </c>
      <c r="D1054">
        <v>3</v>
      </c>
      <c r="E1054" s="3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 s="3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  <c r="Z1054" s="3">
        <f>Table1[[#This Row],[QUANTITYORDERED]]*Table1[[#This Row],[PRICEEACH]]</f>
        <v>2000</v>
      </c>
    </row>
    <row r="1055" spans="1:26" x14ac:dyDescent="0.35">
      <c r="A1055">
        <v>10342</v>
      </c>
      <c r="B1055">
        <v>30</v>
      </c>
      <c r="C1055" s="3">
        <v>100</v>
      </c>
      <c r="D1055">
        <v>4</v>
      </c>
      <c r="E1055" s="3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 s="3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  <c r="Z1055" s="3">
        <f>Table1[[#This Row],[QUANTITYORDERED]]*Table1[[#This Row],[PRICEEACH]]</f>
        <v>3000</v>
      </c>
    </row>
    <row r="1056" spans="1:26" x14ac:dyDescent="0.35">
      <c r="A1056">
        <v>10349</v>
      </c>
      <c r="B1056">
        <v>48</v>
      </c>
      <c r="C1056" s="3">
        <v>100</v>
      </c>
      <c r="D1056">
        <v>6</v>
      </c>
      <c r="E1056" s="3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 s="3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  <c r="Z1056" s="3">
        <f>Table1[[#This Row],[QUANTITYORDERED]]*Table1[[#This Row],[PRICEEACH]]</f>
        <v>4800</v>
      </c>
    </row>
    <row r="1057" spans="1:26" x14ac:dyDescent="0.35">
      <c r="A1057">
        <v>10358</v>
      </c>
      <c r="B1057">
        <v>32</v>
      </c>
      <c r="C1057" s="3">
        <v>93.49</v>
      </c>
      <c r="D1057">
        <v>12</v>
      </c>
      <c r="E1057" s="3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 s="3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  <c r="Z1057" s="3">
        <f>Table1[[#This Row],[QUANTITYORDERED]]*Table1[[#This Row],[PRICEEACH]]</f>
        <v>2991.68</v>
      </c>
    </row>
    <row r="1058" spans="1:26" x14ac:dyDescent="0.35">
      <c r="A1058">
        <v>10366</v>
      </c>
      <c r="B1058">
        <v>34</v>
      </c>
      <c r="C1058" s="3">
        <v>100</v>
      </c>
      <c r="D1058">
        <v>1</v>
      </c>
      <c r="E1058" s="3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 s="3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  <c r="Z1058" s="3">
        <f>Table1[[#This Row],[QUANTITYORDERED]]*Table1[[#This Row],[PRICEEACH]]</f>
        <v>3400</v>
      </c>
    </row>
    <row r="1059" spans="1:26" x14ac:dyDescent="0.35">
      <c r="A1059">
        <v>10370</v>
      </c>
      <c r="B1059">
        <v>27</v>
      </c>
      <c r="C1059" s="3">
        <v>56.85</v>
      </c>
      <c r="D1059">
        <v>9</v>
      </c>
      <c r="E1059" s="3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 s="3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  <c r="Z1059" s="3">
        <f>Table1[[#This Row],[QUANTITYORDERED]]*Table1[[#This Row],[PRICEEACH]]</f>
        <v>1534.95</v>
      </c>
    </row>
    <row r="1060" spans="1:26" x14ac:dyDescent="0.35">
      <c r="A1060">
        <v>10377</v>
      </c>
      <c r="B1060">
        <v>39</v>
      </c>
      <c r="C1060" s="3">
        <v>100</v>
      </c>
      <c r="D1060">
        <v>3</v>
      </c>
      <c r="E1060" s="3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 s="3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  <c r="Z1060" s="3">
        <f>Table1[[#This Row],[QUANTITYORDERED]]*Table1[[#This Row],[PRICEEACH]]</f>
        <v>3900</v>
      </c>
    </row>
    <row r="1061" spans="1:26" x14ac:dyDescent="0.35">
      <c r="A1061">
        <v>10383</v>
      </c>
      <c r="B1061">
        <v>47</v>
      </c>
      <c r="C1061" s="3">
        <v>100</v>
      </c>
      <c r="D1061">
        <v>6</v>
      </c>
      <c r="E1061" s="3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 s="3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  <c r="Z1061" s="3">
        <f>Table1[[#This Row],[QUANTITYORDERED]]*Table1[[#This Row],[PRICEEACH]]</f>
        <v>4700</v>
      </c>
    </row>
    <row r="1062" spans="1:26" x14ac:dyDescent="0.35">
      <c r="A1062">
        <v>10394</v>
      </c>
      <c r="B1062">
        <v>22</v>
      </c>
      <c r="C1062" s="3">
        <v>100</v>
      </c>
      <c r="D1062">
        <v>5</v>
      </c>
      <c r="E1062" s="3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 s="3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  <c r="Z1062" s="3">
        <f>Table1[[#This Row],[QUANTITYORDERED]]*Table1[[#This Row],[PRICEEACH]]</f>
        <v>2200</v>
      </c>
    </row>
    <row r="1063" spans="1:26" x14ac:dyDescent="0.35">
      <c r="A1063">
        <v>10405</v>
      </c>
      <c r="B1063">
        <v>55</v>
      </c>
      <c r="C1063" s="3">
        <v>100</v>
      </c>
      <c r="D1063">
        <v>1</v>
      </c>
      <c r="E1063" s="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 s="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  <c r="Z1063" s="3">
        <f>Table1[[#This Row],[QUANTITYORDERED]]*Table1[[#This Row],[PRICEEACH]]</f>
        <v>5500</v>
      </c>
    </row>
    <row r="1064" spans="1:26" x14ac:dyDescent="0.35">
      <c r="A1064">
        <v>10412</v>
      </c>
      <c r="B1064">
        <v>60</v>
      </c>
      <c r="C1064" s="3">
        <v>100</v>
      </c>
      <c r="D1064">
        <v>9</v>
      </c>
      <c r="E1064" s="3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 s="3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  <c r="Z1064" s="3">
        <f>Table1[[#This Row],[QUANTITYORDERED]]*Table1[[#This Row],[PRICEEACH]]</f>
        <v>6000</v>
      </c>
    </row>
    <row r="1065" spans="1:26" x14ac:dyDescent="0.35">
      <c r="A1065">
        <v>10419</v>
      </c>
      <c r="B1065">
        <v>35</v>
      </c>
      <c r="C1065" s="3">
        <v>100</v>
      </c>
      <c r="D1065">
        <v>6</v>
      </c>
      <c r="E1065" s="3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 s="3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  <c r="Z1065" s="3">
        <f>Table1[[#This Row],[QUANTITYORDERED]]*Table1[[#This Row],[PRICEEACH]]</f>
        <v>3500</v>
      </c>
    </row>
    <row r="1066" spans="1:26" x14ac:dyDescent="0.35">
      <c r="A1066">
        <v>10425</v>
      </c>
      <c r="B1066">
        <v>28</v>
      </c>
      <c r="C1066" s="3">
        <v>100</v>
      </c>
      <c r="D1066">
        <v>8</v>
      </c>
      <c r="E1066" s="3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 s="3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  <c r="Z1066" s="3">
        <f>Table1[[#This Row],[QUANTITYORDERED]]*Table1[[#This Row],[PRICEEACH]]</f>
        <v>2800</v>
      </c>
    </row>
    <row r="1067" spans="1:26" hidden="1" x14ac:dyDescent="0.35">
      <c r="A1067">
        <v>10105</v>
      </c>
      <c r="B1067">
        <v>38</v>
      </c>
      <c r="C1067" s="3">
        <v>100</v>
      </c>
      <c r="D1067">
        <v>13</v>
      </c>
      <c r="E1067" s="3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 s="3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  <c r="Z1067" s="3">
        <f>Table1[[#This Row],[QUANTITYORDERED]]*Table1[[#This Row],[PRICEEACH]]</f>
        <v>3800</v>
      </c>
    </row>
    <row r="1068" spans="1:26" hidden="1" x14ac:dyDescent="0.35">
      <c r="A1068">
        <v>10117</v>
      </c>
      <c r="B1068">
        <v>21</v>
      </c>
      <c r="C1068" s="3">
        <v>95.8</v>
      </c>
      <c r="D1068">
        <v>7</v>
      </c>
      <c r="E1068" s="3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 s="3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  <c r="Z1068" s="3">
        <f>Table1[[#This Row],[QUANTITYORDERED]]*Table1[[#This Row],[PRICEEACH]]</f>
        <v>2011.8</v>
      </c>
    </row>
    <row r="1069" spans="1:26" hidden="1" x14ac:dyDescent="0.35">
      <c r="A1069">
        <v>10128</v>
      </c>
      <c r="B1069">
        <v>41</v>
      </c>
      <c r="C1069" s="3">
        <v>100</v>
      </c>
      <c r="D1069">
        <v>4</v>
      </c>
      <c r="E1069" s="3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 s="3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  <c r="Z1069" s="3">
        <f>Table1[[#This Row],[QUANTITYORDERED]]*Table1[[#This Row],[PRICEEACH]]</f>
        <v>4100</v>
      </c>
    </row>
    <row r="1070" spans="1:26" hidden="1" x14ac:dyDescent="0.35">
      <c r="A1070">
        <v>10142</v>
      </c>
      <c r="B1070">
        <v>22</v>
      </c>
      <c r="C1070" s="3">
        <v>97.81</v>
      </c>
      <c r="D1070">
        <v>10</v>
      </c>
      <c r="E1070" s="3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 s="3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  <c r="Z1070" s="3">
        <f>Table1[[#This Row],[QUANTITYORDERED]]*Table1[[#This Row],[PRICEEACH]]</f>
        <v>2151.8200000000002</v>
      </c>
    </row>
    <row r="1071" spans="1:26" hidden="1" x14ac:dyDescent="0.35">
      <c r="A1071">
        <v>10153</v>
      </c>
      <c r="B1071">
        <v>29</v>
      </c>
      <c r="C1071" s="3">
        <v>88.74</v>
      </c>
      <c r="D1071">
        <v>9</v>
      </c>
      <c r="E1071" s="3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 s="3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  <c r="Z1071" s="3">
        <f>Table1[[#This Row],[QUANTITYORDERED]]*Table1[[#This Row],[PRICEEACH]]</f>
        <v>2573.46</v>
      </c>
    </row>
    <row r="1072" spans="1:26" hidden="1" x14ac:dyDescent="0.35">
      <c r="A1072">
        <v>10165</v>
      </c>
      <c r="B1072">
        <v>50</v>
      </c>
      <c r="C1072" s="3">
        <v>100</v>
      </c>
      <c r="D1072">
        <v>1</v>
      </c>
      <c r="E1072" s="3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 s="3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  <c r="Z1072" s="3">
        <f>Table1[[#This Row],[QUANTITYORDERED]]*Table1[[#This Row],[PRICEEACH]]</f>
        <v>5000</v>
      </c>
    </row>
    <row r="1073" spans="1:26" hidden="1" x14ac:dyDescent="0.35">
      <c r="A1073">
        <v>10177</v>
      </c>
      <c r="B1073">
        <v>29</v>
      </c>
      <c r="C1073" s="3">
        <v>100</v>
      </c>
      <c r="D1073">
        <v>11</v>
      </c>
      <c r="E1073" s="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 s="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  <c r="Z1073" s="3">
        <f>Table1[[#This Row],[QUANTITYORDERED]]*Table1[[#This Row],[PRICEEACH]]</f>
        <v>2900</v>
      </c>
    </row>
    <row r="1074" spans="1:26" hidden="1" x14ac:dyDescent="0.35">
      <c r="A1074">
        <v>10185</v>
      </c>
      <c r="B1074">
        <v>49</v>
      </c>
      <c r="C1074" s="3">
        <v>80.67</v>
      </c>
      <c r="D1074">
        <v>11</v>
      </c>
      <c r="E1074" s="3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 s="3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  <c r="Z1074" s="3">
        <f>Table1[[#This Row],[QUANTITYORDERED]]*Table1[[#This Row],[PRICEEACH]]</f>
        <v>3952.83</v>
      </c>
    </row>
    <row r="1075" spans="1:26" hidden="1" x14ac:dyDescent="0.35">
      <c r="A1075">
        <v>10196</v>
      </c>
      <c r="B1075">
        <v>35</v>
      </c>
      <c r="C1075" s="3">
        <v>100</v>
      </c>
      <c r="D1075">
        <v>3</v>
      </c>
      <c r="E1075" s="3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 s="3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  <c r="Z1075" s="3">
        <f>Table1[[#This Row],[QUANTITYORDERED]]*Table1[[#This Row],[PRICEEACH]]</f>
        <v>3500</v>
      </c>
    </row>
    <row r="1076" spans="1:26" hidden="1" x14ac:dyDescent="0.35">
      <c r="A1076">
        <v>10208</v>
      </c>
      <c r="B1076">
        <v>48</v>
      </c>
      <c r="C1076" s="3">
        <v>100</v>
      </c>
      <c r="D1076">
        <v>11</v>
      </c>
      <c r="E1076" s="3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 s="3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  <c r="Z1076" s="3">
        <f>Table1[[#This Row],[QUANTITYORDERED]]*Table1[[#This Row],[PRICEEACH]]</f>
        <v>4800</v>
      </c>
    </row>
    <row r="1077" spans="1:26" hidden="1" x14ac:dyDescent="0.35">
      <c r="A1077">
        <v>10221</v>
      </c>
      <c r="B1077">
        <v>23</v>
      </c>
      <c r="C1077" s="3">
        <v>80.67</v>
      </c>
      <c r="D1077">
        <v>5</v>
      </c>
      <c r="E1077" s="3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 s="3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  <c r="Z1077" s="3">
        <f>Table1[[#This Row],[QUANTITYORDERED]]*Table1[[#This Row],[PRICEEACH]]</f>
        <v>1855.41</v>
      </c>
    </row>
    <row r="1078" spans="1:26" hidden="1" x14ac:dyDescent="0.35">
      <c r="A1078">
        <v>10232</v>
      </c>
      <c r="B1078">
        <v>48</v>
      </c>
      <c r="C1078" s="3">
        <v>95.8</v>
      </c>
      <c r="D1078">
        <v>8</v>
      </c>
      <c r="E1078" s="3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 s="3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  <c r="Z1078" s="3">
        <f>Table1[[#This Row],[QUANTITYORDERED]]*Table1[[#This Row],[PRICEEACH]]</f>
        <v>4598.3999999999996</v>
      </c>
    </row>
    <row r="1079" spans="1:26" hidden="1" x14ac:dyDescent="0.35">
      <c r="A1079">
        <v>10248</v>
      </c>
      <c r="B1079">
        <v>42</v>
      </c>
      <c r="C1079" s="3">
        <v>100</v>
      </c>
      <c r="D1079">
        <v>14</v>
      </c>
      <c r="E1079" s="3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 s="3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  <c r="Z1079" s="3">
        <f>Table1[[#This Row],[QUANTITYORDERED]]*Table1[[#This Row],[PRICEEACH]]</f>
        <v>4200</v>
      </c>
    </row>
    <row r="1080" spans="1:26" hidden="1" x14ac:dyDescent="0.35">
      <c r="A1080">
        <v>10273</v>
      </c>
      <c r="B1080">
        <v>47</v>
      </c>
      <c r="C1080" s="3">
        <v>100</v>
      </c>
      <c r="D1080">
        <v>15</v>
      </c>
      <c r="E1080" s="3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 s="3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  <c r="Z1080" s="3">
        <f>Table1[[#This Row],[QUANTITYORDERED]]*Table1[[#This Row],[PRICEEACH]]</f>
        <v>4700</v>
      </c>
    </row>
    <row r="1081" spans="1:26" hidden="1" x14ac:dyDescent="0.35">
      <c r="A1081">
        <v>10282</v>
      </c>
      <c r="B1081">
        <v>36</v>
      </c>
      <c r="C1081" s="3">
        <v>100</v>
      </c>
      <c r="D1081">
        <v>3</v>
      </c>
      <c r="E1081" s="3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 s="3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  <c r="Z1081" s="3">
        <f>Table1[[#This Row],[QUANTITYORDERED]]*Table1[[#This Row],[PRICEEACH]]</f>
        <v>3600</v>
      </c>
    </row>
    <row r="1082" spans="1:26" hidden="1" x14ac:dyDescent="0.35">
      <c r="A1082">
        <v>10293</v>
      </c>
      <c r="B1082">
        <v>22</v>
      </c>
      <c r="C1082" s="3">
        <v>100</v>
      </c>
      <c r="D1082">
        <v>6</v>
      </c>
      <c r="E1082" s="3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 s="3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  <c r="Z1082" s="3">
        <f>Table1[[#This Row],[QUANTITYORDERED]]*Table1[[#This Row],[PRICEEACH]]</f>
        <v>2200</v>
      </c>
    </row>
    <row r="1083" spans="1:26" hidden="1" x14ac:dyDescent="0.35">
      <c r="A1083">
        <v>10306</v>
      </c>
      <c r="B1083">
        <v>40</v>
      </c>
      <c r="C1083" s="3">
        <v>91.76</v>
      </c>
      <c r="D1083">
        <v>11</v>
      </c>
      <c r="E1083" s="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 s="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  <c r="Z1083" s="3">
        <f>Table1[[#This Row],[QUANTITYORDERED]]*Table1[[#This Row],[PRICEEACH]]</f>
        <v>3670.4</v>
      </c>
    </row>
    <row r="1084" spans="1:26" hidden="1" x14ac:dyDescent="0.35">
      <c r="A1084">
        <v>10314</v>
      </c>
      <c r="B1084">
        <v>23</v>
      </c>
      <c r="C1084" s="3">
        <v>100</v>
      </c>
      <c r="D1084">
        <v>3</v>
      </c>
      <c r="E1084" s="3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 s="3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  <c r="Z1084" s="3">
        <f>Table1[[#This Row],[QUANTITYORDERED]]*Table1[[#This Row],[PRICEEACH]]</f>
        <v>2300</v>
      </c>
    </row>
    <row r="1085" spans="1:26" hidden="1" x14ac:dyDescent="0.35">
      <c r="A1085">
        <v>10326</v>
      </c>
      <c r="B1085">
        <v>32</v>
      </c>
      <c r="C1085" s="3">
        <v>100</v>
      </c>
      <c r="D1085">
        <v>6</v>
      </c>
      <c r="E1085" s="3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 s="3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  <c r="Z1085" s="3">
        <f>Table1[[#This Row],[QUANTITYORDERED]]*Table1[[#This Row],[PRICEEACH]]</f>
        <v>3200</v>
      </c>
    </row>
    <row r="1086" spans="1:26" hidden="1" x14ac:dyDescent="0.35">
      <c r="A1086">
        <v>10336</v>
      </c>
      <c r="B1086">
        <v>21</v>
      </c>
      <c r="C1086" s="3">
        <v>100</v>
      </c>
      <c r="D1086">
        <v>7</v>
      </c>
      <c r="E1086" s="3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 s="3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  <c r="Z1086" s="3">
        <f>Table1[[#This Row],[QUANTITYORDERED]]*Table1[[#This Row],[PRICEEACH]]</f>
        <v>2100</v>
      </c>
    </row>
    <row r="1087" spans="1:26" hidden="1" x14ac:dyDescent="0.35">
      <c r="A1087">
        <v>10350</v>
      </c>
      <c r="B1087">
        <v>41</v>
      </c>
      <c r="C1087" s="3">
        <v>93.04</v>
      </c>
      <c r="D1087">
        <v>2</v>
      </c>
      <c r="E1087" s="3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 s="3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  <c r="Z1087" s="3">
        <f>Table1[[#This Row],[QUANTITYORDERED]]*Table1[[#This Row],[PRICEEACH]]</f>
        <v>3814.6400000000003</v>
      </c>
    </row>
    <row r="1088" spans="1:26" hidden="1" x14ac:dyDescent="0.35">
      <c r="A1088">
        <v>10372</v>
      </c>
      <c r="B1088">
        <v>25</v>
      </c>
      <c r="C1088" s="3">
        <v>84.71</v>
      </c>
      <c r="D1088">
        <v>5</v>
      </c>
      <c r="E1088" s="3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 s="3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  <c r="Z1088" s="3">
        <f>Table1[[#This Row],[QUANTITYORDERED]]*Table1[[#This Row],[PRICEEACH]]</f>
        <v>2117.75</v>
      </c>
    </row>
    <row r="1089" spans="1:26" hidden="1" x14ac:dyDescent="0.35">
      <c r="A1089">
        <v>10383</v>
      </c>
      <c r="B1089">
        <v>26</v>
      </c>
      <c r="C1089" s="3">
        <v>100</v>
      </c>
      <c r="D1089">
        <v>12</v>
      </c>
      <c r="E1089" s="3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 s="3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  <c r="Z1089" s="3">
        <f>Table1[[#This Row],[QUANTITYORDERED]]*Table1[[#This Row],[PRICEEACH]]</f>
        <v>2600</v>
      </c>
    </row>
    <row r="1090" spans="1:26" hidden="1" x14ac:dyDescent="0.35">
      <c r="A1090">
        <v>10396</v>
      </c>
      <c r="B1090">
        <v>24</v>
      </c>
      <c r="C1090" s="3">
        <v>89.75</v>
      </c>
      <c r="D1090">
        <v>4</v>
      </c>
      <c r="E1090" s="3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 s="3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  <c r="Z1090" s="3">
        <f>Table1[[#This Row],[QUANTITYORDERED]]*Table1[[#This Row],[PRICEEACH]]</f>
        <v>2154</v>
      </c>
    </row>
    <row r="1091" spans="1:26" hidden="1" x14ac:dyDescent="0.35">
      <c r="A1091">
        <v>10414</v>
      </c>
      <c r="B1091">
        <v>48</v>
      </c>
      <c r="C1091" s="3">
        <v>100</v>
      </c>
      <c r="D1091">
        <v>14</v>
      </c>
      <c r="E1091" s="3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 s="3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  <c r="Z1091" s="3">
        <f>Table1[[#This Row],[QUANTITYORDERED]]*Table1[[#This Row],[PRICEEACH]]</f>
        <v>4800</v>
      </c>
    </row>
    <row r="1092" spans="1:26" x14ac:dyDescent="0.35">
      <c r="A1092">
        <v>10108</v>
      </c>
      <c r="B1092">
        <v>26</v>
      </c>
      <c r="C1092" s="3">
        <v>68.349999999999994</v>
      </c>
      <c r="D1092">
        <v>9</v>
      </c>
      <c r="E1092" s="3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 s="3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  <c r="Z1092" s="3">
        <f>Table1[[#This Row],[QUANTITYORDERED]]*Table1[[#This Row],[PRICEEACH]]</f>
        <v>1777.1</v>
      </c>
    </row>
    <row r="1093" spans="1:26" x14ac:dyDescent="0.35">
      <c r="A1093">
        <v>10122</v>
      </c>
      <c r="B1093">
        <v>21</v>
      </c>
      <c r="C1093" s="3">
        <v>73.17</v>
      </c>
      <c r="D1093">
        <v>13</v>
      </c>
      <c r="E1093" s="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 s="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  <c r="Z1093" s="3">
        <f>Table1[[#This Row],[QUANTITYORDERED]]*Table1[[#This Row],[PRICEEACH]]</f>
        <v>1536.57</v>
      </c>
    </row>
    <row r="1094" spans="1:26" x14ac:dyDescent="0.35">
      <c r="A1094">
        <v>10135</v>
      </c>
      <c r="B1094">
        <v>45</v>
      </c>
      <c r="C1094" s="3">
        <v>78</v>
      </c>
      <c r="D1094">
        <v>10</v>
      </c>
      <c r="E1094" s="3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 s="3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  <c r="Z1094" s="3">
        <f>Table1[[#This Row],[QUANTITYORDERED]]*Table1[[#This Row],[PRICEEACH]]</f>
        <v>3510</v>
      </c>
    </row>
    <row r="1095" spans="1:26" x14ac:dyDescent="0.35">
      <c r="A1095">
        <v>10147</v>
      </c>
      <c r="B1095">
        <v>36</v>
      </c>
      <c r="C1095" s="3">
        <v>86.04</v>
      </c>
      <c r="D1095">
        <v>10</v>
      </c>
      <c r="E1095" s="3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 s="3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  <c r="Z1095" s="3">
        <f>Table1[[#This Row],[QUANTITYORDERED]]*Table1[[#This Row],[PRICEEACH]]</f>
        <v>3097.44</v>
      </c>
    </row>
    <row r="1096" spans="1:26" x14ac:dyDescent="0.35">
      <c r="A1096">
        <v>10159</v>
      </c>
      <c r="B1096">
        <v>21</v>
      </c>
      <c r="C1096" s="3">
        <v>81.209999999999994</v>
      </c>
      <c r="D1096">
        <v>5</v>
      </c>
      <c r="E1096" s="3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 s="3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  <c r="Z1096" s="3">
        <f>Table1[[#This Row],[QUANTITYORDERED]]*Table1[[#This Row],[PRICEEACH]]</f>
        <v>1705.4099999999999</v>
      </c>
    </row>
    <row r="1097" spans="1:26" x14ac:dyDescent="0.35">
      <c r="A1097">
        <v>10169</v>
      </c>
      <c r="B1097">
        <v>32</v>
      </c>
      <c r="C1097" s="3">
        <v>70.760000000000005</v>
      </c>
      <c r="D1097">
        <v>5</v>
      </c>
      <c r="E1097" s="3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 s="3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  <c r="Z1097" s="3">
        <f>Table1[[#This Row],[QUANTITYORDERED]]*Table1[[#This Row],[PRICEEACH]]</f>
        <v>2264.3200000000002</v>
      </c>
    </row>
    <row r="1098" spans="1:26" x14ac:dyDescent="0.35">
      <c r="A1098">
        <v>10181</v>
      </c>
      <c r="B1098">
        <v>30</v>
      </c>
      <c r="C1098" s="3">
        <v>82.82</v>
      </c>
      <c r="D1098">
        <v>17</v>
      </c>
      <c r="E1098" s="3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 s="3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  <c r="Z1098" s="3">
        <f>Table1[[#This Row],[QUANTITYORDERED]]*Table1[[#This Row],[PRICEEACH]]</f>
        <v>2484.6</v>
      </c>
    </row>
    <row r="1099" spans="1:26" x14ac:dyDescent="0.35">
      <c r="A1099">
        <v>10191</v>
      </c>
      <c r="B1099">
        <v>36</v>
      </c>
      <c r="C1099" s="3">
        <v>94.88</v>
      </c>
      <c r="D1099">
        <v>6</v>
      </c>
      <c r="E1099" s="3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 s="3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  <c r="Z1099" s="3">
        <f>Table1[[#This Row],[QUANTITYORDERED]]*Table1[[#This Row],[PRICEEACH]]</f>
        <v>3415.68</v>
      </c>
    </row>
    <row r="1100" spans="1:26" x14ac:dyDescent="0.35">
      <c r="A1100">
        <v>10203</v>
      </c>
      <c r="B1100">
        <v>33</v>
      </c>
      <c r="C1100" s="3">
        <v>86.04</v>
      </c>
      <c r="D1100">
        <v>11</v>
      </c>
      <c r="E1100" s="3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 s="3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  <c r="Z1100" s="3">
        <f>Table1[[#This Row],[QUANTITYORDERED]]*Table1[[#This Row],[PRICEEACH]]</f>
        <v>2839.32</v>
      </c>
    </row>
    <row r="1101" spans="1:26" x14ac:dyDescent="0.35">
      <c r="A1101">
        <v>10211</v>
      </c>
      <c r="B1101">
        <v>35</v>
      </c>
      <c r="C1101" s="3">
        <v>78</v>
      </c>
      <c r="D1101">
        <v>5</v>
      </c>
      <c r="E1101" s="3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 s="3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  <c r="Z1101" s="3">
        <f>Table1[[#This Row],[QUANTITYORDERED]]*Table1[[#This Row],[PRICEEACH]]</f>
        <v>2730</v>
      </c>
    </row>
    <row r="1102" spans="1:26" x14ac:dyDescent="0.35">
      <c r="A1102">
        <v>10225</v>
      </c>
      <c r="B1102">
        <v>37</v>
      </c>
      <c r="C1102" s="3">
        <v>95.69</v>
      </c>
      <c r="D1102">
        <v>12</v>
      </c>
      <c r="E1102" s="3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 s="3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  <c r="Z1102" s="3">
        <f>Table1[[#This Row],[QUANTITYORDERED]]*Table1[[#This Row],[PRICEEACH]]</f>
        <v>3540.5299999999997</v>
      </c>
    </row>
    <row r="1103" spans="1:26" x14ac:dyDescent="0.35">
      <c r="A1103">
        <v>10238</v>
      </c>
      <c r="B1103">
        <v>41</v>
      </c>
      <c r="C1103" s="3">
        <v>73.17</v>
      </c>
      <c r="D1103">
        <v>6</v>
      </c>
      <c r="E1103" s="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 s="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  <c r="Z1103" s="3">
        <f>Table1[[#This Row],[QUANTITYORDERED]]*Table1[[#This Row],[PRICEEACH]]</f>
        <v>2999.9700000000003</v>
      </c>
    </row>
    <row r="1104" spans="1:26" x14ac:dyDescent="0.35">
      <c r="A1104">
        <v>10252</v>
      </c>
      <c r="B1104">
        <v>20</v>
      </c>
      <c r="C1104" s="3">
        <v>76.39</v>
      </c>
      <c r="D1104">
        <v>2</v>
      </c>
      <c r="E1104" s="3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 s="3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  <c r="Z1104" s="3">
        <f>Table1[[#This Row],[QUANTITYORDERED]]*Table1[[#This Row],[PRICEEACH]]</f>
        <v>1527.8</v>
      </c>
    </row>
    <row r="1105" spans="1:26" x14ac:dyDescent="0.35">
      <c r="A1105">
        <v>10265</v>
      </c>
      <c r="B1105">
        <v>45</v>
      </c>
      <c r="C1105" s="3">
        <v>86.84</v>
      </c>
      <c r="D1105">
        <v>2</v>
      </c>
      <c r="E1105" s="3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 s="3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  <c r="Z1105" s="3">
        <f>Table1[[#This Row],[QUANTITYORDERED]]*Table1[[#This Row],[PRICEEACH]]</f>
        <v>3907.8</v>
      </c>
    </row>
    <row r="1106" spans="1:26" x14ac:dyDescent="0.35">
      <c r="A1106">
        <v>10276</v>
      </c>
      <c r="B1106">
        <v>38</v>
      </c>
      <c r="C1106" s="3">
        <v>69.959999999999994</v>
      </c>
      <c r="D1106">
        <v>6</v>
      </c>
      <c r="E1106" s="3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 s="3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  <c r="Z1106" s="3">
        <f>Table1[[#This Row],[QUANTITYORDERED]]*Table1[[#This Row],[PRICEEACH]]</f>
        <v>2658.4799999999996</v>
      </c>
    </row>
    <row r="1107" spans="1:26" x14ac:dyDescent="0.35">
      <c r="A1107">
        <v>10287</v>
      </c>
      <c r="B1107">
        <v>43</v>
      </c>
      <c r="C1107" s="3">
        <v>70.760000000000005</v>
      </c>
      <c r="D1107">
        <v>15</v>
      </c>
      <c r="E1107" s="3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 s="3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  <c r="Z1107" s="3">
        <f>Table1[[#This Row],[QUANTITYORDERED]]*Table1[[#This Row],[PRICEEACH]]</f>
        <v>3042.6800000000003</v>
      </c>
    </row>
    <row r="1108" spans="1:26" x14ac:dyDescent="0.35">
      <c r="A1108">
        <v>10300</v>
      </c>
      <c r="B1108">
        <v>49</v>
      </c>
      <c r="C1108" s="3">
        <v>78.8</v>
      </c>
      <c r="D1108">
        <v>8</v>
      </c>
      <c r="E1108" s="3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 s="3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  <c r="Z1108" s="3">
        <f>Table1[[#This Row],[QUANTITYORDERED]]*Table1[[#This Row],[PRICEEACH]]</f>
        <v>3861.2</v>
      </c>
    </row>
    <row r="1109" spans="1:26" x14ac:dyDescent="0.35">
      <c r="A1109">
        <v>10310</v>
      </c>
      <c r="B1109">
        <v>27</v>
      </c>
      <c r="C1109" s="3">
        <v>80.41</v>
      </c>
      <c r="D1109">
        <v>13</v>
      </c>
      <c r="E1109" s="3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 s="3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  <c r="Z1109" s="3">
        <f>Table1[[#This Row],[QUANTITYORDERED]]*Table1[[#This Row],[PRICEEACH]]</f>
        <v>2171.0699999999997</v>
      </c>
    </row>
    <row r="1110" spans="1:26" x14ac:dyDescent="0.35">
      <c r="A1110">
        <v>10319</v>
      </c>
      <c r="B1110">
        <v>46</v>
      </c>
      <c r="C1110" s="3">
        <v>73.98</v>
      </c>
      <c r="D1110">
        <v>1</v>
      </c>
      <c r="E1110" s="3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 s="3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  <c r="Z1110" s="3">
        <f>Table1[[#This Row],[QUANTITYORDERED]]*Table1[[#This Row],[PRICEEACH]]</f>
        <v>3403.0800000000004</v>
      </c>
    </row>
    <row r="1111" spans="1:26" x14ac:dyDescent="0.35">
      <c r="A1111">
        <v>10329</v>
      </c>
      <c r="B1111">
        <v>38</v>
      </c>
      <c r="C1111" s="3">
        <v>59.1</v>
      </c>
      <c r="D1111">
        <v>10</v>
      </c>
      <c r="E1111" s="3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 s="3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  <c r="Z1111" s="3">
        <f>Table1[[#This Row],[QUANTITYORDERED]]*Table1[[#This Row],[PRICEEACH]]</f>
        <v>2245.8000000000002</v>
      </c>
    </row>
    <row r="1112" spans="1:26" x14ac:dyDescent="0.35">
      <c r="A1112">
        <v>10342</v>
      </c>
      <c r="B1112">
        <v>25</v>
      </c>
      <c r="C1112" s="3">
        <v>66.739999999999995</v>
      </c>
      <c r="D1112">
        <v>5</v>
      </c>
      <c r="E1112" s="3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 s="3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  <c r="Z1112" s="3">
        <f>Table1[[#This Row],[QUANTITYORDERED]]*Table1[[#This Row],[PRICEEACH]]</f>
        <v>1668.4999999999998</v>
      </c>
    </row>
    <row r="1113" spans="1:26" x14ac:dyDescent="0.35">
      <c r="A1113">
        <v>10363</v>
      </c>
      <c r="B1113">
        <v>46</v>
      </c>
      <c r="C1113" s="3">
        <v>60.3</v>
      </c>
      <c r="D1113">
        <v>10</v>
      </c>
      <c r="E1113" s="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 s="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  <c r="Z1113" s="3">
        <f>Table1[[#This Row],[QUANTITYORDERED]]*Table1[[#This Row],[PRICEEACH]]</f>
        <v>2773.7999999999997</v>
      </c>
    </row>
    <row r="1114" spans="1:26" x14ac:dyDescent="0.35">
      <c r="A1114">
        <v>10378</v>
      </c>
      <c r="B1114">
        <v>22</v>
      </c>
      <c r="C1114" s="3">
        <v>100</v>
      </c>
      <c r="D1114">
        <v>4</v>
      </c>
      <c r="E1114" s="3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 s="3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  <c r="Z1114" s="3">
        <f>Table1[[#This Row],[QUANTITYORDERED]]*Table1[[#This Row],[PRICEEACH]]</f>
        <v>2200</v>
      </c>
    </row>
    <row r="1115" spans="1:26" x14ac:dyDescent="0.35">
      <c r="A1115">
        <v>10390</v>
      </c>
      <c r="B1115">
        <v>40</v>
      </c>
      <c r="C1115" s="3">
        <v>100</v>
      </c>
      <c r="D1115">
        <v>9</v>
      </c>
      <c r="E1115" s="3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 s="3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  <c r="Z1115" s="3">
        <f>Table1[[#This Row],[QUANTITYORDERED]]*Table1[[#This Row],[PRICEEACH]]</f>
        <v>4000</v>
      </c>
    </row>
    <row r="1116" spans="1:26" hidden="1" x14ac:dyDescent="0.35">
      <c r="A1116">
        <v>10103</v>
      </c>
      <c r="B1116">
        <v>46</v>
      </c>
      <c r="C1116" s="3">
        <v>100</v>
      </c>
      <c r="D1116">
        <v>16</v>
      </c>
      <c r="E1116" s="3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 s="3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  <c r="Z1116" s="3">
        <f>Table1[[#This Row],[QUANTITYORDERED]]*Table1[[#This Row],[PRICEEACH]]</f>
        <v>4600</v>
      </c>
    </row>
    <row r="1117" spans="1:26" hidden="1" x14ac:dyDescent="0.35">
      <c r="A1117">
        <v>10111</v>
      </c>
      <c r="B1117">
        <v>39</v>
      </c>
      <c r="C1117" s="3">
        <v>100</v>
      </c>
      <c r="D1117">
        <v>4</v>
      </c>
      <c r="E1117" s="3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 s="3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  <c r="Z1117" s="3">
        <f>Table1[[#This Row],[QUANTITYORDERED]]*Table1[[#This Row],[PRICEEACH]]</f>
        <v>3900</v>
      </c>
    </row>
    <row r="1118" spans="1:26" hidden="1" x14ac:dyDescent="0.35">
      <c r="A1118">
        <v>10126</v>
      </c>
      <c r="B1118">
        <v>38</v>
      </c>
      <c r="C1118" s="3">
        <v>82.34</v>
      </c>
      <c r="D1118">
        <v>16</v>
      </c>
      <c r="E1118" s="3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 s="3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  <c r="Z1118" s="3">
        <f>Table1[[#This Row],[QUANTITYORDERED]]*Table1[[#This Row],[PRICEEACH]]</f>
        <v>3128.92</v>
      </c>
    </row>
    <row r="1119" spans="1:26" hidden="1" x14ac:dyDescent="0.35">
      <c r="A1119">
        <v>10139</v>
      </c>
      <c r="B1119">
        <v>30</v>
      </c>
      <c r="C1119" s="3">
        <v>100</v>
      </c>
      <c r="D1119">
        <v>5</v>
      </c>
      <c r="E1119" s="3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 s="3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  <c r="Z1119" s="3">
        <f>Table1[[#This Row],[QUANTITYORDERED]]*Table1[[#This Row],[PRICEEACH]]</f>
        <v>3000</v>
      </c>
    </row>
    <row r="1120" spans="1:26" hidden="1" x14ac:dyDescent="0.35">
      <c r="A1120">
        <v>10149</v>
      </c>
      <c r="B1120">
        <v>42</v>
      </c>
      <c r="C1120" s="3">
        <v>94.25</v>
      </c>
      <c r="D1120">
        <v>2</v>
      </c>
      <c r="E1120" s="3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 s="3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  <c r="Z1120" s="3">
        <f>Table1[[#This Row],[QUANTITYORDERED]]*Table1[[#This Row],[PRICEEACH]]</f>
        <v>3958.5</v>
      </c>
    </row>
    <row r="1121" spans="1:26" hidden="1" x14ac:dyDescent="0.35">
      <c r="A1121">
        <v>10163</v>
      </c>
      <c r="B1121">
        <v>43</v>
      </c>
      <c r="C1121" s="3">
        <v>100</v>
      </c>
      <c r="D1121">
        <v>6</v>
      </c>
      <c r="E1121" s="3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 s="3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  <c r="Z1121" s="3">
        <f>Table1[[#This Row],[QUANTITYORDERED]]*Table1[[#This Row],[PRICEEACH]]</f>
        <v>4300</v>
      </c>
    </row>
    <row r="1122" spans="1:26" hidden="1" x14ac:dyDescent="0.35">
      <c r="A1122">
        <v>10173</v>
      </c>
      <c r="B1122">
        <v>29</v>
      </c>
      <c r="C1122" s="3">
        <v>95.24</v>
      </c>
      <c r="D1122">
        <v>4</v>
      </c>
      <c r="E1122" s="3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 s="3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  <c r="Z1122" s="3">
        <f>Table1[[#This Row],[QUANTITYORDERED]]*Table1[[#This Row],[PRICEEACH]]</f>
        <v>2761.96</v>
      </c>
    </row>
    <row r="1123" spans="1:26" hidden="1" x14ac:dyDescent="0.35">
      <c r="A1123">
        <v>10182</v>
      </c>
      <c r="B1123">
        <v>33</v>
      </c>
      <c r="C1123" s="3">
        <v>86.31</v>
      </c>
      <c r="D1123">
        <v>1</v>
      </c>
      <c r="E1123" s="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 s="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  <c r="Z1123" s="3">
        <f>Table1[[#This Row],[QUANTITYORDERED]]*Table1[[#This Row],[PRICEEACH]]</f>
        <v>2848.23</v>
      </c>
    </row>
    <row r="1124" spans="1:26" hidden="1" x14ac:dyDescent="0.35">
      <c r="A1124">
        <v>10193</v>
      </c>
      <c r="B1124">
        <v>32</v>
      </c>
      <c r="C1124" s="3">
        <v>79.37</v>
      </c>
      <c r="D1124">
        <v>5</v>
      </c>
      <c r="E1124" s="3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 s="3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  <c r="Z1124" s="3">
        <f>Table1[[#This Row],[QUANTITYORDERED]]*Table1[[#This Row],[PRICEEACH]]</f>
        <v>2539.84</v>
      </c>
    </row>
    <row r="1125" spans="1:26" hidden="1" x14ac:dyDescent="0.35">
      <c r="A1125">
        <v>10206</v>
      </c>
      <c r="B1125">
        <v>28</v>
      </c>
      <c r="C1125" s="3">
        <v>87.3</v>
      </c>
      <c r="D1125">
        <v>11</v>
      </c>
      <c r="E1125" s="3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 s="3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  <c r="Z1125" s="3">
        <f>Table1[[#This Row],[QUANTITYORDERED]]*Table1[[#This Row],[PRICEEACH]]</f>
        <v>2444.4</v>
      </c>
    </row>
    <row r="1126" spans="1:26" hidden="1" x14ac:dyDescent="0.35">
      <c r="A1126">
        <v>10215</v>
      </c>
      <c r="B1126">
        <v>41</v>
      </c>
      <c r="C1126" s="3">
        <v>100</v>
      </c>
      <c r="D1126">
        <v>8</v>
      </c>
      <c r="E1126" s="3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 s="3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  <c r="Z1126" s="3">
        <f>Table1[[#This Row],[QUANTITYORDERED]]*Table1[[#This Row],[PRICEEACH]]</f>
        <v>4100</v>
      </c>
    </row>
    <row r="1127" spans="1:26" hidden="1" x14ac:dyDescent="0.35">
      <c r="A1127">
        <v>10227</v>
      </c>
      <c r="B1127">
        <v>33</v>
      </c>
      <c r="C1127" s="3">
        <v>100</v>
      </c>
      <c r="D1127">
        <v>1</v>
      </c>
      <c r="E1127" s="3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 s="3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  <c r="Z1127" s="3">
        <f>Table1[[#This Row],[QUANTITYORDERED]]*Table1[[#This Row],[PRICEEACH]]</f>
        <v>3300</v>
      </c>
    </row>
    <row r="1128" spans="1:26" hidden="1" x14ac:dyDescent="0.35">
      <c r="A1128">
        <v>10244</v>
      </c>
      <c r="B1128">
        <v>36</v>
      </c>
      <c r="C1128" s="3">
        <v>84.33</v>
      </c>
      <c r="D1128">
        <v>5</v>
      </c>
      <c r="E1128" s="3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 s="3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  <c r="Z1128" s="3">
        <f>Table1[[#This Row],[QUANTITYORDERED]]*Table1[[#This Row],[PRICEEACH]]</f>
        <v>3035.88</v>
      </c>
    </row>
    <row r="1129" spans="1:26" hidden="1" x14ac:dyDescent="0.35">
      <c r="A1129">
        <v>10257</v>
      </c>
      <c r="B1129">
        <v>26</v>
      </c>
      <c r="C1129" s="3">
        <v>89.29</v>
      </c>
      <c r="D1129">
        <v>5</v>
      </c>
      <c r="E1129" s="3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 s="3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  <c r="Z1129" s="3">
        <f>Table1[[#This Row],[QUANTITYORDERED]]*Table1[[#This Row],[PRICEEACH]]</f>
        <v>2321.54</v>
      </c>
    </row>
    <row r="1130" spans="1:26" hidden="1" x14ac:dyDescent="0.35">
      <c r="A1130">
        <v>10280</v>
      </c>
      <c r="B1130">
        <v>34</v>
      </c>
      <c r="C1130" s="3">
        <v>100</v>
      </c>
      <c r="D1130">
        <v>7</v>
      </c>
      <c r="E1130" s="3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 s="3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  <c r="Z1130" s="3">
        <f>Table1[[#This Row],[QUANTITYORDERED]]*Table1[[#This Row],[PRICEEACH]]</f>
        <v>3400</v>
      </c>
    </row>
    <row r="1131" spans="1:26" hidden="1" x14ac:dyDescent="0.35">
      <c r="A1131">
        <v>10290</v>
      </c>
      <c r="B1131">
        <v>26</v>
      </c>
      <c r="C1131" s="3">
        <v>96.23</v>
      </c>
      <c r="D1131">
        <v>2</v>
      </c>
      <c r="E1131" s="3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 s="3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  <c r="Z1131" s="3">
        <f>Table1[[#This Row],[QUANTITYORDERED]]*Table1[[#This Row],[PRICEEACH]]</f>
        <v>2501.98</v>
      </c>
    </row>
    <row r="1132" spans="1:26" hidden="1" x14ac:dyDescent="0.35">
      <c r="A1132">
        <v>10304</v>
      </c>
      <c r="B1132">
        <v>38</v>
      </c>
      <c r="C1132" s="3">
        <v>100</v>
      </c>
      <c r="D1132">
        <v>11</v>
      </c>
      <c r="E1132" s="3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 s="3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  <c r="Z1132" s="3">
        <f>Table1[[#This Row],[QUANTITYORDERED]]*Table1[[#This Row],[PRICEEACH]]</f>
        <v>3800</v>
      </c>
    </row>
    <row r="1133" spans="1:26" hidden="1" x14ac:dyDescent="0.35">
      <c r="A1133">
        <v>10312</v>
      </c>
      <c r="B1133">
        <v>33</v>
      </c>
      <c r="C1133" s="3">
        <v>100</v>
      </c>
      <c r="D1133">
        <v>8</v>
      </c>
      <c r="E1133" s="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 s="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  <c r="Z1133" s="3">
        <f>Table1[[#This Row],[QUANTITYORDERED]]*Table1[[#This Row],[PRICEEACH]]</f>
        <v>3300</v>
      </c>
    </row>
    <row r="1134" spans="1:26" hidden="1" x14ac:dyDescent="0.35">
      <c r="A1134">
        <v>10323</v>
      </c>
      <c r="B1134">
        <v>33</v>
      </c>
      <c r="C1134" s="3">
        <v>91.27</v>
      </c>
      <c r="D1134">
        <v>2</v>
      </c>
      <c r="E1134" s="3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 s="3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  <c r="Z1134" s="3">
        <f>Table1[[#This Row],[QUANTITYORDERED]]*Table1[[#This Row],[PRICEEACH]]</f>
        <v>3011.91</v>
      </c>
    </row>
    <row r="1135" spans="1:26" hidden="1" x14ac:dyDescent="0.35">
      <c r="A1135">
        <v>10333</v>
      </c>
      <c r="B1135">
        <v>46</v>
      </c>
      <c r="C1135" s="3">
        <v>100</v>
      </c>
      <c r="D1135">
        <v>2</v>
      </c>
      <c r="E1135" s="3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 s="3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  <c r="Z1135" s="3">
        <f>Table1[[#This Row],[QUANTITYORDERED]]*Table1[[#This Row],[PRICEEACH]]</f>
        <v>4600</v>
      </c>
    </row>
    <row r="1136" spans="1:26" hidden="1" x14ac:dyDescent="0.35">
      <c r="A1136">
        <v>10347</v>
      </c>
      <c r="B1136">
        <v>26</v>
      </c>
      <c r="C1136" s="3">
        <v>100</v>
      </c>
      <c r="D1136">
        <v>12</v>
      </c>
      <c r="E1136" s="3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 s="3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  <c r="Z1136" s="3">
        <f>Table1[[#This Row],[QUANTITYORDERED]]*Table1[[#This Row],[PRICEEACH]]</f>
        <v>2600</v>
      </c>
    </row>
    <row r="1137" spans="1:26" hidden="1" x14ac:dyDescent="0.35">
      <c r="A1137">
        <v>10357</v>
      </c>
      <c r="B1137">
        <v>25</v>
      </c>
      <c r="C1137" s="3">
        <v>100</v>
      </c>
      <c r="D1137">
        <v>3</v>
      </c>
      <c r="E1137" s="3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 s="3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  <c r="Z1137" s="3">
        <f>Table1[[#This Row],[QUANTITYORDERED]]*Table1[[#This Row],[PRICEEACH]]</f>
        <v>2500</v>
      </c>
    </row>
    <row r="1138" spans="1:26" hidden="1" x14ac:dyDescent="0.35">
      <c r="A1138">
        <v>10369</v>
      </c>
      <c r="B1138">
        <v>45</v>
      </c>
      <c r="C1138" s="3">
        <v>73.08</v>
      </c>
      <c r="D1138">
        <v>4</v>
      </c>
      <c r="E1138" s="3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 s="3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  <c r="Z1138" s="3">
        <f>Table1[[#This Row],[QUANTITYORDERED]]*Table1[[#This Row],[PRICEEACH]]</f>
        <v>3288.6</v>
      </c>
    </row>
    <row r="1139" spans="1:26" hidden="1" x14ac:dyDescent="0.35">
      <c r="A1139">
        <v>10382</v>
      </c>
      <c r="B1139">
        <v>50</v>
      </c>
      <c r="C1139" s="3">
        <v>100</v>
      </c>
      <c r="D1139">
        <v>7</v>
      </c>
      <c r="E1139" s="3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 s="3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  <c r="Z1139" s="3">
        <f>Table1[[#This Row],[QUANTITYORDERED]]*Table1[[#This Row],[PRICEEACH]]</f>
        <v>5000</v>
      </c>
    </row>
    <row r="1140" spans="1:26" hidden="1" x14ac:dyDescent="0.35">
      <c r="A1140">
        <v>10392</v>
      </c>
      <c r="B1140">
        <v>36</v>
      </c>
      <c r="C1140" s="3">
        <v>100</v>
      </c>
      <c r="D1140">
        <v>1</v>
      </c>
      <c r="E1140" s="3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 s="3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  <c r="Z1140" s="3">
        <f>Table1[[#This Row],[QUANTITYORDERED]]*Table1[[#This Row],[PRICEEACH]]</f>
        <v>3600</v>
      </c>
    </row>
    <row r="1141" spans="1:26" hidden="1" x14ac:dyDescent="0.35">
      <c r="A1141">
        <v>10423</v>
      </c>
      <c r="B1141">
        <v>21</v>
      </c>
      <c r="C1141" s="3">
        <v>89.29</v>
      </c>
      <c r="D1141">
        <v>5</v>
      </c>
      <c r="E1141" s="3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 s="3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  <c r="Z1141" s="3">
        <f>Table1[[#This Row],[QUANTITYORDERED]]*Table1[[#This Row],[PRICEEACH]]</f>
        <v>1875.0900000000001</v>
      </c>
    </row>
    <row r="1142" spans="1:26" x14ac:dyDescent="0.35">
      <c r="A1142">
        <v>10108</v>
      </c>
      <c r="B1142">
        <v>29</v>
      </c>
      <c r="C1142" s="3">
        <v>100</v>
      </c>
      <c r="D1142">
        <v>8</v>
      </c>
      <c r="E1142" s="3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 s="3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  <c r="Z1142" s="3">
        <f>Table1[[#This Row],[QUANTITYORDERED]]*Table1[[#This Row],[PRICEEACH]]</f>
        <v>2900</v>
      </c>
    </row>
    <row r="1143" spans="1:26" x14ac:dyDescent="0.35">
      <c r="A1143">
        <v>10122</v>
      </c>
      <c r="B1143">
        <v>21</v>
      </c>
      <c r="C1143" s="3">
        <v>100</v>
      </c>
      <c r="D1143">
        <v>12</v>
      </c>
      <c r="E1143" s="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 s="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  <c r="Z1143" s="3">
        <f>Table1[[#This Row],[QUANTITYORDERED]]*Table1[[#This Row],[PRICEEACH]]</f>
        <v>2100</v>
      </c>
    </row>
    <row r="1144" spans="1:26" x14ac:dyDescent="0.35">
      <c r="A1144">
        <v>10135</v>
      </c>
      <c r="B1144">
        <v>42</v>
      </c>
      <c r="C1144" s="3">
        <v>100</v>
      </c>
      <c r="D1144">
        <v>9</v>
      </c>
      <c r="E1144" s="3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 s="3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  <c r="Z1144" s="3">
        <f>Table1[[#This Row],[QUANTITYORDERED]]*Table1[[#This Row],[PRICEEACH]]</f>
        <v>4200</v>
      </c>
    </row>
    <row r="1145" spans="1:26" x14ac:dyDescent="0.35">
      <c r="A1145">
        <v>10147</v>
      </c>
      <c r="B1145">
        <v>37</v>
      </c>
      <c r="C1145" s="3">
        <v>100</v>
      </c>
      <c r="D1145">
        <v>9</v>
      </c>
      <c r="E1145" s="3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 s="3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  <c r="Z1145" s="3">
        <f>Table1[[#This Row],[QUANTITYORDERED]]*Table1[[#This Row],[PRICEEACH]]</f>
        <v>3700</v>
      </c>
    </row>
    <row r="1146" spans="1:26" x14ac:dyDescent="0.35">
      <c r="A1146">
        <v>10159</v>
      </c>
      <c r="B1146">
        <v>25</v>
      </c>
      <c r="C1146" s="3">
        <v>100</v>
      </c>
      <c r="D1146">
        <v>4</v>
      </c>
      <c r="E1146" s="3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 s="3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  <c r="Z1146" s="3">
        <f>Table1[[#This Row],[QUANTITYORDERED]]*Table1[[#This Row],[PRICEEACH]]</f>
        <v>2500</v>
      </c>
    </row>
    <row r="1147" spans="1:26" x14ac:dyDescent="0.35">
      <c r="A1147">
        <v>10169</v>
      </c>
      <c r="B1147">
        <v>36</v>
      </c>
      <c r="C1147" s="3">
        <v>100</v>
      </c>
      <c r="D1147">
        <v>4</v>
      </c>
      <c r="E1147" s="3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 s="3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  <c r="Z1147" s="3">
        <f>Table1[[#This Row],[QUANTITYORDERED]]*Table1[[#This Row],[PRICEEACH]]</f>
        <v>3600</v>
      </c>
    </row>
    <row r="1148" spans="1:26" x14ac:dyDescent="0.35">
      <c r="A1148">
        <v>10181</v>
      </c>
      <c r="B1148">
        <v>22</v>
      </c>
      <c r="C1148" s="3">
        <v>100</v>
      </c>
      <c r="D1148">
        <v>16</v>
      </c>
      <c r="E1148" s="3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 s="3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  <c r="Z1148" s="3">
        <f>Table1[[#This Row],[QUANTITYORDERED]]*Table1[[#This Row],[PRICEEACH]]</f>
        <v>2200</v>
      </c>
    </row>
    <row r="1149" spans="1:26" x14ac:dyDescent="0.35">
      <c r="A1149">
        <v>10191</v>
      </c>
      <c r="B1149">
        <v>23</v>
      </c>
      <c r="C1149" s="3">
        <v>100</v>
      </c>
      <c r="D1149">
        <v>5</v>
      </c>
      <c r="E1149" s="3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 s="3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  <c r="Z1149" s="3">
        <f>Table1[[#This Row],[QUANTITYORDERED]]*Table1[[#This Row],[PRICEEACH]]</f>
        <v>2300</v>
      </c>
    </row>
    <row r="1150" spans="1:26" x14ac:dyDescent="0.35">
      <c r="A1150">
        <v>10203</v>
      </c>
      <c r="B1150">
        <v>32</v>
      </c>
      <c r="C1150" s="3">
        <v>100</v>
      </c>
      <c r="D1150">
        <v>10</v>
      </c>
      <c r="E1150" s="3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 s="3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  <c r="Z1150" s="3">
        <f>Table1[[#This Row],[QUANTITYORDERED]]*Table1[[#This Row],[PRICEEACH]]</f>
        <v>3200</v>
      </c>
    </row>
    <row r="1151" spans="1:26" x14ac:dyDescent="0.35">
      <c r="A1151">
        <v>10211</v>
      </c>
      <c r="B1151">
        <v>28</v>
      </c>
      <c r="C1151" s="3">
        <v>100</v>
      </c>
      <c r="D1151">
        <v>4</v>
      </c>
      <c r="E1151" s="3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 s="3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  <c r="Z1151" s="3">
        <f>Table1[[#This Row],[QUANTITYORDERED]]*Table1[[#This Row],[PRICEEACH]]</f>
        <v>2800</v>
      </c>
    </row>
    <row r="1152" spans="1:26" x14ac:dyDescent="0.35">
      <c r="A1152">
        <v>10225</v>
      </c>
      <c r="B1152">
        <v>27</v>
      </c>
      <c r="C1152" s="3">
        <v>100</v>
      </c>
      <c r="D1152">
        <v>11</v>
      </c>
      <c r="E1152" s="3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 s="3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  <c r="Z1152" s="3">
        <f>Table1[[#This Row],[QUANTITYORDERED]]*Table1[[#This Row],[PRICEEACH]]</f>
        <v>2700</v>
      </c>
    </row>
    <row r="1153" spans="1:26" x14ac:dyDescent="0.35">
      <c r="A1153">
        <v>10238</v>
      </c>
      <c r="B1153">
        <v>49</v>
      </c>
      <c r="C1153" s="3">
        <v>100</v>
      </c>
      <c r="D1153">
        <v>5</v>
      </c>
      <c r="E1153" s="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 s="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  <c r="Z1153" s="3">
        <f>Table1[[#This Row],[QUANTITYORDERED]]*Table1[[#This Row],[PRICEEACH]]</f>
        <v>4900</v>
      </c>
    </row>
    <row r="1154" spans="1:26" x14ac:dyDescent="0.35">
      <c r="A1154">
        <v>10252</v>
      </c>
      <c r="B1154">
        <v>41</v>
      </c>
      <c r="C1154" s="3">
        <v>100</v>
      </c>
      <c r="D1154">
        <v>1</v>
      </c>
      <c r="E1154" s="3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 s="3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  <c r="Z1154" s="3">
        <f>Table1[[#This Row],[QUANTITYORDERED]]*Table1[[#This Row],[PRICEEACH]]</f>
        <v>4100</v>
      </c>
    </row>
    <row r="1155" spans="1:26" x14ac:dyDescent="0.35">
      <c r="A1155">
        <v>10265</v>
      </c>
      <c r="B1155">
        <v>49</v>
      </c>
      <c r="C1155" s="3">
        <v>100</v>
      </c>
      <c r="D1155">
        <v>1</v>
      </c>
      <c r="E1155" s="3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 s="3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  <c r="Z1155" s="3">
        <f>Table1[[#This Row],[QUANTITYORDERED]]*Table1[[#This Row],[PRICEEACH]]</f>
        <v>4900</v>
      </c>
    </row>
    <row r="1156" spans="1:26" x14ac:dyDescent="0.35">
      <c r="A1156">
        <v>10276</v>
      </c>
      <c r="B1156">
        <v>30</v>
      </c>
      <c r="C1156" s="3">
        <v>100</v>
      </c>
      <c r="D1156">
        <v>5</v>
      </c>
      <c r="E1156" s="3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 s="3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  <c r="Z1156" s="3">
        <f>Table1[[#This Row],[QUANTITYORDERED]]*Table1[[#This Row],[PRICEEACH]]</f>
        <v>3000</v>
      </c>
    </row>
    <row r="1157" spans="1:26" x14ac:dyDescent="0.35">
      <c r="A1157">
        <v>10287</v>
      </c>
      <c r="B1157">
        <v>40</v>
      </c>
      <c r="C1157" s="3">
        <v>100</v>
      </c>
      <c r="D1157">
        <v>14</v>
      </c>
      <c r="E1157" s="3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 s="3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  <c r="Z1157" s="3">
        <f>Table1[[#This Row],[QUANTITYORDERED]]*Table1[[#This Row],[PRICEEACH]]</f>
        <v>4000</v>
      </c>
    </row>
    <row r="1158" spans="1:26" x14ac:dyDescent="0.35">
      <c r="A1158">
        <v>10300</v>
      </c>
      <c r="B1158">
        <v>23</v>
      </c>
      <c r="C1158" s="3">
        <v>100</v>
      </c>
      <c r="D1158">
        <v>7</v>
      </c>
      <c r="E1158" s="3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 s="3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  <c r="Z1158" s="3">
        <f>Table1[[#This Row],[QUANTITYORDERED]]*Table1[[#This Row],[PRICEEACH]]</f>
        <v>2300</v>
      </c>
    </row>
    <row r="1159" spans="1:26" x14ac:dyDescent="0.35">
      <c r="A1159">
        <v>10310</v>
      </c>
      <c r="B1159">
        <v>49</v>
      </c>
      <c r="C1159" s="3">
        <v>100</v>
      </c>
      <c r="D1159">
        <v>12</v>
      </c>
      <c r="E1159" s="3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 s="3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  <c r="Z1159" s="3">
        <f>Table1[[#This Row],[QUANTITYORDERED]]*Table1[[#This Row],[PRICEEACH]]</f>
        <v>4900</v>
      </c>
    </row>
    <row r="1160" spans="1:26" x14ac:dyDescent="0.35">
      <c r="A1160">
        <v>10320</v>
      </c>
      <c r="B1160">
        <v>25</v>
      </c>
      <c r="C1160" s="3">
        <v>100</v>
      </c>
      <c r="D1160">
        <v>5</v>
      </c>
      <c r="E1160" s="3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 s="3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  <c r="Z1160" s="3">
        <f>Table1[[#This Row],[QUANTITYORDERED]]*Table1[[#This Row],[PRICEEACH]]</f>
        <v>2500</v>
      </c>
    </row>
    <row r="1161" spans="1:26" x14ac:dyDescent="0.35">
      <c r="A1161">
        <v>10330</v>
      </c>
      <c r="B1161">
        <v>37</v>
      </c>
      <c r="C1161" s="3">
        <v>100</v>
      </c>
      <c r="D1161">
        <v>3</v>
      </c>
      <c r="E1161" s="3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 s="3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  <c r="Z1161" s="3">
        <f>Table1[[#This Row],[QUANTITYORDERED]]*Table1[[#This Row],[PRICEEACH]]</f>
        <v>3700</v>
      </c>
    </row>
    <row r="1162" spans="1:26" x14ac:dyDescent="0.35">
      <c r="A1162">
        <v>10342</v>
      </c>
      <c r="B1162">
        <v>55</v>
      </c>
      <c r="C1162" s="3">
        <v>100</v>
      </c>
      <c r="D1162">
        <v>7</v>
      </c>
      <c r="E1162" s="3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 s="3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  <c r="Z1162" s="3">
        <f>Table1[[#This Row],[QUANTITYORDERED]]*Table1[[#This Row],[PRICEEACH]]</f>
        <v>5500</v>
      </c>
    </row>
    <row r="1163" spans="1:26" x14ac:dyDescent="0.35">
      <c r="A1163">
        <v>10355</v>
      </c>
      <c r="B1163">
        <v>23</v>
      </c>
      <c r="C1163" s="3">
        <v>100</v>
      </c>
      <c r="D1163">
        <v>7</v>
      </c>
      <c r="E1163" s="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 s="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  <c r="Z1163" s="3">
        <f>Table1[[#This Row],[QUANTITYORDERED]]*Table1[[#This Row],[PRICEEACH]]</f>
        <v>2300</v>
      </c>
    </row>
    <row r="1164" spans="1:26" x14ac:dyDescent="0.35">
      <c r="A1164">
        <v>10363</v>
      </c>
      <c r="B1164">
        <v>24</v>
      </c>
      <c r="C1164" s="3">
        <v>100</v>
      </c>
      <c r="D1164">
        <v>11</v>
      </c>
      <c r="E1164" s="3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 s="3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  <c r="Z1164" s="3">
        <f>Table1[[#This Row],[QUANTITYORDERED]]*Table1[[#This Row],[PRICEEACH]]</f>
        <v>2400</v>
      </c>
    </row>
    <row r="1165" spans="1:26" x14ac:dyDescent="0.35">
      <c r="A1165">
        <v>10378</v>
      </c>
      <c r="B1165">
        <v>43</v>
      </c>
      <c r="C1165" s="3">
        <v>96.49</v>
      </c>
      <c r="D1165">
        <v>10</v>
      </c>
      <c r="E1165" s="3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 s="3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  <c r="Z1165" s="3">
        <f>Table1[[#This Row],[QUANTITYORDERED]]*Table1[[#This Row],[PRICEEACH]]</f>
        <v>4149.07</v>
      </c>
    </row>
    <row r="1166" spans="1:26" x14ac:dyDescent="0.35">
      <c r="A1166">
        <v>10390</v>
      </c>
      <c r="B1166">
        <v>50</v>
      </c>
      <c r="C1166" s="3">
        <v>100</v>
      </c>
      <c r="D1166">
        <v>1</v>
      </c>
      <c r="E1166" s="3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 s="3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  <c r="Z1166" s="3">
        <f>Table1[[#This Row],[QUANTITYORDERED]]*Table1[[#This Row],[PRICEEACH]]</f>
        <v>5000</v>
      </c>
    </row>
    <row r="1167" spans="1:26" x14ac:dyDescent="0.35">
      <c r="A1167">
        <v>10109</v>
      </c>
      <c r="B1167">
        <v>47</v>
      </c>
      <c r="C1167" s="3">
        <v>100</v>
      </c>
      <c r="D1167">
        <v>2</v>
      </c>
      <c r="E1167" s="3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 s="3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  <c r="Z1167" s="3">
        <f>Table1[[#This Row],[QUANTITYORDERED]]*Table1[[#This Row],[PRICEEACH]]</f>
        <v>4700</v>
      </c>
    </row>
    <row r="1168" spans="1:26" x14ac:dyDescent="0.35">
      <c r="A1168">
        <v>10123</v>
      </c>
      <c r="B1168">
        <v>34</v>
      </c>
      <c r="C1168" s="3">
        <v>100</v>
      </c>
      <c r="D1168">
        <v>4</v>
      </c>
      <c r="E1168" s="3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 s="3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  <c r="Z1168" s="3">
        <f>Table1[[#This Row],[QUANTITYORDERED]]*Table1[[#This Row],[PRICEEACH]]</f>
        <v>3400</v>
      </c>
    </row>
    <row r="1169" spans="1:26" x14ac:dyDescent="0.35">
      <c r="A1169">
        <v>10137</v>
      </c>
      <c r="B1169">
        <v>31</v>
      </c>
      <c r="C1169" s="3">
        <v>100</v>
      </c>
      <c r="D1169">
        <v>4</v>
      </c>
      <c r="E1169" s="3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 s="3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  <c r="Z1169" s="3">
        <f>Table1[[#This Row],[QUANTITYORDERED]]*Table1[[#This Row],[PRICEEACH]]</f>
        <v>3100</v>
      </c>
    </row>
    <row r="1170" spans="1:26" x14ac:dyDescent="0.35">
      <c r="A1170">
        <v>10148</v>
      </c>
      <c r="B1170">
        <v>28</v>
      </c>
      <c r="C1170" s="3">
        <v>100</v>
      </c>
      <c r="D1170">
        <v>11</v>
      </c>
      <c r="E1170" s="3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 s="3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  <c r="Z1170" s="3">
        <f>Table1[[#This Row],[QUANTITYORDERED]]*Table1[[#This Row],[PRICEEACH]]</f>
        <v>2800</v>
      </c>
    </row>
    <row r="1171" spans="1:26" x14ac:dyDescent="0.35">
      <c r="A1171">
        <v>10161</v>
      </c>
      <c r="B1171">
        <v>36</v>
      </c>
      <c r="C1171" s="3">
        <v>100</v>
      </c>
      <c r="D1171">
        <v>10</v>
      </c>
      <c r="E1171" s="3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 s="3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  <c r="Z1171" s="3">
        <f>Table1[[#This Row],[QUANTITYORDERED]]*Table1[[#This Row],[PRICEEACH]]</f>
        <v>3600</v>
      </c>
    </row>
    <row r="1172" spans="1:26" x14ac:dyDescent="0.35">
      <c r="A1172">
        <v>10172</v>
      </c>
      <c r="B1172">
        <v>48</v>
      </c>
      <c r="C1172" s="3">
        <v>100</v>
      </c>
      <c r="D1172">
        <v>8</v>
      </c>
      <c r="E1172" s="3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 s="3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  <c r="Z1172" s="3">
        <f>Table1[[#This Row],[QUANTITYORDERED]]*Table1[[#This Row],[PRICEEACH]]</f>
        <v>4800</v>
      </c>
    </row>
    <row r="1173" spans="1:26" x14ac:dyDescent="0.35">
      <c r="A1173">
        <v>10181</v>
      </c>
      <c r="B1173">
        <v>39</v>
      </c>
      <c r="C1173" s="3">
        <v>100</v>
      </c>
      <c r="D1173">
        <v>4</v>
      </c>
      <c r="E1173" s="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 s="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  <c r="Z1173" s="3">
        <f>Table1[[#This Row],[QUANTITYORDERED]]*Table1[[#This Row],[PRICEEACH]]</f>
        <v>3900</v>
      </c>
    </row>
    <row r="1174" spans="1:26" x14ac:dyDescent="0.35">
      <c r="A1174">
        <v>10192</v>
      </c>
      <c r="B1174">
        <v>45</v>
      </c>
      <c r="C1174" s="3">
        <v>100</v>
      </c>
      <c r="D1174">
        <v>9</v>
      </c>
      <c r="E1174" s="3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 s="3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  <c r="Z1174" s="3">
        <f>Table1[[#This Row],[QUANTITYORDERED]]*Table1[[#This Row],[PRICEEACH]]</f>
        <v>4500</v>
      </c>
    </row>
    <row r="1175" spans="1:26" x14ac:dyDescent="0.35">
      <c r="A1175">
        <v>10204</v>
      </c>
      <c r="B1175">
        <v>35</v>
      </c>
      <c r="C1175" s="3">
        <v>100</v>
      </c>
      <c r="D1175">
        <v>15</v>
      </c>
      <c r="E1175" s="3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 s="3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  <c r="Z1175" s="3">
        <f>Table1[[#This Row],[QUANTITYORDERED]]*Table1[[#This Row],[PRICEEACH]]</f>
        <v>3500</v>
      </c>
    </row>
    <row r="1176" spans="1:26" x14ac:dyDescent="0.35">
      <c r="A1176">
        <v>10212</v>
      </c>
      <c r="B1176">
        <v>45</v>
      </c>
      <c r="C1176" s="3">
        <v>100</v>
      </c>
      <c r="D1176">
        <v>8</v>
      </c>
      <c r="E1176" s="3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 s="3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  <c r="Z1176" s="3">
        <f>Table1[[#This Row],[QUANTITYORDERED]]*Table1[[#This Row],[PRICEEACH]]</f>
        <v>4500</v>
      </c>
    </row>
    <row r="1177" spans="1:26" x14ac:dyDescent="0.35">
      <c r="A1177">
        <v>10226</v>
      </c>
      <c r="B1177">
        <v>46</v>
      </c>
      <c r="C1177" s="3">
        <v>100</v>
      </c>
      <c r="D1177">
        <v>6</v>
      </c>
      <c r="E1177" s="3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 s="3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  <c r="Z1177" s="3">
        <f>Table1[[#This Row],[QUANTITYORDERED]]*Table1[[#This Row],[PRICEEACH]]</f>
        <v>4600</v>
      </c>
    </row>
    <row r="1178" spans="1:26" x14ac:dyDescent="0.35">
      <c r="A1178">
        <v>10240</v>
      </c>
      <c r="B1178">
        <v>37</v>
      </c>
      <c r="C1178" s="3">
        <v>100</v>
      </c>
      <c r="D1178">
        <v>1</v>
      </c>
      <c r="E1178" s="3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 s="3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  <c r="Z1178" s="3">
        <f>Table1[[#This Row],[QUANTITYORDERED]]*Table1[[#This Row],[PRICEEACH]]</f>
        <v>3700</v>
      </c>
    </row>
    <row r="1179" spans="1:26" x14ac:dyDescent="0.35">
      <c r="A1179">
        <v>10253</v>
      </c>
      <c r="B1179">
        <v>31</v>
      </c>
      <c r="C1179" s="3">
        <v>100</v>
      </c>
      <c r="D1179">
        <v>3</v>
      </c>
      <c r="E1179" s="3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 s="3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  <c r="Z1179" s="3">
        <f>Table1[[#This Row],[QUANTITYORDERED]]*Table1[[#This Row],[PRICEEACH]]</f>
        <v>3100</v>
      </c>
    </row>
    <row r="1180" spans="1:26" x14ac:dyDescent="0.35">
      <c r="A1180">
        <v>10266</v>
      </c>
      <c r="B1180">
        <v>33</v>
      </c>
      <c r="C1180" s="3">
        <v>100</v>
      </c>
      <c r="D1180">
        <v>4</v>
      </c>
      <c r="E1180" s="3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 s="3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  <c r="Z1180" s="3">
        <f>Table1[[#This Row],[QUANTITYORDERED]]*Table1[[#This Row],[PRICEEACH]]</f>
        <v>3300</v>
      </c>
    </row>
    <row r="1181" spans="1:26" x14ac:dyDescent="0.35">
      <c r="A1181">
        <v>10278</v>
      </c>
      <c r="B1181">
        <v>31</v>
      </c>
      <c r="C1181" s="3">
        <v>100</v>
      </c>
      <c r="D1181">
        <v>4</v>
      </c>
      <c r="E1181" s="3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 s="3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  <c r="Z1181" s="3">
        <f>Table1[[#This Row],[QUANTITYORDERED]]*Table1[[#This Row],[PRICEEACH]]</f>
        <v>3100</v>
      </c>
    </row>
    <row r="1182" spans="1:26" x14ac:dyDescent="0.35">
      <c r="A1182">
        <v>10287</v>
      </c>
      <c r="B1182">
        <v>27</v>
      </c>
      <c r="C1182" s="3">
        <v>100</v>
      </c>
      <c r="D1182">
        <v>2</v>
      </c>
      <c r="E1182" s="3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 s="3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  <c r="Z1182" s="3">
        <f>Table1[[#This Row],[QUANTITYORDERED]]*Table1[[#This Row],[PRICEEACH]]</f>
        <v>2700</v>
      </c>
    </row>
    <row r="1183" spans="1:26" x14ac:dyDescent="0.35">
      <c r="A1183">
        <v>10301</v>
      </c>
      <c r="B1183">
        <v>39</v>
      </c>
      <c r="C1183" s="3">
        <v>100</v>
      </c>
      <c r="D1183">
        <v>6</v>
      </c>
      <c r="E1183" s="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 s="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  <c r="Z1183" s="3">
        <f>Table1[[#This Row],[QUANTITYORDERED]]*Table1[[#This Row],[PRICEEACH]]</f>
        <v>3900</v>
      </c>
    </row>
    <row r="1184" spans="1:26" x14ac:dyDescent="0.35">
      <c r="A1184">
        <v>10311</v>
      </c>
      <c r="B1184">
        <v>32</v>
      </c>
      <c r="C1184" s="3">
        <v>100</v>
      </c>
      <c r="D1184">
        <v>11</v>
      </c>
      <c r="E1184" s="3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 s="3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  <c r="Z1184" s="3">
        <f>Table1[[#This Row],[QUANTITYORDERED]]*Table1[[#This Row],[PRICEEACH]]</f>
        <v>3200</v>
      </c>
    </row>
    <row r="1185" spans="1:26" x14ac:dyDescent="0.35">
      <c r="A1185">
        <v>10321</v>
      </c>
      <c r="B1185">
        <v>28</v>
      </c>
      <c r="C1185" s="3">
        <v>100</v>
      </c>
      <c r="D1185">
        <v>8</v>
      </c>
      <c r="E1185" s="3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 s="3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  <c r="Z1185" s="3">
        <f>Table1[[#This Row],[QUANTITYORDERED]]*Table1[[#This Row],[PRICEEACH]]</f>
        <v>2800</v>
      </c>
    </row>
    <row r="1186" spans="1:26" x14ac:dyDescent="0.35">
      <c r="A1186">
        <v>10331</v>
      </c>
      <c r="B1186">
        <v>26</v>
      </c>
      <c r="C1186" s="3">
        <v>67.91</v>
      </c>
      <c r="D1186">
        <v>12</v>
      </c>
      <c r="E1186" s="3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 s="3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  <c r="Z1186" s="3">
        <f>Table1[[#This Row],[QUANTITYORDERED]]*Table1[[#This Row],[PRICEEACH]]</f>
        <v>1765.6599999999999</v>
      </c>
    </row>
    <row r="1187" spans="1:26" x14ac:dyDescent="0.35">
      <c r="A1187">
        <v>10343</v>
      </c>
      <c r="B1187">
        <v>44</v>
      </c>
      <c r="C1187" s="3">
        <v>84.88</v>
      </c>
      <c r="D1187">
        <v>2</v>
      </c>
      <c r="E1187" s="3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 s="3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  <c r="Z1187" s="3">
        <f>Table1[[#This Row],[QUANTITYORDERED]]*Table1[[#This Row],[PRICEEACH]]</f>
        <v>3734.72</v>
      </c>
    </row>
    <row r="1188" spans="1:26" x14ac:dyDescent="0.35">
      <c r="A1188">
        <v>10367</v>
      </c>
      <c r="B1188">
        <v>46</v>
      </c>
      <c r="C1188" s="3">
        <v>100</v>
      </c>
      <c r="D1188">
        <v>6</v>
      </c>
      <c r="E1188" s="3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 s="3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  <c r="Z1188" s="3">
        <f>Table1[[#This Row],[QUANTITYORDERED]]*Table1[[#This Row],[PRICEEACH]]</f>
        <v>4600</v>
      </c>
    </row>
    <row r="1189" spans="1:26" x14ac:dyDescent="0.35">
      <c r="A1189">
        <v>10379</v>
      </c>
      <c r="B1189">
        <v>32</v>
      </c>
      <c r="C1189" s="3">
        <v>70.83</v>
      </c>
      <c r="D1189">
        <v>4</v>
      </c>
      <c r="E1189" s="3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 s="3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  <c r="Z1189" s="3">
        <f>Table1[[#This Row],[QUANTITYORDERED]]*Table1[[#This Row],[PRICEEACH]]</f>
        <v>2266.56</v>
      </c>
    </row>
    <row r="1190" spans="1:26" x14ac:dyDescent="0.35">
      <c r="A1190">
        <v>10406</v>
      </c>
      <c r="B1190">
        <v>65</v>
      </c>
      <c r="C1190" s="3">
        <v>100</v>
      </c>
      <c r="D1190">
        <v>1</v>
      </c>
      <c r="E1190" s="3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 s="3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  <c r="Z1190" s="3">
        <f>Table1[[#This Row],[QUANTITYORDERED]]*Table1[[#This Row],[PRICEEACH]]</f>
        <v>6500</v>
      </c>
    </row>
    <row r="1191" spans="1:26" x14ac:dyDescent="0.35">
      <c r="A1191">
        <v>10419</v>
      </c>
      <c r="B1191">
        <v>43</v>
      </c>
      <c r="C1191" s="3">
        <v>100</v>
      </c>
      <c r="D1191">
        <v>3</v>
      </c>
      <c r="E1191" s="3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 s="3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  <c r="Z1191" s="3">
        <f>Table1[[#This Row],[QUANTITYORDERED]]*Table1[[#This Row],[PRICEEACH]]</f>
        <v>4300</v>
      </c>
    </row>
    <row r="1192" spans="1:26" hidden="1" x14ac:dyDescent="0.35">
      <c r="A1192">
        <v>10108</v>
      </c>
      <c r="B1192">
        <v>43</v>
      </c>
      <c r="C1192" s="3">
        <v>67.77</v>
      </c>
      <c r="D1192">
        <v>12</v>
      </c>
      <c r="E1192" s="3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 s="3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  <c r="Z1192" s="3">
        <f>Table1[[#This Row],[QUANTITYORDERED]]*Table1[[#This Row],[PRICEEACH]]</f>
        <v>2914.1099999999997</v>
      </c>
    </row>
    <row r="1193" spans="1:26" hidden="1" x14ac:dyDescent="0.35">
      <c r="A1193">
        <v>10122</v>
      </c>
      <c r="B1193">
        <v>35</v>
      </c>
      <c r="C1193" s="3">
        <v>49.74</v>
      </c>
      <c r="D1193">
        <v>16</v>
      </c>
      <c r="E1193" s="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 s="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  <c r="Z1193" s="3">
        <f>Table1[[#This Row],[QUANTITYORDERED]]*Table1[[#This Row],[PRICEEACH]]</f>
        <v>1740.9</v>
      </c>
    </row>
    <row r="1194" spans="1:26" hidden="1" x14ac:dyDescent="0.35">
      <c r="A1194">
        <v>10135</v>
      </c>
      <c r="B1194">
        <v>45</v>
      </c>
      <c r="C1194" s="3">
        <v>50.36</v>
      </c>
      <c r="D1194">
        <v>13</v>
      </c>
      <c r="E1194" s="3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 s="3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  <c r="Z1194" s="3">
        <f>Table1[[#This Row],[QUANTITYORDERED]]*Table1[[#This Row],[PRICEEACH]]</f>
        <v>2266.1999999999998</v>
      </c>
    </row>
    <row r="1195" spans="1:26" hidden="1" x14ac:dyDescent="0.35">
      <c r="A1195">
        <v>10146</v>
      </c>
      <c r="B1195">
        <v>47</v>
      </c>
      <c r="C1195" s="3">
        <v>67.14</v>
      </c>
      <c r="D1195">
        <v>2</v>
      </c>
      <c r="E1195" s="3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 s="3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  <c r="Z1195" s="3">
        <f>Table1[[#This Row],[QUANTITYORDERED]]*Table1[[#This Row],[PRICEEACH]]</f>
        <v>3155.58</v>
      </c>
    </row>
    <row r="1196" spans="1:26" hidden="1" x14ac:dyDescent="0.35">
      <c r="A1196">
        <v>10159</v>
      </c>
      <c r="B1196">
        <v>21</v>
      </c>
      <c r="C1196" s="3">
        <v>64.66</v>
      </c>
      <c r="D1196">
        <v>8</v>
      </c>
      <c r="E1196" s="3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 s="3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  <c r="Z1196" s="3">
        <f>Table1[[#This Row],[QUANTITYORDERED]]*Table1[[#This Row],[PRICEEACH]]</f>
        <v>1357.86</v>
      </c>
    </row>
    <row r="1197" spans="1:26" hidden="1" x14ac:dyDescent="0.35">
      <c r="A1197">
        <v>10169</v>
      </c>
      <c r="B1197">
        <v>38</v>
      </c>
      <c r="C1197" s="3">
        <v>68.39</v>
      </c>
      <c r="D1197">
        <v>8</v>
      </c>
      <c r="E1197" s="3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 s="3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  <c r="Z1197" s="3">
        <f>Table1[[#This Row],[QUANTITYORDERED]]*Table1[[#This Row],[PRICEEACH]]</f>
        <v>2598.8200000000002</v>
      </c>
    </row>
    <row r="1198" spans="1:26" hidden="1" x14ac:dyDescent="0.35">
      <c r="A1198">
        <v>10180</v>
      </c>
      <c r="B1198">
        <v>21</v>
      </c>
      <c r="C1198" s="3">
        <v>50.36</v>
      </c>
      <c r="D1198">
        <v>3</v>
      </c>
      <c r="E1198" s="3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 s="3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  <c r="Z1198" s="3">
        <f>Table1[[#This Row],[QUANTITYORDERED]]*Table1[[#This Row],[PRICEEACH]]</f>
        <v>1057.56</v>
      </c>
    </row>
    <row r="1199" spans="1:26" hidden="1" x14ac:dyDescent="0.35">
      <c r="A1199">
        <v>10191</v>
      </c>
      <c r="B1199">
        <v>43</v>
      </c>
      <c r="C1199" s="3">
        <v>72.739999999999995</v>
      </c>
      <c r="D1199">
        <v>9</v>
      </c>
      <c r="E1199" s="3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 s="3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  <c r="Z1199" s="3">
        <f>Table1[[#This Row],[QUANTITYORDERED]]*Table1[[#This Row],[PRICEEACH]]</f>
        <v>3127.8199999999997</v>
      </c>
    </row>
    <row r="1200" spans="1:26" hidden="1" x14ac:dyDescent="0.35">
      <c r="A1200">
        <v>10211</v>
      </c>
      <c r="B1200">
        <v>46</v>
      </c>
      <c r="C1200" s="3">
        <v>54.09</v>
      </c>
      <c r="D1200">
        <v>8</v>
      </c>
      <c r="E1200" s="3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 s="3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  <c r="Z1200" s="3">
        <f>Table1[[#This Row],[QUANTITYORDERED]]*Table1[[#This Row],[PRICEEACH]]</f>
        <v>2488.1400000000003</v>
      </c>
    </row>
    <row r="1201" spans="1:26" hidden="1" x14ac:dyDescent="0.35">
      <c r="A1201">
        <v>10224</v>
      </c>
      <c r="B1201">
        <v>38</v>
      </c>
      <c r="C1201" s="3">
        <v>58.44</v>
      </c>
      <c r="D1201">
        <v>1</v>
      </c>
      <c r="E1201" s="3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 s="3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  <c r="Z1201" s="3">
        <f>Table1[[#This Row],[QUANTITYORDERED]]*Table1[[#This Row],[PRICEEACH]]</f>
        <v>2220.7199999999998</v>
      </c>
    </row>
    <row r="1202" spans="1:26" hidden="1" x14ac:dyDescent="0.35">
      <c r="A1202">
        <v>10237</v>
      </c>
      <c r="B1202">
        <v>26</v>
      </c>
      <c r="C1202" s="3">
        <v>52.22</v>
      </c>
      <c r="D1202">
        <v>1</v>
      </c>
      <c r="E1202" s="3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 s="3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  <c r="Z1202" s="3">
        <f>Table1[[#This Row],[QUANTITYORDERED]]*Table1[[#This Row],[PRICEEACH]]</f>
        <v>1357.72</v>
      </c>
    </row>
    <row r="1203" spans="1:26" hidden="1" x14ac:dyDescent="0.35">
      <c r="A1203">
        <v>10252</v>
      </c>
      <c r="B1203">
        <v>31</v>
      </c>
      <c r="C1203" s="3">
        <v>52.84</v>
      </c>
      <c r="D1203">
        <v>5</v>
      </c>
      <c r="E1203" s="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 s="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  <c r="Z1203" s="3">
        <f>Table1[[#This Row],[QUANTITYORDERED]]*Table1[[#This Row],[PRICEEACH]]</f>
        <v>1638.0400000000002</v>
      </c>
    </row>
    <row r="1204" spans="1:26" hidden="1" x14ac:dyDescent="0.35">
      <c r="A1204">
        <v>10264</v>
      </c>
      <c r="B1204">
        <v>48</v>
      </c>
      <c r="C1204" s="3">
        <v>54.71</v>
      </c>
      <c r="D1204">
        <v>3</v>
      </c>
      <c r="E1204" s="3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 s="3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  <c r="Z1204" s="3">
        <f>Table1[[#This Row],[QUANTITYORDERED]]*Table1[[#This Row],[PRICEEACH]]</f>
        <v>2626.08</v>
      </c>
    </row>
    <row r="1205" spans="1:26" hidden="1" x14ac:dyDescent="0.35">
      <c r="A1205">
        <v>10276</v>
      </c>
      <c r="B1205">
        <v>33</v>
      </c>
      <c r="C1205" s="3">
        <v>50.36</v>
      </c>
      <c r="D1205">
        <v>9</v>
      </c>
      <c r="E1205" s="3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 s="3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  <c r="Z1205" s="3">
        <f>Table1[[#This Row],[QUANTITYORDERED]]*Table1[[#This Row],[PRICEEACH]]</f>
        <v>1661.8799999999999</v>
      </c>
    </row>
    <row r="1206" spans="1:26" hidden="1" x14ac:dyDescent="0.35">
      <c r="A1206">
        <v>10286</v>
      </c>
      <c r="B1206">
        <v>38</v>
      </c>
      <c r="C1206" s="3">
        <v>57.2</v>
      </c>
      <c r="D1206">
        <v>1</v>
      </c>
      <c r="E1206" s="3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 s="3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  <c r="Z1206" s="3">
        <f>Table1[[#This Row],[QUANTITYORDERED]]*Table1[[#This Row],[PRICEEACH]]</f>
        <v>2173.6</v>
      </c>
    </row>
    <row r="1207" spans="1:26" hidden="1" x14ac:dyDescent="0.35">
      <c r="A1207">
        <v>10299</v>
      </c>
      <c r="B1207">
        <v>39</v>
      </c>
      <c r="C1207" s="3">
        <v>55.95</v>
      </c>
      <c r="D1207">
        <v>3</v>
      </c>
      <c r="E1207" s="3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 s="3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  <c r="Z1207" s="3">
        <f>Table1[[#This Row],[QUANTITYORDERED]]*Table1[[#This Row],[PRICEEACH]]</f>
        <v>2182.0500000000002</v>
      </c>
    </row>
    <row r="1208" spans="1:26" hidden="1" x14ac:dyDescent="0.35">
      <c r="A1208">
        <v>10310</v>
      </c>
      <c r="B1208">
        <v>42</v>
      </c>
      <c r="C1208" s="3">
        <v>67.14</v>
      </c>
      <c r="D1208">
        <v>16</v>
      </c>
      <c r="E1208" s="3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 s="3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  <c r="Z1208" s="3">
        <f>Table1[[#This Row],[QUANTITYORDERED]]*Table1[[#This Row],[PRICEEACH]]</f>
        <v>2819.88</v>
      </c>
    </row>
    <row r="1209" spans="1:26" hidden="1" x14ac:dyDescent="0.35">
      <c r="A1209">
        <v>10319</v>
      </c>
      <c r="B1209">
        <v>44</v>
      </c>
      <c r="C1209" s="3">
        <v>59.06</v>
      </c>
      <c r="D1209">
        <v>4</v>
      </c>
      <c r="E1209" s="3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 s="3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  <c r="Z1209" s="3">
        <f>Table1[[#This Row],[QUANTITYORDERED]]*Table1[[#This Row],[PRICEEACH]]</f>
        <v>2598.6400000000003</v>
      </c>
    </row>
    <row r="1210" spans="1:26" hidden="1" x14ac:dyDescent="0.35">
      <c r="A1210">
        <v>10330</v>
      </c>
      <c r="B1210">
        <v>29</v>
      </c>
      <c r="C1210" s="3">
        <v>69.63</v>
      </c>
      <c r="D1210">
        <v>2</v>
      </c>
      <c r="E1210" s="3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 s="3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  <c r="Z1210" s="3">
        <f>Table1[[#This Row],[QUANTITYORDERED]]*Table1[[#This Row],[PRICEEACH]]</f>
        <v>2019.27</v>
      </c>
    </row>
    <row r="1211" spans="1:26" hidden="1" x14ac:dyDescent="0.35">
      <c r="A1211">
        <v>10342</v>
      </c>
      <c r="B1211">
        <v>26</v>
      </c>
      <c r="C1211" s="3">
        <v>55.95</v>
      </c>
      <c r="D1211">
        <v>8</v>
      </c>
      <c r="E1211" s="3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 s="3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  <c r="Z1211" s="3">
        <f>Table1[[#This Row],[QUANTITYORDERED]]*Table1[[#This Row],[PRICEEACH]]</f>
        <v>1454.7</v>
      </c>
    </row>
    <row r="1212" spans="1:26" hidden="1" x14ac:dyDescent="0.35">
      <c r="A1212">
        <v>10355</v>
      </c>
      <c r="B1212">
        <v>31</v>
      </c>
      <c r="C1212" s="3">
        <v>53.47</v>
      </c>
      <c r="D1212">
        <v>1</v>
      </c>
      <c r="E1212" s="3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 s="3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  <c r="Z1212" s="3">
        <f>Table1[[#This Row],[QUANTITYORDERED]]*Table1[[#This Row],[PRICEEACH]]</f>
        <v>1657.57</v>
      </c>
    </row>
    <row r="1213" spans="1:26" hidden="1" x14ac:dyDescent="0.35">
      <c r="A1213">
        <v>10363</v>
      </c>
      <c r="B1213">
        <v>32</v>
      </c>
      <c r="C1213" s="3">
        <v>89.12</v>
      </c>
      <c r="D1213">
        <v>12</v>
      </c>
      <c r="E1213" s="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 s="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  <c r="Z1213" s="3">
        <f>Table1[[#This Row],[QUANTITYORDERED]]*Table1[[#This Row],[PRICEEACH]]</f>
        <v>2851.84</v>
      </c>
    </row>
    <row r="1214" spans="1:26" hidden="1" x14ac:dyDescent="0.35">
      <c r="A1214">
        <v>10378</v>
      </c>
      <c r="B1214">
        <v>28</v>
      </c>
      <c r="C1214" s="3">
        <v>100</v>
      </c>
      <c r="D1214">
        <v>9</v>
      </c>
      <c r="E1214" s="3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 s="3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  <c r="Z1214" s="3">
        <f>Table1[[#This Row],[QUANTITYORDERED]]*Table1[[#This Row],[PRICEEACH]]</f>
        <v>2800</v>
      </c>
    </row>
    <row r="1215" spans="1:26" hidden="1" x14ac:dyDescent="0.35">
      <c r="A1215">
        <v>10390</v>
      </c>
      <c r="B1215">
        <v>36</v>
      </c>
      <c r="C1215" s="3">
        <v>100</v>
      </c>
      <c r="D1215">
        <v>2</v>
      </c>
      <c r="E1215" s="3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 s="3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  <c r="Z1215" s="3">
        <f>Table1[[#This Row],[QUANTITYORDERED]]*Table1[[#This Row],[PRICEEACH]]</f>
        <v>3600</v>
      </c>
    </row>
    <row r="1216" spans="1:26" hidden="1" x14ac:dyDescent="0.35">
      <c r="A1216">
        <v>10403</v>
      </c>
      <c r="B1216">
        <v>36</v>
      </c>
      <c r="C1216" s="3">
        <v>52.22</v>
      </c>
      <c r="D1216">
        <v>1</v>
      </c>
      <c r="E1216" s="3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 s="3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  <c r="Z1216" s="3">
        <f>Table1[[#This Row],[QUANTITYORDERED]]*Table1[[#This Row],[PRICEEACH]]</f>
        <v>1879.92</v>
      </c>
    </row>
    <row r="1217" spans="1:26" hidden="1" x14ac:dyDescent="0.35">
      <c r="A1217">
        <v>10106</v>
      </c>
      <c r="B1217">
        <v>41</v>
      </c>
      <c r="C1217" s="3">
        <v>100</v>
      </c>
      <c r="D1217">
        <v>17</v>
      </c>
      <c r="E1217" s="3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 s="3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  <c r="Z1217" s="3">
        <f>Table1[[#This Row],[QUANTITYORDERED]]*Table1[[#This Row],[PRICEEACH]]</f>
        <v>4100</v>
      </c>
    </row>
    <row r="1218" spans="1:26" hidden="1" x14ac:dyDescent="0.35">
      <c r="A1218">
        <v>10119</v>
      </c>
      <c r="B1218">
        <v>27</v>
      </c>
      <c r="C1218" s="3">
        <v>99.52</v>
      </c>
      <c r="D1218">
        <v>8</v>
      </c>
      <c r="E1218" s="3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 s="3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  <c r="Z1218" s="3">
        <f>Table1[[#This Row],[QUANTITYORDERED]]*Table1[[#This Row],[PRICEEACH]]</f>
        <v>2687.04</v>
      </c>
    </row>
    <row r="1219" spans="1:26" hidden="1" x14ac:dyDescent="0.35">
      <c r="A1219">
        <v>10130</v>
      </c>
      <c r="B1219">
        <v>33</v>
      </c>
      <c r="C1219" s="3">
        <v>100</v>
      </c>
      <c r="D1219">
        <v>1</v>
      </c>
      <c r="E1219" s="3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 s="3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  <c r="Z1219" s="3">
        <f>Table1[[#This Row],[QUANTITYORDERED]]*Table1[[#This Row],[PRICEEACH]]</f>
        <v>3300</v>
      </c>
    </row>
    <row r="1220" spans="1:26" hidden="1" x14ac:dyDescent="0.35">
      <c r="A1220">
        <v>10143</v>
      </c>
      <c r="B1220">
        <v>34</v>
      </c>
      <c r="C1220" s="3">
        <v>100</v>
      </c>
      <c r="D1220">
        <v>12</v>
      </c>
      <c r="E1220" s="3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 s="3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  <c r="Z1220" s="3">
        <f>Table1[[#This Row],[QUANTITYORDERED]]*Table1[[#This Row],[PRICEEACH]]</f>
        <v>3400</v>
      </c>
    </row>
    <row r="1221" spans="1:26" hidden="1" x14ac:dyDescent="0.35">
      <c r="A1221">
        <v>10155</v>
      </c>
      <c r="B1221">
        <v>29</v>
      </c>
      <c r="C1221" s="3">
        <v>100</v>
      </c>
      <c r="D1221">
        <v>10</v>
      </c>
      <c r="E1221" s="3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 s="3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  <c r="Z1221" s="3">
        <f>Table1[[#This Row],[QUANTITYORDERED]]*Table1[[#This Row],[PRICEEACH]]</f>
        <v>2900</v>
      </c>
    </row>
    <row r="1222" spans="1:26" hidden="1" x14ac:dyDescent="0.35">
      <c r="A1222">
        <v>10167</v>
      </c>
      <c r="B1222">
        <v>34</v>
      </c>
      <c r="C1222" s="3">
        <v>100</v>
      </c>
      <c r="D1222">
        <v>6</v>
      </c>
      <c r="E1222" s="3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 s="3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  <c r="Z1222" s="3">
        <f>Table1[[#This Row],[QUANTITYORDERED]]*Table1[[#This Row],[PRICEEACH]]</f>
        <v>3400</v>
      </c>
    </row>
    <row r="1223" spans="1:26" hidden="1" x14ac:dyDescent="0.35">
      <c r="A1223">
        <v>10178</v>
      </c>
      <c r="B1223">
        <v>48</v>
      </c>
      <c r="C1223" s="3">
        <v>100</v>
      </c>
      <c r="D1223">
        <v>9</v>
      </c>
      <c r="E1223" s="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 s="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  <c r="Z1223" s="3">
        <f>Table1[[#This Row],[QUANTITYORDERED]]*Table1[[#This Row],[PRICEEACH]]</f>
        <v>4800</v>
      </c>
    </row>
    <row r="1224" spans="1:26" hidden="1" x14ac:dyDescent="0.35">
      <c r="A1224">
        <v>10186</v>
      </c>
      <c r="B1224">
        <v>46</v>
      </c>
      <c r="C1224" s="3">
        <v>100</v>
      </c>
      <c r="D1224">
        <v>6</v>
      </c>
      <c r="E1224" s="3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 s="3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  <c r="Z1224" s="3">
        <f>Table1[[#This Row],[QUANTITYORDERED]]*Table1[[#This Row],[PRICEEACH]]</f>
        <v>4600</v>
      </c>
    </row>
    <row r="1225" spans="1:26" hidden="1" x14ac:dyDescent="0.35">
      <c r="A1225">
        <v>10197</v>
      </c>
      <c r="B1225">
        <v>22</v>
      </c>
      <c r="C1225" s="3">
        <v>100</v>
      </c>
      <c r="D1225">
        <v>3</v>
      </c>
      <c r="E1225" s="3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 s="3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  <c r="Z1225" s="3">
        <f>Table1[[#This Row],[QUANTITYORDERED]]*Table1[[#This Row],[PRICEEACH]]</f>
        <v>2200</v>
      </c>
    </row>
    <row r="1226" spans="1:26" hidden="1" x14ac:dyDescent="0.35">
      <c r="A1226">
        <v>10209</v>
      </c>
      <c r="B1226">
        <v>20</v>
      </c>
      <c r="C1226" s="3">
        <v>100</v>
      </c>
      <c r="D1226">
        <v>5</v>
      </c>
      <c r="E1226" s="3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 s="3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  <c r="Z1226" s="3">
        <f>Table1[[#This Row],[QUANTITYORDERED]]*Table1[[#This Row],[PRICEEACH]]</f>
        <v>2000</v>
      </c>
    </row>
    <row r="1227" spans="1:26" hidden="1" x14ac:dyDescent="0.35">
      <c r="A1227">
        <v>10222</v>
      </c>
      <c r="B1227">
        <v>45</v>
      </c>
      <c r="C1227" s="3">
        <v>85.75</v>
      </c>
      <c r="D1227">
        <v>9</v>
      </c>
      <c r="E1227" s="3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 s="3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  <c r="Z1227" s="3">
        <f>Table1[[#This Row],[QUANTITYORDERED]]*Table1[[#This Row],[PRICEEACH]]</f>
        <v>3858.75</v>
      </c>
    </row>
    <row r="1228" spans="1:26" hidden="1" x14ac:dyDescent="0.35">
      <c r="A1228">
        <v>10249</v>
      </c>
      <c r="B1228">
        <v>46</v>
      </c>
      <c r="C1228" s="3">
        <v>100</v>
      </c>
      <c r="D1228">
        <v>5</v>
      </c>
      <c r="E1228" s="3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 s="3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  <c r="Z1228" s="3">
        <f>Table1[[#This Row],[QUANTITYORDERED]]*Table1[[#This Row],[PRICEEACH]]</f>
        <v>4600</v>
      </c>
    </row>
    <row r="1229" spans="1:26" hidden="1" x14ac:dyDescent="0.35">
      <c r="A1229">
        <v>10262</v>
      </c>
      <c r="B1229">
        <v>34</v>
      </c>
      <c r="C1229" s="3">
        <v>100</v>
      </c>
      <c r="D1229">
        <v>14</v>
      </c>
      <c r="E1229" s="3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 s="3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  <c r="Z1229" s="3">
        <f>Table1[[#This Row],[QUANTITYORDERED]]*Table1[[#This Row],[PRICEEACH]]</f>
        <v>3400</v>
      </c>
    </row>
    <row r="1230" spans="1:26" hidden="1" x14ac:dyDescent="0.35">
      <c r="A1230">
        <v>10273</v>
      </c>
      <c r="B1230">
        <v>50</v>
      </c>
      <c r="C1230" s="3">
        <v>85.75</v>
      </c>
      <c r="D1230">
        <v>1</v>
      </c>
      <c r="E1230" s="3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 s="3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  <c r="Z1230" s="3">
        <f>Table1[[#This Row],[QUANTITYORDERED]]*Table1[[#This Row],[PRICEEACH]]</f>
        <v>4287.5</v>
      </c>
    </row>
    <row r="1231" spans="1:26" hidden="1" x14ac:dyDescent="0.35">
      <c r="A1231">
        <v>10283</v>
      </c>
      <c r="B1231">
        <v>46</v>
      </c>
      <c r="C1231" s="3">
        <v>100</v>
      </c>
      <c r="D1231">
        <v>3</v>
      </c>
      <c r="E1231" s="3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 s="3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  <c r="Z1231" s="3">
        <f>Table1[[#This Row],[QUANTITYORDERED]]*Table1[[#This Row],[PRICEEACH]]</f>
        <v>4600</v>
      </c>
    </row>
    <row r="1232" spans="1:26" hidden="1" x14ac:dyDescent="0.35">
      <c r="A1232">
        <v>10296</v>
      </c>
      <c r="B1232">
        <v>22</v>
      </c>
      <c r="C1232" s="3">
        <v>84.7</v>
      </c>
      <c r="D1232">
        <v>12</v>
      </c>
      <c r="E1232" s="3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 s="3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  <c r="Z1232" s="3">
        <f>Table1[[#This Row],[QUANTITYORDERED]]*Table1[[#This Row],[PRICEEACH]]</f>
        <v>1863.4</v>
      </c>
    </row>
    <row r="1233" spans="1:26" hidden="1" x14ac:dyDescent="0.35">
      <c r="A1233">
        <v>10307</v>
      </c>
      <c r="B1233">
        <v>48</v>
      </c>
      <c r="C1233" s="3">
        <v>86.81</v>
      </c>
      <c r="D1233">
        <v>6</v>
      </c>
      <c r="E1233" s="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 s="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  <c r="Z1233" s="3">
        <f>Table1[[#This Row],[QUANTITYORDERED]]*Table1[[#This Row],[PRICEEACH]]</f>
        <v>4166.88</v>
      </c>
    </row>
    <row r="1234" spans="1:26" hidden="1" x14ac:dyDescent="0.35">
      <c r="A1234">
        <v>10316</v>
      </c>
      <c r="B1234">
        <v>47</v>
      </c>
      <c r="C1234" s="3">
        <v>86.81</v>
      </c>
      <c r="D1234">
        <v>14</v>
      </c>
      <c r="E1234" s="3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 s="3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  <c r="Z1234" s="3">
        <f>Table1[[#This Row],[QUANTITYORDERED]]*Table1[[#This Row],[PRICEEACH]]</f>
        <v>4080.07</v>
      </c>
    </row>
    <row r="1235" spans="1:26" hidden="1" x14ac:dyDescent="0.35">
      <c r="A1235">
        <v>10328</v>
      </c>
      <c r="B1235">
        <v>34</v>
      </c>
      <c r="C1235" s="3">
        <v>100</v>
      </c>
      <c r="D1235">
        <v>6</v>
      </c>
      <c r="E1235" s="3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 s="3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  <c r="Z1235" s="3">
        <f>Table1[[#This Row],[QUANTITYORDERED]]*Table1[[#This Row],[PRICEEACH]]</f>
        <v>3400</v>
      </c>
    </row>
    <row r="1236" spans="1:26" hidden="1" x14ac:dyDescent="0.35">
      <c r="A1236">
        <v>10338</v>
      </c>
      <c r="B1236">
        <v>45</v>
      </c>
      <c r="C1236" s="3">
        <v>100</v>
      </c>
      <c r="D1236">
        <v>2</v>
      </c>
      <c r="E1236" s="3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 s="3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  <c r="Z1236" s="3">
        <f>Table1[[#This Row],[QUANTITYORDERED]]*Table1[[#This Row],[PRICEEACH]]</f>
        <v>4500</v>
      </c>
    </row>
    <row r="1237" spans="1:26" hidden="1" x14ac:dyDescent="0.35">
      <c r="A1237">
        <v>10351</v>
      </c>
      <c r="B1237">
        <v>20</v>
      </c>
      <c r="C1237" s="3">
        <v>100</v>
      </c>
      <c r="D1237">
        <v>2</v>
      </c>
      <c r="E1237" s="3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 s="3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  <c r="Z1237" s="3">
        <f>Table1[[#This Row],[QUANTITYORDERED]]*Table1[[#This Row],[PRICEEACH]]</f>
        <v>2000</v>
      </c>
    </row>
    <row r="1238" spans="1:26" hidden="1" x14ac:dyDescent="0.35">
      <c r="A1238">
        <v>10373</v>
      </c>
      <c r="B1238">
        <v>50</v>
      </c>
      <c r="C1238" s="3">
        <v>60.49</v>
      </c>
      <c r="D1238">
        <v>6</v>
      </c>
      <c r="E1238" s="3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 s="3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  <c r="Z1238" s="3">
        <f>Table1[[#This Row],[QUANTITYORDERED]]*Table1[[#This Row],[PRICEEACH]]</f>
        <v>3024.5</v>
      </c>
    </row>
    <row r="1239" spans="1:26" hidden="1" x14ac:dyDescent="0.35">
      <c r="A1239">
        <v>10386</v>
      </c>
      <c r="B1239">
        <v>22</v>
      </c>
      <c r="C1239" s="3">
        <v>57.55</v>
      </c>
      <c r="D1239">
        <v>6</v>
      </c>
      <c r="E1239" s="3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 s="3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  <c r="Z1239" s="3">
        <f>Table1[[#This Row],[QUANTITYORDERED]]*Table1[[#This Row],[PRICEEACH]]</f>
        <v>1266.0999999999999</v>
      </c>
    </row>
    <row r="1240" spans="1:26" hidden="1" x14ac:dyDescent="0.35">
      <c r="A1240">
        <v>10398</v>
      </c>
      <c r="B1240">
        <v>45</v>
      </c>
      <c r="C1240" s="3">
        <v>100</v>
      </c>
      <c r="D1240">
        <v>17</v>
      </c>
      <c r="E1240" s="3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 s="3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  <c r="Z1240" s="3">
        <f>Table1[[#This Row],[QUANTITYORDERED]]*Table1[[#This Row],[PRICEEACH]]</f>
        <v>4500</v>
      </c>
    </row>
    <row r="1241" spans="1:26" hidden="1" x14ac:dyDescent="0.35">
      <c r="A1241">
        <v>10400</v>
      </c>
      <c r="B1241">
        <v>58</v>
      </c>
      <c r="C1241" s="3">
        <v>100</v>
      </c>
      <c r="D1241">
        <v>6</v>
      </c>
      <c r="E1241" s="3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 s="3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  <c r="Z1241" s="3">
        <f>Table1[[#This Row],[QUANTITYORDERED]]*Table1[[#This Row],[PRICEEACH]]</f>
        <v>5800</v>
      </c>
    </row>
    <row r="1242" spans="1:26" hidden="1" x14ac:dyDescent="0.35">
      <c r="A1242">
        <v>10415</v>
      </c>
      <c r="B1242">
        <v>51</v>
      </c>
      <c r="C1242" s="3">
        <v>100</v>
      </c>
      <c r="D1242">
        <v>5</v>
      </c>
      <c r="E1242" s="3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 s="3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  <c r="Z1242" s="3">
        <f>Table1[[#This Row],[QUANTITYORDERED]]*Table1[[#This Row],[PRICEEACH]]</f>
        <v>5100</v>
      </c>
    </row>
    <row r="1243" spans="1:26" x14ac:dyDescent="0.35">
      <c r="A1243">
        <v>10104</v>
      </c>
      <c r="B1243">
        <v>38</v>
      </c>
      <c r="C1243" s="3">
        <v>100</v>
      </c>
      <c r="D1243">
        <v>3</v>
      </c>
      <c r="E1243" s="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 s="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  <c r="Z1243" s="3">
        <f>Table1[[#This Row],[QUANTITYORDERED]]*Table1[[#This Row],[PRICEEACH]]</f>
        <v>3800</v>
      </c>
    </row>
    <row r="1244" spans="1:26" x14ac:dyDescent="0.35">
      <c r="A1244">
        <v>10117</v>
      </c>
      <c r="B1244">
        <v>22</v>
      </c>
      <c r="C1244" s="3">
        <v>100</v>
      </c>
      <c r="D1244">
        <v>12</v>
      </c>
      <c r="E1244" s="3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 s="3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  <c r="Z1244" s="3">
        <f>Table1[[#This Row],[QUANTITYORDERED]]*Table1[[#This Row],[PRICEEACH]]</f>
        <v>2200</v>
      </c>
    </row>
    <row r="1245" spans="1:26" x14ac:dyDescent="0.35">
      <c r="A1245">
        <v>10127</v>
      </c>
      <c r="B1245">
        <v>25</v>
      </c>
      <c r="C1245" s="3">
        <v>100</v>
      </c>
      <c r="D1245">
        <v>5</v>
      </c>
      <c r="E1245" s="3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 s="3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  <c r="Z1245" s="3">
        <f>Table1[[#This Row],[QUANTITYORDERED]]*Table1[[#This Row],[PRICEEACH]]</f>
        <v>2500</v>
      </c>
    </row>
    <row r="1246" spans="1:26" x14ac:dyDescent="0.35">
      <c r="A1246">
        <v>10142</v>
      </c>
      <c r="B1246">
        <v>24</v>
      </c>
      <c r="C1246" s="3">
        <v>100</v>
      </c>
      <c r="D1246">
        <v>15</v>
      </c>
      <c r="E1246" s="3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 s="3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  <c r="Z1246" s="3">
        <f>Table1[[#This Row],[QUANTITYORDERED]]*Table1[[#This Row],[PRICEEACH]]</f>
        <v>2400</v>
      </c>
    </row>
    <row r="1247" spans="1:26" x14ac:dyDescent="0.35">
      <c r="A1247">
        <v>10152</v>
      </c>
      <c r="B1247">
        <v>35</v>
      </c>
      <c r="C1247" s="3">
        <v>100</v>
      </c>
      <c r="D1247">
        <v>1</v>
      </c>
      <c r="E1247" s="3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 s="3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  <c r="Z1247" s="3">
        <f>Table1[[#This Row],[QUANTITYORDERED]]*Table1[[#This Row],[PRICEEACH]]</f>
        <v>3500</v>
      </c>
    </row>
    <row r="1248" spans="1:26" x14ac:dyDescent="0.35">
      <c r="A1248">
        <v>10165</v>
      </c>
      <c r="B1248">
        <v>28</v>
      </c>
      <c r="C1248" s="3">
        <v>100</v>
      </c>
      <c r="D1248">
        <v>6</v>
      </c>
      <c r="E1248" s="3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 s="3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  <c r="Z1248" s="3">
        <f>Table1[[#This Row],[QUANTITYORDERED]]*Table1[[#This Row],[PRICEEACH]]</f>
        <v>2800</v>
      </c>
    </row>
    <row r="1249" spans="1:26" x14ac:dyDescent="0.35">
      <c r="A1249">
        <v>10176</v>
      </c>
      <c r="B1249">
        <v>36</v>
      </c>
      <c r="C1249" s="3">
        <v>100</v>
      </c>
      <c r="D1249">
        <v>5</v>
      </c>
      <c r="E1249" s="3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 s="3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  <c r="Z1249" s="3">
        <f>Table1[[#This Row],[QUANTITYORDERED]]*Table1[[#This Row],[PRICEEACH]]</f>
        <v>3600</v>
      </c>
    </row>
    <row r="1250" spans="1:26" x14ac:dyDescent="0.35">
      <c r="A1250">
        <v>10185</v>
      </c>
      <c r="B1250">
        <v>39</v>
      </c>
      <c r="C1250" s="3">
        <v>100</v>
      </c>
      <c r="D1250">
        <v>16</v>
      </c>
      <c r="E1250" s="3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 s="3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  <c r="Z1250" s="3">
        <f>Table1[[#This Row],[QUANTITYORDERED]]*Table1[[#This Row],[PRICEEACH]]</f>
        <v>3900</v>
      </c>
    </row>
    <row r="1251" spans="1:26" x14ac:dyDescent="0.35">
      <c r="A1251">
        <v>10196</v>
      </c>
      <c r="B1251">
        <v>27</v>
      </c>
      <c r="C1251" s="3">
        <v>100</v>
      </c>
      <c r="D1251">
        <v>8</v>
      </c>
      <c r="E1251" s="3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 s="3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  <c r="Z1251" s="3">
        <f>Table1[[#This Row],[QUANTITYORDERED]]*Table1[[#This Row],[PRICEEACH]]</f>
        <v>2700</v>
      </c>
    </row>
    <row r="1252" spans="1:26" x14ac:dyDescent="0.35">
      <c r="A1252">
        <v>10207</v>
      </c>
      <c r="B1252">
        <v>40</v>
      </c>
      <c r="C1252" s="3">
        <v>100</v>
      </c>
      <c r="D1252">
        <v>1</v>
      </c>
      <c r="E1252" s="3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 s="3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  <c r="Z1252" s="3">
        <f>Table1[[#This Row],[QUANTITYORDERED]]*Table1[[#This Row],[PRICEEACH]]</f>
        <v>4000</v>
      </c>
    </row>
    <row r="1253" spans="1:26" x14ac:dyDescent="0.35">
      <c r="A1253">
        <v>10220</v>
      </c>
      <c r="B1253">
        <v>50</v>
      </c>
      <c r="C1253" s="3">
        <v>100</v>
      </c>
      <c r="D1253">
        <v>5</v>
      </c>
      <c r="E1253" s="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 s="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  <c r="Z1253" s="3">
        <f>Table1[[#This Row],[QUANTITYORDERED]]*Table1[[#This Row],[PRICEEACH]]</f>
        <v>5000</v>
      </c>
    </row>
    <row r="1254" spans="1:26" x14ac:dyDescent="0.35">
      <c r="A1254">
        <v>10230</v>
      </c>
      <c r="B1254">
        <v>42</v>
      </c>
      <c r="C1254" s="3">
        <v>100</v>
      </c>
      <c r="D1254">
        <v>3</v>
      </c>
      <c r="E1254" s="3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 s="3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  <c r="Z1254" s="3">
        <f>Table1[[#This Row],[QUANTITYORDERED]]*Table1[[#This Row],[PRICEEACH]]</f>
        <v>4200</v>
      </c>
    </row>
    <row r="1255" spans="1:26" x14ac:dyDescent="0.35">
      <c r="A1255">
        <v>10247</v>
      </c>
      <c r="B1255">
        <v>48</v>
      </c>
      <c r="C1255" s="3">
        <v>100</v>
      </c>
      <c r="D1255">
        <v>5</v>
      </c>
      <c r="E1255" s="3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 s="3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  <c r="Z1255" s="3">
        <f>Table1[[#This Row],[QUANTITYORDERED]]*Table1[[#This Row],[PRICEEACH]]</f>
        <v>4800</v>
      </c>
    </row>
    <row r="1256" spans="1:26" x14ac:dyDescent="0.35">
      <c r="A1256">
        <v>10272</v>
      </c>
      <c r="B1256">
        <v>25</v>
      </c>
      <c r="C1256" s="3">
        <v>100</v>
      </c>
      <c r="D1256">
        <v>5</v>
      </c>
      <c r="E1256" s="3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 s="3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  <c r="Z1256" s="3">
        <f>Table1[[#This Row],[QUANTITYORDERED]]*Table1[[#This Row],[PRICEEACH]]</f>
        <v>2500</v>
      </c>
    </row>
    <row r="1257" spans="1:26" x14ac:dyDescent="0.35">
      <c r="A1257">
        <v>10282</v>
      </c>
      <c r="B1257">
        <v>31</v>
      </c>
      <c r="C1257" s="3">
        <v>100</v>
      </c>
      <c r="D1257">
        <v>8</v>
      </c>
      <c r="E1257" s="3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 s="3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  <c r="Z1257" s="3">
        <f>Table1[[#This Row],[QUANTITYORDERED]]*Table1[[#This Row],[PRICEEACH]]</f>
        <v>3100</v>
      </c>
    </row>
    <row r="1258" spans="1:26" x14ac:dyDescent="0.35">
      <c r="A1258">
        <v>10292</v>
      </c>
      <c r="B1258">
        <v>44</v>
      </c>
      <c r="C1258" s="3">
        <v>100</v>
      </c>
      <c r="D1258">
        <v>2</v>
      </c>
      <c r="E1258" s="3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 s="3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  <c r="Z1258" s="3">
        <f>Table1[[#This Row],[QUANTITYORDERED]]*Table1[[#This Row],[PRICEEACH]]</f>
        <v>4400</v>
      </c>
    </row>
    <row r="1259" spans="1:26" x14ac:dyDescent="0.35">
      <c r="A1259">
        <v>10306</v>
      </c>
      <c r="B1259">
        <v>23</v>
      </c>
      <c r="C1259" s="3">
        <v>100</v>
      </c>
      <c r="D1259">
        <v>16</v>
      </c>
      <c r="E1259" s="3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 s="3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  <c r="Z1259" s="3">
        <f>Table1[[#This Row],[QUANTITYORDERED]]*Table1[[#This Row],[PRICEEACH]]</f>
        <v>2300</v>
      </c>
    </row>
    <row r="1260" spans="1:26" x14ac:dyDescent="0.35">
      <c r="A1260">
        <v>10314</v>
      </c>
      <c r="B1260">
        <v>29</v>
      </c>
      <c r="C1260" s="3">
        <v>100</v>
      </c>
      <c r="D1260">
        <v>8</v>
      </c>
      <c r="E1260" s="3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 s="3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  <c r="Z1260" s="3">
        <f>Table1[[#This Row],[QUANTITYORDERED]]*Table1[[#This Row],[PRICEEACH]]</f>
        <v>2900</v>
      </c>
    </row>
    <row r="1261" spans="1:26" x14ac:dyDescent="0.35">
      <c r="A1261">
        <v>10324</v>
      </c>
      <c r="B1261">
        <v>49</v>
      </c>
      <c r="C1261" s="3">
        <v>100</v>
      </c>
      <c r="D1261">
        <v>13</v>
      </c>
      <c r="E1261" s="3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 s="3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  <c r="Z1261" s="3">
        <f>Table1[[#This Row],[QUANTITYORDERED]]*Table1[[#This Row],[PRICEEACH]]</f>
        <v>4900</v>
      </c>
    </row>
    <row r="1262" spans="1:26" x14ac:dyDescent="0.35">
      <c r="A1262">
        <v>10337</v>
      </c>
      <c r="B1262">
        <v>36</v>
      </c>
      <c r="C1262" s="3">
        <v>100</v>
      </c>
      <c r="D1262">
        <v>3</v>
      </c>
      <c r="E1262" s="3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 s="3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  <c r="Z1262" s="3">
        <f>Table1[[#This Row],[QUANTITYORDERED]]*Table1[[#This Row],[PRICEEACH]]</f>
        <v>3600</v>
      </c>
    </row>
    <row r="1263" spans="1:26" x14ac:dyDescent="0.35">
      <c r="A1263">
        <v>10349</v>
      </c>
      <c r="B1263">
        <v>34</v>
      </c>
      <c r="C1263" s="3">
        <v>100</v>
      </c>
      <c r="D1263">
        <v>5</v>
      </c>
      <c r="E1263" s="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 s="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  <c r="Z1263" s="3">
        <f>Table1[[#This Row],[QUANTITYORDERED]]*Table1[[#This Row],[PRICEEACH]]</f>
        <v>3400</v>
      </c>
    </row>
    <row r="1264" spans="1:26" x14ac:dyDescent="0.35">
      <c r="A1264">
        <v>10358</v>
      </c>
      <c r="B1264">
        <v>25</v>
      </c>
      <c r="C1264" s="3">
        <v>100</v>
      </c>
      <c r="D1264">
        <v>13</v>
      </c>
      <c r="E1264" s="3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 s="3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  <c r="Z1264" s="3">
        <f>Table1[[#This Row],[QUANTITYORDERED]]*Table1[[#This Row],[PRICEEACH]]</f>
        <v>2500</v>
      </c>
    </row>
    <row r="1265" spans="1:26" x14ac:dyDescent="0.35">
      <c r="A1265">
        <v>10372</v>
      </c>
      <c r="B1265">
        <v>48</v>
      </c>
      <c r="C1265" s="3">
        <v>100</v>
      </c>
      <c r="D1265">
        <v>6</v>
      </c>
      <c r="E1265" s="3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 s="3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  <c r="Z1265" s="3">
        <f>Table1[[#This Row],[QUANTITYORDERED]]*Table1[[#This Row],[PRICEEACH]]</f>
        <v>4800</v>
      </c>
    </row>
    <row r="1266" spans="1:26" x14ac:dyDescent="0.35">
      <c r="A1266">
        <v>10383</v>
      </c>
      <c r="B1266">
        <v>38</v>
      </c>
      <c r="C1266" s="3">
        <v>100</v>
      </c>
      <c r="D1266">
        <v>1</v>
      </c>
      <c r="E1266" s="3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 s="3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  <c r="Z1266" s="3">
        <f>Table1[[#This Row],[QUANTITYORDERED]]*Table1[[#This Row],[PRICEEACH]]</f>
        <v>3800</v>
      </c>
    </row>
    <row r="1267" spans="1:26" x14ac:dyDescent="0.35">
      <c r="A1267">
        <v>10394</v>
      </c>
      <c r="B1267">
        <v>37</v>
      </c>
      <c r="C1267" s="3">
        <v>100</v>
      </c>
      <c r="D1267">
        <v>1</v>
      </c>
      <c r="E1267" s="3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 s="3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  <c r="Z1267" s="3">
        <f>Table1[[#This Row],[QUANTITYORDERED]]*Table1[[#This Row],[PRICEEACH]]</f>
        <v>3700</v>
      </c>
    </row>
    <row r="1268" spans="1:26" x14ac:dyDescent="0.35">
      <c r="A1268">
        <v>10413</v>
      </c>
      <c r="B1268">
        <v>49</v>
      </c>
      <c r="C1268" s="3">
        <v>100</v>
      </c>
      <c r="D1268">
        <v>5</v>
      </c>
      <c r="E1268" s="3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 s="3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  <c r="Z1268" s="3">
        <f>Table1[[#This Row],[QUANTITYORDERED]]*Table1[[#This Row],[PRICEEACH]]</f>
        <v>4900</v>
      </c>
    </row>
    <row r="1269" spans="1:26" hidden="1" x14ac:dyDescent="0.35">
      <c r="A1269">
        <v>10100</v>
      </c>
      <c r="B1269">
        <v>22</v>
      </c>
      <c r="C1269" s="3">
        <v>86.51</v>
      </c>
      <c r="D1269">
        <v>4</v>
      </c>
      <c r="E1269" s="3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 s="3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  <c r="Z1269" s="3">
        <f>Table1[[#This Row],[QUANTITYORDERED]]*Table1[[#This Row],[PRICEEACH]]</f>
        <v>1903.22</v>
      </c>
    </row>
    <row r="1270" spans="1:26" hidden="1" x14ac:dyDescent="0.35">
      <c r="A1270">
        <v>10110</v>
      </c>
      <c r="B1270">
        <v>28</v>
      </c>
      <c r="C1270" s="3">
        <v>89.27</v>
      </c>
      <c r="D1270">
        <v>8</v>
      </c>
      <c r="E1270" s="3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 s="3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  <c r="Z1270" s="3">
        <f>Table1[[#This Row],[QUANTITYORDERED]]*Table1[[#This Row],[PRICEEACH]]</f>
        <v>2499.56</v>
      </c>
    </row>
    <row r="1271" spans="1:26" hidden="1" x14ac:dyDescent="0.35">
      <c r="A1271">
        <v>10124</v>
      </c>
      <c r="B1271">
        <v>36</v>
      </c>
      <c r="C1271" s="3">
        <v>85.59</v>
      </c>
      <c r="D1271">
        <v>7</v>
      </c>
      <c r="E1271" s="3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 s="3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  <c r="Z1271" s="3">
        <f>Table1[[#This Row],[QUANTITYORDERED]]*Table1[[#This Row],[PRICEEACH]]</f>
        <v>3081.2400000000002</v>
      </c>
    </row>
    <row r="1272" spans="1:26" hidden="1" x14ac:dyDescent="0.35">
      <c r="A1272">
        <v>10148</v>
      </c>
      <c r="B1272">
        <v>34</v>
      </c>
      <c r="C1272" s="3">
        <v>100</v>
      </c>
      <c r="D1272">
        <v>1</v>
      </c>
      <c r="E1272" s="3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 s="3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  <c r="Z1272" s="3">
        <f>Table1[[#This Row],[QUANTITYORDERED]]*Table1[[#This Row],[PRICEEACH]]</f>
        <v>3400</v>
      </c>
    </row>
    <row r="1273" spans="1:26" hidden="1" x14ac:dyDescent="0.35">
      <c r="A1273">
        <v>10162</v>
      </c>
      <c r="B1273">
        <v>39</v>
      </c>
      <c r="C1273" s="3">
        <v>100</v>
      </c>
      <c r="D1273">
        <v>10</v>
      </c>
      <c r="E1273" s="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 s="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  <c r="Z1273" s="3">
        <f>Table1[[#This Row],[QUANTITYORDERED]]*Table1[[#This Row],[PRICEEACH]]</f>
        <v>3900</v>
      </c>
    </row>
    <row r="1274" spans="1:26" hidden="1" x14ac:dyDescent="0.35">
      <c r="A1274">
        <v>10173</v>
      </c>
      <c r="B1274">
        <v>21</v>
      </c>
      <c r="C1274" s="3">
        <v>75.459999999999994</v>
      </c>
      <c r="D1274">
        <v>14</v>
      </c>
      <c r="E1274" s="3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 s="3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  <c r="Z1274" s="3">
        <f>Table1[[#This Row],[QUANTITYORDERED]]*Table1[[#This Row],[PRICEEACH]]</f>
        <v>1584.6599999999999</v>
      </c>
    </row>
    <row r="1275" spans="1:26" hidden="1" x14ac:dyDescent="0.35">
      <c r="A1275">
        <v>10182</v>
      </c>
      <c r="B1275">
        <v>36</v>
      </c>
      <c r="C1275" s="3">
        <v>100</v>
      </c>
      <c r="D1275">
        <v>11</v>
      </c>
      <c r="E1275" s="3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 s="3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  <c r="Z1275" s="3">
        <f>Table1[[#This Row],[QUANTITYORDERED]]*Table1[[#This Row],[PRICEEACH]]</f>
        <v>3600</v>
      </c>
    </row>
    <row r="1276" spans="1:26" hidden="1" x14ac:dyDescent="0.35">
      <c r="A1276">
        <v>10193</v>
      </c>
      <c r="B1276">
        <v>24</v>
      </c>
      <c r="C1276" s="3">
        <v>97.55</v>
      </c>
      <c r="D1276">
        <v>15</v>
      </c>
      <c r="E1276" s="3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 s="3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  <c r="Z1276" s="3">
        <f>Table1[[#This Row],[QUANTITYORDERED]]*Table1[[#This Row],[PRICEEACH]]</f>
        <v>2341.1999999999998</v>
      </c>
    </row>
    <row r="1277" spans="1:26" hidden="1" x14ac:dyDescent="0.35">
      <c r="A1277">
        <v>10204</v>
      </c>
      <c r="B1277">
        <v>29</v>
      </c>
      <c r="C1277" s="3">
        <v>85.59</v>
      </c>
      <c r="D1277">
        <v>5</v>
      </c>
      <c r="E1277" s="3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 s="3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  <c r="Z1277" s="3">
        <f>Table1[[#This Row],[QUANTITYORDERED]]*Table1[[#This Row],[PRICEEACH]]</f>
        <v>2482.11</v>
      </c>
    </row>
    <row r="1278" spans="1:26" hidden="1" x14ac:dyDescent="0.35">
      <c r="A1278">
        <v>10213</v>
      </c>
      <c r="B1278">
        <v>38</v>
      </c>
      <c r="C1278" s="3">
        <v>94.79</v>
      </c>
      <c r="D1278">
        <v>1</v>
      </c>
      <c r="E1278" s="3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 s="3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  <c r="Z1278" s="3">
        <f>Table1[[#This Row],[QUANTITYORDERED]]*Table1[[#This Row],[PRICEEACH]]</f>
        <v>3602.0200000000004</v>
      </c>
    </row>
    <row r="1279" spans="1:26" hidden="1" x14ac:dyDescent="0.35">
      <c r="A1279">
        <v>10227</v>
      </c>
      <c r="B1279">
        <v>34</v>
      </c>
      <c r="C1279" s="3">
        <v>100</v>
      </c>
      <c r="D1279">
        <v>11</v>
      </c>
      <c r="E1279" s="3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 s="3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  <c r="Z1279" s="3">
        <f>Table1[[#This Row],[QUANTITYORDERED]]*Table1[[#This Row],[PRICEEACH]]</f>
        <v>3400</v>
      </c>
    </row>
    <row r="1280" spans="1:26" hidden="1" x14ac:dyDescent="0.35">
      <c r="A1280">
        <v>10241</v>
      </c>
      <c r="B1280">
        <v>42</v>
      </c>
      <c r="C1280" s="3">
        <v>90.19</v>
      </c>
      <c r="D1280">
        <v>3</v>
      </c>
      <c r="E1280" s="3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 s="3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  <c r="Z1280" s="3">
        <f>Table1[[#This Row],[QUANTITYORDERED]]*Table1[[#This Row],[PRICEEACH]]</f>
        <v>3787.98</v>
      </c>
    </row>
    <row r="1281" spans="1:26" hidden="1" x14ac:dyDescent="0.35">
      <c r="A1281">
        <v>10280</v>
      </c>
      <c r="B1281">
        <v>35</v>
      </c>
      <c r="C1281" s="3">
        <v>100</v>
      </c>
      <c r="D1281">
        <v>17</v>
      </c>
      <c r="E1281" s="3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 s="3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  <c r="Z1281" s="3">
        <f>Table1[[#This Row],[QUANTITYORDERED]]*Table1[[#This Row],[PRICEEACH]]</f>
        <v>3500</v>
      </c>
    </row>
    <row r="1282" spans="1:26" hidden="1" x14ac:dyDescent="0.35">
      <c r="A1282">
        <v>10288</v>
      </c>
      <c r="B1282">
        <v>35</v>
      </c>
      <c r="C1282" s="3">
        <v>80.989999999999995</v>
      </c>
      <c r="D1282">
        <v>6</v>
      </c>
      <c r="E1282" s="3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 s="3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  <c r="Z1282" s="3">
        <f>Table1[[#This Row],[QUANTITYORDERED]]*Table1[[#This Row],[PRICEEACH]]</f>
        <v>2834.6499999999996</v>
      </c>
    </row>
    <row r="1283" spans="1:26" hidden="1" x14ac:dyDescent="0.35">
      <c r="A1283">
        <v>10302</v>
      </c>
      <c r="B1283">
        <v>38</v>
      </c>
      <c r="C1283" s="3">
        <v>89.27</v>
      </c>
      <c r="D1283">
        <v>2</v>
      </c>
      <c r="E1283" s="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 s="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  <c r="Z1283" s="3">
        <f>Table1[[#This Row],[QUANTITYORDERED]]*Table1[[#This Row],[PRICEEACH]]</f>
        <v>3392.2599999999998</v>
      </c>
    </row>
    <row r="1284" spans="1:26" hidden="1" x14ac:dyDescent="0.35">
      <c r="A1284">
        <v>10311</v>
      </c>
      <c r="B1284">
        <v>41</v>
      </c>
      <c r="C1284" s="3">
        <v>81.91</v>
      </c>
      <c r="D1284">
        <v>1</v>
      </c>
      <c r="E1284" s="3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 s="3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  <c r="Z1284" s="3">
        <f>Table1[[#This Row],[QUANTITYORDERED]]*Table1[[#This Row],[PRICEEACH]]</f>
        <v>3358.31</v>
      </c>
    </row>
    <row r="1285" spans="1:26" hidden="1" x14ac:dyDescent="0.35">
      <c r="A1285">
        <v>10332</v>
      </c>
      <c r="B1285">
        <v>50</v>
      </c>
      <c r="C1285" s="3">
        <v>100</v>
      </c>
      <c r="D1285">
        <v>2</v>
      </c>
      <c r="E1285" s="3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 s="3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  <c r="Z1285" s="3">
        <f>Table1[[#This Row],[QUANTITYORDERED]]*Table1[[#This Row],[PRICEEACH]]</f>
        <v>5000</v>
      </c>
    </row>
    <row r="1286" spans="1:26" hidden="1" x14ac:dyDescent="0.35">
      <c r="A1286">
        <v>10344</v>
      </c>
      <c r="B1286">
        <v>21</v>
      </c>
      <c r="C1286" s="3">
        <v>100</v>
      </c>
      <c r="D1286">
        <v>4</v>
      </c>
      <c r="E1286" s="3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 s="3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  <c r="Z1286" s="3">
        <f>Table1[[#This Row],[QUANTITYORDERED]]*Table1[[#This Row],[PRICEEACH]]</f>
        <v>2100</v>
      </c>
    </row>
    <row r="1287" spans="1:26" hidden="1" x14ac:dyDescent="0.35">
      <c r="A1287">
        <v>10367</v>
      </c>
      <c r="B1287">
        <v>43</v>
      </c>
      <c r="C1287" s="3">
        <v>62.72</v>
      </c>
      <c r="D1287">
        <v>8</v>
      </c>
      <c r="E1287" s="3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 s="3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  <c r="Z1287" s="3">
        <f>Table1[[#This Row],[QUANTITYORDERED]]*Table1[[#This Row],[PRICEEACH]]</f>
        <v>2696.96</v>
      </c>
    </row>
    <row r="1288" spans="1:26" hidden="1" x14ac:dyDescent="0.35">
      <c r="A1288">
        <v>10380</v>
      </c>
      <c r="B1288">
        <v>32</v>
      </c>
      <c r="C1288" s="3">
        <v>100</v>
      </c>
      <c r="D1288">
        <v>1</v>
      </c>
      <c r="E1288" s="3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 s="3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  <c r="Z1288" s="3">
        <f>Table1[[#This Row],[QUANTITYORDERED]]*Table1[[#This Row],[PRICEEACH]]</f>
        <v>3200</v>
      </c>
    </row>
    <row r="1289" spans="1:26" hidden="1" x14ac:dyDescent="0.35">
      <c r="A1289">
        <v>10407</v>
      </c>
      <c r="B1289">
        <v>6</v>
      </c>
      <c r="C1289" s="3">
        <v>90.19</v>
      </c>
      <c r="D1289">
        <v>3</v>
      </c>
      <c r="E1289" s="3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 s="3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  <c r="Z1289" s="3">
        <f>Table1[[#This Row],[QUANTITYORDERED]]*Table1[[#This Row],[PRICEEACH]]</f>
        <v>541.14</v>
      </c>
    </row>
    <row r="1290" spans="1:26" hidden="1" x14ac:dyDescent="0.35">
      <c r="A1290">
        <v>10420</v>
      </c>
      <c r="B1290">
        <v>66</v>
      </c>
      <c r="C1290" s="3">
        <v>92.95</v>
      </c>
      <c r="D1290">
        <v>6</v>
      </c>
      <c r="E1290" s="3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 s="3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  <c r="Z1290" s="3">
        <f>Table1[[#This Row],[QUANTITYORDERED]]*Table1[[#This Row],[PRICEEACH]]</f>
        <v>6134.7</v>
      </c>
    </row>
    <row r="1291" spans="1:26" hidden="1" x14ac:dyDescent="0.35">
      <c r="A1291">
        <v>10105</v>
      </c>
      <c r="B1291">
        <v>41</v>
      </c>
      <c r="C1291" s="3">
        <v>82.5</v>
      </c>
      <c r="D1291">
        <v>10</v>
      </c>
      <c r="E1291" s="3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 s="3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  <c r="Z1291" s="3">
        <f>Table1[[#This Row],[QUANTITYORDERED]]*Table1[[#This Row],[PRICEEACH]]</f>
        <v>3382.5</v>
      </c>
    </row>
    <row r="1292" spans="1:26" hidden="1" x14ac:dyDescent="0.35">
      <c r="A1292">
        <v>10117</v>
      </c>
      <c r="B1292">
        <v>23</v>
      </c>
      <c r="C1292" s="3">
        <v>97.42</v>
      </c>
      <c r="D1292">
        <v>4</v>
      </c>
      <c r="E1292" s="3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 s="3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  <c r="Z1292" s="3">
        <f>Table1[[#This Row],[QUANTITYORDERED]]*Table1[[#This Row],[PRICEEACH]]</f>
        <v>2240.66</v>
      </c>
    </row>
    <row r="1293" spans="1:26" hidden="1" x14ac:dyDescent="0.35">
      <c r="A1293">
        <v>10128</v>
      </c>
      <c r="B1293">
        <v>43</v>
      </c>
      <c r="C1293" s="3">
        <v>92.16</v>
      </c>
      <c r="D1293">
        <v>1</v>
      </c>
      <c r="E1293" s="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 s="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  <c r="Z1293" s="3">
        <f>Table1[[#This Row],[QUANTITYORDERED]]*Table1[[#This Row],[PRICEEACH]]</f>
        <v>3962.8799999999997</v>
      </c>
    </row>
    <row r="1294" spans="1:26" hidden="1" x14ac:dyDescent="0.35">
      <c r="A1294">
        <v>10142</v>
      </c>
      <c r="B1294">
        <v>24</v>
      </c>
      <c r="C1294" s="3">
        <v>70.22</v>
      </c>
      <c r="D1294">
        <v>7</v>
      </c>
      <c r="E1294" s="3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 s="3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  <c r="Z1294" s="3">
        <f>Table1[[#This Row],[QUANTITYORDERED]]*Table1[[#This Row],[PRICEEACH]]</f>
        <v>1685.28</v>
      </c>
    </row>
    <row r="1295" spans="1:26" hidden="1" x14ac:dyDescent="0.35">
      <c r="A1295">
        <v>10153</v>
      </c>
      <c r="B1295">
        <v>22</v>
      </c>
      <c r="C1295" s="3">
        <v>83.38</v>
      </c>
      <c r="D1295">
        <v>6</v>
      </c>
      <c r="E1295" s="3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 s="3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  <c r="Z1295" s="3">
        <f>Table1[[#This Row],[QUANTITYORDERED]]*Table1[[#This Row],[PRICEEACH]]</f>
        <v>1834.36</v>
      </c>
    </row>
    <row r="1296" spans="1:26" hidden="1" x14ac:dyDescent="0.35">
      <c r="A1296">
        <v>10166</v>
      </c>
      <c r="B1296">
        <v>26</v>
      </c>
      <c r="C1296" s="3">
        <v>73.73</v>
      </c>
      <c r="D1296">
        <v>1</v>
      </c>
      <c r="E1296" s="3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 s="3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  <c r="Z1296" s="3">
        <f>Table1[[#This Row],[QUANTITYORDERED]]*Table1[[#This Row],[PRICEEACH]]</f>
        <v>1916.98</v>
      </c>
    </row>
    <row r="1297" spans="1:26" hidden="1" x14ac:dyDescent="0.35">
      <c r="A1297">
        <v>10177</v>
      </c>
      <c r="B1297">
        <v>35</v>
      </c>
      <c r="C1297" s="3">
        <v>74.599999999999994</v>
      </c>
      <c r="D1297">
        <v>8</v>
      </c>
      <c r="E1297" s="3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 s="3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  <c r="Z1297" s="3">
        <f>Table1[[#This Row],[QUANTITYORDERED]]*Table1[[#This Row],[PRICEEACH]]</f>
        <v>2611</v>
      </c>
    </row>
    <row r="1298" spans="1:26" hidden="1" x14ac:dyDescent="0.35">
      <c r="A1298">
        <v>10185</v>
      </c>
      <c r="B1298">
        <v>47</v>
      </c>
      <c r="C1298" s="3">
        <v>77.239999999999995</v>
      </c>
      <c r="D1298">
        <v>8</v>
      </c>
      <c r="E1298" s="3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 s="3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  <c r="Z1298" s="3">
        <f>Table1[[#This Row],[QUANTITYORDERED]]*Table1[[#This Row],[PRICEEACH]]</f>
        <v>3630.2799999999997</v>
      </c>
    </row>
    <row r="1299" spans="1:26" hidden="1" x14ac:dyDescent="0.35">
      <c r="A1299">
        <v>10197</v>
      </c>
      <c r="B1299">
        <v>50</v>
      </c>
      <c r="C1299" s="3">
        <v>100</v>
      </c>
      <c r="D1299">
        <v>14</v>
      </c>
      <c r="E1299" s="3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 s="3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  <c r="Z1299" s="3">
        <f>Table1[[#This Row],[QUANTITYORDERED]]*Table1[[#This Row],[PRICEEACH]]</f>
        <v>5000</v>
      </c>
    </row>
    <row r="1300" spans="1:26" hidden="1" x14ac:dyDescent="0.35">
      <c r="A1300">
        <v>10208</v>
      </c>
      <c r="B1300">
        <v>45</v>
      </c>
      <c r="C1300" s="3">
        <v>87.77</v>
      </c>
      <c r="D1300">
        <v>8</v>
      </c>
      <c r="E1300" s="3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 s="3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  <c r="Z1300" s="3">
        <f>Table1[[#This Row],[QUANTITYORDERED]]*Table1[[#This Row],[PRICEEACH]]</f>
        <v>3949.6499999999996</v>
      </c>
    </row>
    <row r="1301" spans="1:26" hidden="1" x14ac:dyDescent="0.35">
      <c r="A1301">
        <v>10221</v>
      </c>
      <c r="B1301">
        <v>39</v>
      </c>
      <c r="C1301" s="3">
        <v>89.53</v>
      </c>
      <c r="D1301">
        <v>2</v>
      </c>
      <c r="E1301" s="3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 s="3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  <c r="Z1301" s="3">
        <f>Table1[[#This Row],[QUANTITYORDERED]]*Table1[[#This Row],[PRICEEACH]]</f>
        <v>3491.67</v>
      </c>
    </row>
    <row r="1302" spans="1:26" hidden="1" x14ac:dyDescent="0.35">
      <c r="A1302">
        <v>10232</v>
      </c>
      <c r="B1302">
        <v>23</v>
      </c>
      <c r="C1302" s="3">
        <v>89.53</v>
      </c>
      <c r="D1302">
        <v>5</v>
      </c>
      <c r="E1302" s="3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 s="3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  <c r="Z1302" s="3">
        <f>Table1[[#This Row],[QUANTITYORDERED]]*Table1[[#This Row],[PRICEEACH]]</f>
        <v>2059.19</v>
      </c>
    </row>
    <row r="1303" spans="1:26" hidden="1" x14ac:dyDescent="0.35">
      <c r="A1303">
        <v>10248</v>
      </c>
      <c r="B1303">
        <v>42</v>
      </c>
      <c r="C1303" s="3">
        <v>75.48</v>
      </c>
      <c r="D1303">
        <v>11</v>
      </c>
      <c r="E1303" s="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 s="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  <c r="Z1303" s="3">
        <f>Table1[[#This Row],[QUANTITYORDERED]]*Table1[[#This Row],[PRICEEACH]]</f>
        <v>3170.1600000000003</v>
      </c>
    </row>
    <row r="1304" spans="1:26" hidden="1" x14ac:dyDescent="0.35">
      <c r="A1304">
        <v>10261</v>
      </c>
      <c r="B1304">
        <v>20</v>
      </c>
      <c r="C1304" s="3">
        <v>89.53</v>
      </c>
      <c r="D1304">
        <v>9</v>
      </c>
      <c r="E1304" s="3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 s="3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  <c r="Z1304" s="3">
        <f>Table1[[#This Row],[QUANTITYORDERED]]*Table1[[#This Row],[PRICEEACH]]</f>
        <v>1790.6</v>
      </c>
    </row>
    <row r="1305" spans="1:26" hidden="1" x14ac:dyDescent="0.35">
      <c r="A1305">
        <v>10273</v>
      </c>
      <c r="B1305">
        <v>33</v>
      </c>
      <c r="C1305" s="3">
        <v>71.09</v>
      </c>
      <c r="D1305">
        <v>12</v>
      </c>
      <c r="E1305" s="3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 s="3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  <c r="Z1305" s="3">
        <f>Table1[[#This Row],[QUANTITYORDERED]]*Table1[[#This Row],[PRICEEACH]]</f>
        <v>2345.9700000000003</v>
      </c>
    </row>
    <row r="1306" spans="1:26" hidden="1" x14ac:dyDescent="0.35">
      <c r="A1306">
        <v>10283</v>
      </c>
      <c r="B1306">
        <v>34</v>
      </c>
      <c r="C1306" s="3">
        <v>100</v>
      </c>
      <c r="D1306">
        <v>14</v>
      </c>
      <c r="E1306" s="3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 s="3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  <c r="Z1306" s="3">
        <f>Table1[[#This Row],[QUANTITYORDERED]]*Table1[[#This Row],[PRICEEACH]]</f>
        <v>3400</v>
      </c>
    </row>
    <row r="1307" spans="1:26" hidden="1" x14ac:dyDescent="0.35">
      <c r="A1307">
        <v>10293</v>
      </c>
      <c r="B1307">
        <v>49</v>
      </c>
      <c r="C1307" s="3">
        <v>100</v>
      </c>
      <c r="D1307">
        <v>3</v>
      </c>
      <c r="E1307" s="3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 s="3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  <c r="Z1307" s="3">
        <f>Table1[[#This Row],[QUANTITYORDERED]]*Table1[[#This Row],[PRICEEACH]]</f>
        <v>4900</v>
      </c>
    </row>
    <row r="1308" spans="1:26" hidden="1" x14ac:dyDescent="0.35">
      <c r="A1308">
        <v>10306</v>
      </c>
      <c r="B1308">
        <v>39</v>
      </c>
      <c r="C1308" s="3">
        <v>90.4</v>
      </c>
      <c r="D1308">
        <v>8</v>
      </c>
      <c r="E1308" s="3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 s="3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  <c r="Z1308" s="3">
        <f>Table1[[#This Row],[QUANTITYORDERED]]*Table1[[#This Row],[PRICEEACH]]</f>
        <v>3525.6000000000004</v>
      </c>
    </row>
    <row r="1309" spans="1:26" hidden="1" x14ac:dyDescent="0.35">
      <c r="A1309">
        <v>10315</v>
      </c>
      <c r="B1309">
        <v>36</v>
      </c>
      <c r="C1309" s="3">
        <v>100</v>
      </c>
      <c r="D1309">
        <v>7</v>
      </c>
      <c r="E1309" s="3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 s="3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  <c r="Z1309" s="3">
        <f>Table1[[#This Row],[QUANTITYORDERED]]*Table1[[#This Row],[PRICEEACH]]</f>
        <v>3600</v>
      </c>
    </row>
    <row r="1310" spans="1:26" hidden="1" x14ac:dyDescent="0.35">
      <c r="A1310">
        <v>10326</v>
      </c>
      <c r="B1310">
        <v>50</v>
      </c>
      <c r="C1310" s="3">
        <v>86.01</v>
      </c>
      <c r="D1310">
        <v>5</v>
      </c>
      <c r="E1310" s="3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 s="3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  <c r="Z1310" s="3">
        <f>Table1[[#This Row],[QUANTITYORDERED]]*Table1[[#This Row],[PRICEEACH]]</f>
        <v>4300.5</v>
      </c>
    </row>
    <row r="1311" spans="1:26" hidden="1" x14ac:dyDescent="0.35">
      <c r="A1311">
        <v>10337</v>
      </c>
      <c r="B1311">
        <v>29</v>
      </c>
      <c r="C1311" s="3">
        <v>100</v>
      </c>
      <c r="D1311">
        <v>2</v>
      </c>
      <c r="E1311" s="3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 s="3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  <c r="Z1311" s="3">
        <f>Table1[[#This Row],[QUANTITYORDERED]]*Table1[[#This Row],[PRICEEACH]]</f>
        <v>2900</v>
      </c>
    </row>
    <row r="1312" spans="1:26" hidden="1" x14ac:dyDescent="0.35">
      <c r="A1312">
        <v>10350</v>
      </c>
      <c r="B1312">
        <v>30</v>
      </c>
      <c r="C1312" s="3">
        <v>100</v>
      </c>
      <c r="D1312">
        <v>3</v>
      </c>
      <c r="E1312" s="3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 s="3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  <c r="Z1312" s="3">
        <f>Table1[[#This Row],[QUANTITYORDERED]]*Table1[[#This Row],[PRICEEACH]]</f>
        <v>3000</v>
      </c>
    </row>
    <row r="1313" spans="1:26" hidden="1" x14ac:dyDescent="0.35">
      <c r="A1313">
        <v>10372</v>
      </c>
      <c r="B1313">
        <v>41</v>
      </c>
      <c r="C1313" s="3">
        <v>86.89</v>
      </c>
      <c r="D1313">
        <v>7</v>
      </c>
      <c r="E1313" s="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 s="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  <c r="Z1313" s="3">
        <f>Table1[[#This Row],[QUANTITYORDERED]]*Table1[[#This Row],[PRICEEACH]]</f>
        <v>3562.4900000000002</v>
      </c>
    </row>
    <row r="1314" spans="1:26" hidden="1" x14ac:dyDescent="0.35">
      <c r="A1314">
        <v>10383</v>
      </c>
      <c r="B1314">
        <v>28</v>
      </c>
      <c r="C1314" s="3">
        <v>58.58</v>
      </c>
      <c r="D1314">
        <v>7</v>
      </c>
      <c r="E1314" s="3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 s="3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  <c r="Z1314" s="3">
        <f>Table1[[#This Row],[QUANTITYORDERED]]*Table1[[#This Row],[PRICEEACH]]</f>
        <v>1640.24</v>
      </c>
    </row>
    <row r="1315" spans="1:26" hidden="1" x14ac:dyDescent="0.35">
      <c r="A1315">
        <v>10396</v>
      </c>
      <c r="B1315">
        <v>45</v>
      </c>
      <c r="C1315" s="3">
        <v>100</v>
      </c>
      <c r="D1315">
        <v>5</v>
      </c>
      <c r="E1315" s="3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 s="3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  <c r="Z1315" s="3">
        <f>Table1[[#This Row],[QUANTITYORDERED]]*Table1[[#This Row],[PRICEEACH]]</f>
        <v>4500</v>
      </c>
    </row>
    <row r="1316" spans="1:26" hidden="1" x14ac:dyDescent="0.35">
      <c r="A1316">
        <v>10414</v>
      </c>
      <c r="B1316">
        <v>16</v>
      </c>
      <c r="C1316" s="3">
        <v>75.48</v>
      </c>
      <c r="D1316">
        <v>11</v>
      </c>
      <c r="E1316" s="3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 s="3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  <c r="Z1316" s="3">
        <f>Table1[[#This Row],[QUANTITYORDERED]]*Table1[[#This Row],[PRICEEACH]]</f>
        <v>1207.68</v>
      </c>
    </row>
    <row r="1317" spans="1:26" hidden="1" x14ac:dyDescent="0.35">
      <c r="A1317">
        <v>10103</v>
      </c>
      <c r="B1317">
        <v>36</v>
      </c>
      <c r="C1317" s="3">
        <v>100</v>
      </c>
      <c r="D1317">
        <v>5</v>
      </c>
      <c r="E1317" s="3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 s="3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  <c r="Z1317" s="3">
        <f>Table1[[#This Row],[QUANTITYORDERED]]*Table1[[#This Row],[PRICEEACH]]</f>
        <v>3600</v>
      </c>
    </row>
    <row r="1318" spans="1:26" hidden="1" x14ac:dyDescent="0.35">
      <c r="A1318">
        <v>10114</v>
      </c>
      <c r="B1318">
        <v>41</v>
      </c>
      <c r="C1318" s="3">
        <v>100</v>
      </c>
      <c r="D1318">
        <v>9</v>
      </c>
      <c r="E1318" s="3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 s="3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  <c r="Z1318" s="3">
        <f>Table1[[#This Row],[QUANTITYORDERED]]*Table1[[#This Row],[PRICEEACH]]</f>
        <v>4100</v>
      </c>
    </row>
    <row r="1319" spans="1:26" hidden="1" x14ac:dyDescent="0.35">
      <c r="A1319">
        <v>10126</v>
      </c>
      <c r="B1319">
        <v>50</v>
      </c>
      <c r="C1319" s="3">
        <v>100</v>
      </c>
      <c r="D1319">
        <v>5</v>
      </c>
      <c r="E1319" s="3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 s="3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  <c r="Z1319" s="3">
        <f>Table1[[#This Row],[QUANTITYORDERED]]*Table1[[#This Row],[PRICEEACH]]</f>
        <v>5000</v>
      </c>
    </row>
    <row r="1320" spans="1:26" hidden="1" x14ac:dyDescent="0.35">
      <c r="A1320">
        <v>10140</v>
      </c>
      <c r="B1320">
        <v>40</v>
      </c>
      <c r="C1320" s="3">
        <v>100</v>
      </c>
      <c r="D1320">
        <v>5</v>
      </c>
      <c r="E1320" s="3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 s="3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  <c r="Z1320" s="3">
        <f>Table1[[#This Row],[QUANTITYORDERED]]*Table1[[#This Row],[PRICEEACH]]</f>
        <v>4000</v>
      </c>
    </row>
    <row r="1321" spans="1:26" hidden="1" x14ac:dyDescent="0.35">
      <c r="A1321">
        <v>10150</v>
      </c>
      <c r="B1321">
        <v>49</v>
      </c>
      <c r="C1321" s="3">
        <v>100</v>
      </c>
      <c r="D1321">
        <v>2</v>
      </c>
      <c r="E1321" s="3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 s="3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  <c r="Z1321" s="3">
        <f>Table1[[#This Row],[QUANTITYORDERED]]*Table1[[#This Row],[PRICEEACH]]</f>
        <v>4900</v>
      </c>
    </row>
    <row r="1322" spans="1:26" hidden="1" x14ac:dyDescent="0.35">
      <c r="A1322">
        <v>10164</v>
      </c>
      <c r="B1322">
        <v>45</v>
      </c>
      <c r="C1322" s="3">
        <v>100</v>
      </c>
      <c r="D1322">
        <v>3</v>
      </c>
      <c r="E1322" s="3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 s="3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  <c r="Z1322" s="3">
        <f>Table1[[#This Row],[QUANTITYORDERED]]*Table1[[#This Row],[PRICEEACH]]</f>
        <v>4500</v>
      </c>
    </row>
    <row r="1323" spans="1:26" hidden="1" x14ac:dyDescent="0.35">
      <c r="A1323">
        <v>10175</v>
      </c>
      <c r="B1323">
        <v>47</v>
      </c>
      <c r="C1323" s="3">
        <v>100</v>
      </c>
      <c r="D1323">
        <v>10</v>
      </c>
      <c r="E1323" s="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 s="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  <c r="Z1323" s="3">
        <f>Table1[[#This Row],[QUANTITYORDERED]]*Table1[[#This Row],[PRICEEACH]]</f>
        <v>4700</v>
      </c>
    </row>
    <row r="1324" spans="1:26" hidden="1" x14ac:dyDescent="0.35">
      <c r="A1324">
        <v>10183</v>
      </c>
      <c r="B1324">
        <v>21</v>
      </c>
      <c r="C1324" s="3">
        <v>100</v>
      </c>
      <c r="D1324">
        <v>2</v>
      </c>
      <c r="E1324" s="3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 s="3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  <c r="Z1324" s="3">
        <f>Table1[[#This Row],[QUANTITYORDERED]]*Table1[[#This Row],[PRICEEACH]]</f>
        <v>2100</v>
      </c>
    </row>
    <row r="1325" spans="1:26" hidden="1" x14ac:dyDescent="0.35">
      <c r="A1325">
        <v>10194</v>
      </c>
      <c r="B1325">
        <v>32</v>
      </c>
      <c r="C1325" s="3">
        <v>100</v>
      </c>
      <c r="D1325">
        <v>5</v>
      </c>
      <c r="E1325" s="3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 s="3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  <c r="Z1325" s="3">
        <f>Table1[[#This Row],[QUANTITYORDERED]]*Table1[[#This Row],[PRICEEACH]]</f>
        <v>3200</v>
      </c>
    </row>
    <row r="1326" spans="1:26" hidden="1" x14ac:dyDescent="0.35">
      <c r="A1326">
        <v>10207</v>
      </c>
      <c r="B1326">
        <v>47</v>
      </c>
      <c r="C1326" s="3">
        <v>100</v>
      </c>
      <c r="D1326">
        <v>16</v>
      </c>
      <c r="E1326" s="3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 s="3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  <c r="Z1326" s="3">
        <f>Table1[[#This Row],[QUANTITYORDERED]]*Table1[[#This Row],[PRICEEACH]]</f>
        <v>4700</v>
      </c>
    </row>
    <row r="1327" spans="1:26" hidden="1" x14ac:dyDescent="0.35">
      <c r="A1327">
        <v>10217</v>
      </c>
      <c r="B1327">
        <v>38</v>
      </c>
      <c r="C1327" s="3">
        <v>100</v>
      </c>
      <c r="D1327">
        <v>5</v>
      </c>
      <c r="E1327" s="3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 s="3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  <c r="Z1327" s="3">
        <f>Table1[[#This Row],[QUANTITYORDERED]]*Table1[[#This Row],[PRICEEACH]]</f>
        <v>3800</v>
      </c>
    </row>
    <row r="1328" spans="1:26" hidden="1" x14ac:dyDescent="0.35">
      <c r="A1328">
        <v>10229</v>
      </c>
      <c r="B1328">
        <v>41</v>
      </c>
      <c r="C1328" s="3">
        <v>100</v>
      </c>
      <c r="D1328">
        <v>10</v>
      </c>
      <c r="E1328" s="3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 s="3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  <c r="Z1328" s="3">
        <f>Table1[[#This Row],[QUANTITYORDERED]]*Table1[[#This Row],[PRICEEACH]]</f>
        <v>4100</v>
      </c>
    </row>
    <row r="1329" spans="1:26" hidden="1" x14ac:dyDescent="0.35">
      <c r="A1329">
        <v>10245</v>
      </c>
      <c r="B1329">
        <v>21</v>
      </c>
      <c r="C1329" s="3">
        <v>100</v>
      </c>
      <c r="D1329">
        <v>3</v>
      </c>
      <c r="E1329" s="3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 s="3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  <c r="Z1329" s="3">
        <f>Table1[[#This Row],[QUANTITYORDERED]]*Table1[[#This Row],[PRICEEACH]]</f>
        <v>2100</v>
      </c>
    </row>
    <row r="1330" spans="1:26" hidden="1" x14ac:dyDescent="0.35">
      <c r="A1330">
        <v>10259</v>
      </c>
      <c r="B1330">
        <v>41</v>
      </c>
      <c r="C1330" s="3">
        <v>100</v>
      </c>
      <c r="D1330">
        <v>13</v>
      </c>
      <c r="E1330" s="3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 s="3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  <c r="Z1330" s="3">
        <f>Table1[[#This Row],[QUANTITYORDERED]]*Table1[[#This Row],[PRICEEACH]]</f>
        <v>4100</v>
      </c>
    </row>
    <row r="1331" spans="1:26" hidden="1" x14ac:dyDescent="0.35">
      <c r="A1331">
        <v>10270</v>
      </c>
      <c r="B1331">
        <v>38</v>
      </c>
      <c r="C1331" s="3">
        <v>100</v>
      </c>
      <c r="D1331">
        <v>3</v>
      </c>
      <c r="E1331" s="3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 s="3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  <c r="Z1331" s="3">
        <f>Table1[[#This Row],[QUANTITYORDERED]]*Table1[[#This Row],[PRICEEACH]]</f>
        <v>3800</v>
      </c>
    </row>
    <row r="1332" spans="1:26" hidden="1" x14ac:dyDescent="0.35">
      <c r="A1332">
        <v>10281</v>
      </c>
      <c r="B1332">
        <v>25</v>
      </c>
      <c r="C1332" s="3">
        <v>99.29</v>
      </c>
      <c r="D1332">
        <v>10</v>
      </c>
      <c r="E1332" s="3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 s="3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  <c r="Z1332" s="3">
        <f>Table1[[#This Row],[QUANTITYORDERED]]*Table1[[#This Row],[PRICEEACH]]</f>
        <v>2482.25</v>
      </c>
    </row>
    <row r="1333" spans="1:26" hidden="1" x14ac:dyDescent="0.35">
      <c r="A1333">
        <v>10291</v>
      </c>
      <c r="B1333">
        <v>48</v>
      </c>
      <c r="C1333" s="3">
        <v>100</v>
      </c>
      <c r="D1333">
        <v>5</v>
      </c>
      <c r="E1333" s="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 s="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  <c r="Z1333" s="3">
        <f>Table1[[#This Row],[QUANTITYORDERED]]*Table1[[#This Row],[PRICEEACH]]</f>
        <v>4800</v>
      </c>
    </row>
    <row r="1334" spans="1:26" hidden="1" x14ac:dyDescent="0.35">
      <c r="A1334">
        <v>10305</v>
      </c>
      <c r="B1334">
        <v>22</v>
      </c>
      <c r="C1334" s="3">
        <v>99.29</v>
      </c>
      <c r="D1334">
        <v>14</v>
      </c>
      <c r="E1334" s="3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 s="3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  <c r="Z1334" s="3">
        <f>Table1[[#This Row],[QUANTITYORDERED]]*Table1[[#This Row],[PRICEEACH]]</f>
        <v>2184.38</v>
      </c>
    </row>
    <row r="1335" spans="1:26" hidden="1" x14ac:dyDescent="0.35">
      <c r="A1335">
        <v>10313</v>
      </c>
      <c r="B1335">
        <v>28</v>
      </c>
      <c r="C1335" s="3">
        <v>100</v>
      </c>
      <c r="D1335">
        <v>8</v>
      </c>
      <c r="E1335" s="3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 s="3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  <c r="Z1335" s="3">
        <f>Table1[[#This Row],[QUANTITYORDERED]]*Table1[[#This Row],[PRICEEACH]]</f>
        <v>2800</v>
      </c>
    </row>
    <row r="1336" spans="1:26" hidden="1" x14ac:dyDescent="0.35">
      <c r="A1336">
        <v>10323</v>
      </c>
      <c r="B1336">
        <v>47</v>
      </c>
      <c r="C1336" s="3">
        <v>100</v>
      </c>
      <c r="D1336">
        <v>1</v>
      </c>
      <c r="E1336" s="3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 s="3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  <c r="Z1336" s="3">
        <f>Table1[[#This Row],[QUANTITYORDERED]]*Table1[[#This Row],[PRICEEACH]]</f>
        <v>4700</v>
      </c>
    </row>
    <row r="1337" spans="1:26" hidden="1" x14ac:dyDescent="0.35">
      <c r="A1337">
        <v>10334</v>
      </c>
      <c r="B1337">
        <v>49</v>
      </c>
      <c r="C1337" s="3">
        <v>100</v>
      </c>
      <c r="D1337">
        <v>4</v>
      </c>
      <c r="E1337" s="3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 s="3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  <c r="Z1337" s="3">
        <f>Table1[[#This Row],[QUANTITYORDERED]]*Table1[[#This Row],[PRICEEACH]]</f>
        <v>4900</v>
      </c>
    </row>
    <row r="1338" spans="1:26" hidden="1" x14ac:dyDescent="0.35">
      <c r="A1338">
        <v>10347</v>
      </c>
      <c r="B1338">
        <v>45</v>
      </c>
      <c r="C1338" s="3">
        <v>100</v>
      </c>
      <c r="D1338">
        <v>4</v>
      </c>
      <c r="E1338" s="3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 s="3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  <c r="Z1338" s="3">
        <f>Table1[[#This Row],[QUANTITYORDERED]]*Table1[[#This Row],[PRICEEACH]]</f>
        <v>4500</v>
      </c>
    </row>
    <row r="1339" spans="1:26" hidden="1" x14ac:dyDescent="0.35">
      <c r="A1339">
        <v>10357</v>
      </c>
      <c r="B1339">
        <v>28</v>
      </c>
      <c r="C1339" s="3">
        <v>100</v>
      </c>
      <c r="D1339">
        <v>2</v>
      </c>
      <c r="E1339" s="3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 s="3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  <c r="Z1339" s="3">
        <f>Table1[[#This Row],[QUANTITYORDERED]]*Table1[[#This Row],[PRICEEACH]]</f>
        <v>2800</v>
      </c>
    </row>
    <row r="1340" spans="1:26" hidden="1" x14ac:dyDescent="0.35">
      <c r="A1340">
        <v>10370</v>
      </c>
      <c r="B1340">
        <v>29</v>
      </c>
      <c r="C1340" s="3">
        <v>57.53</v>
      </c>
      <c r="D1340">
        <v>6</v>
      </c>
      <c r="E1340" s="3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 s="3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  <c r="Z1340" s="3">
        <f>Table1[[#This Row],[QUANTITYORDERED]]*Table1[[#This Row],[PRICEEACH]]</f>
        <v>1668.3700000000001</v>
      </c>
    </row>
    <row r="1341" spans="1:26" hidden="1" x14ac:dyDescent="0.35">
      <c r="A1341">
        <v>10382</v>
      </c>
      <c r="B1341">
        <v>39</v>
      </c>
      <c r="C1341" s="3">
        <v>100</v>
      </c>
      <c r="D1341">
        <v>1</v>
      </c>
      <c r="E1341" s="3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 s="3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  <c r="Z1341" s="3">
        <f>Table1[[#This Row],[QUANTITYORDERED]]*Table1[[#This Row],[PRICEEACH]]</f>
        <v>3900</v>
      </c>
    </row>
    <row r="1342" spans="1:26" hidden="1" x14ac:dyDescent="0.35">
      <c r="A1342">
        <v>10411</v>
      </c>
      <c r="B1342">
        <v>46</v>
      </c>
      <c r="C1342" s="3">
        <v>100</v>
      </c>
      <c r="D1342">
        <v>3</v>
      </c>
      <c r="E1342" s="3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 s="3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  <c r="Z1342" s="3">
        <f>Table1[[#This Row],[QUANTITYORDERED]]*Table1[[#This Row],[PRICEEACH]]</f>
        <v>4600</v>
      </c>
    </row>
    <row r="1343" spans="1:26" hidden="1" x14ac:dyDescent="0.35">
      <c r="A1343">
        <v>10425</v>
      </c>
      <c r="B1343">
        <v>38</v>
      </c>
      <c r="C1343" s="3">
        <v>100</v>
      </c>
      <c r="D1343">
        <v>13</v>
      </c>
      <c r="E1343" s="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 s="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  <c r="Z1343" s="3">
        <f>Table1[[#This Row],[QUANTITYORDERED]]*Table1[[#This Row],[PRICEEACH]]</f>
        <v>3800</v>
      </c>
    </row>
    <row r="1344" spans="1:26" hidden="1" x14ac:dyDescent="0.35">
      <c r="A1344">
        <v>10103</v>
      </c>
      <c r="B1344">
        <v>41</v>
      </c>
      <c r="C1344" s="3">
        <v>47.29</v>
      </c>
      <c r="D1344">
        <v>9</v>
      </c>
      <c r="E1344" s="3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 s="3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  <c r="Z1344" s="3">
        <f>Table1[[#This Row],[QUANTITYORDERED]]*Table1[[#This Row],[PRICEEACH]]</f>
        <v>1938.8899999999999</v>
      </c>
    </row>
    <row r="1345" spans="1:26" hidden="1" x14ac:dyDescent="0.35">
      <c r="A1345">
        <v>10113</v>
      </c>
      <c r="B1345">
        <v>50</v>
      </c>
      <c r="C1345" s="3">
        <v>49.81</v>
      </c>
      <c r="D1345">
        <v>3</v>
      </c>
      <c r="E1345" s="3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 s="3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  <c r="Z1345" s="3">
        <f>Table1[[#This Row],[QUANTITYORDERED]]*Table1[[#This Row],[PRICEEACH]]</f>
        <v>2490.5</v>
      </c>
    </row>
    <row r="1346" spans="1:26" hidden="1" x14ac:dyDescent="0.35">
      <c r="A1346">
        <v>10126</v>
      </c>
      <c r="B1346">
        <v>43</v>
      </c>
      <c r="C1346" s="3">
        <v>53.83</v>
      </c>
      <c r="D1346">
        <v>9</v>
      </c>
      <c r="E1346" s="3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 s="3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  <c r="Z1346" s="3">
        <f>Table1[[#This Row],[QUANTITYORDERED]]*Table1[[#This Row],[PRICEEACH]]</f>
        <v>2314.69</v>
      </c>
    </row>
    <row r="1347" spans="1:26" hidden="1" x14ac:dyDescent="0.35">
      <c r="A1347">
        <v>10140</v>
      </c>
      <c r="B1347">
        <v>29</v>
      </c>
      <c r="C1347" s="3">
        <v>43.27</v>
      </c>
      <c r="D1347">
        <v>9</v>
      </c>
      <c r="E1347" s="3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 s="3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  <c r="Z1347" s="3">
        <f>Table1[[#This Row],[QUANTITYORDERED]]*Table1[[#This Row],[PRICEEACH]]</f>
        <v>1254.8300000000002</v>
      </c>
    </row>
    <row r="1348" spans="1:26" hidden="1" x14ac:dyDescent="0.35">
      <c r="A1348">
        <v>10150</v>
      </c>
      <c r="B1348">
        <v>30</v>
      </c>
      <c r="C1348" s="3">
        <v>42.76</v>
      </c>
      <c r="D1348">
        <v>6</v>
      </c>
      <c r="E1348" s="3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 s="3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  <c r="Z1348" s="3">
        <f>Table1[[#This Row],[QUANTITYORDERED]]*Table1[[#This Row],[PRICEEACH]]</f>
        <v>1282.8</v>
      </c>
    </row>
    <row r="1349" spans="1:26" hidden="1" x14ac:dyDescent="0.35">
      <c r="A1349">
        <v>10164</v>
      </c>
      <c r="B1349">
        <v>25</v>
      </c>
      <c r="C1349" s="3">
        <v>53.83</v>
      </c>
      <c r="D1349">
        <v>7</v>
      </c>
      <c r="E1349" s="3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 s="3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  <c r="Z1349" s="3">
        <f>Table1[[#This Row],[QUANTITYORDERED]]*Table1[[#This Row],[PRICEEACH]]</f>
        <v>1345.75</v>
      </c>
    </row>
    <row r="1350" spans="1:26" hidden="1" x14ac:dyDescent="0.35">
      <c r="A1350">
        <v>10174</v>
      </c>
      <c r="B1350">
        <v>49</v>
      </c>
      <c r="C1350" s="3">
        <v>44.78</v>
      </c>
      <c r="D1350">
        <v>2</v>
      </c>
      <c r="E1350" s="3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 s="3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  <c r="Z1350" s="3">
        <f>Table1[[#This Row],[QUANTITYORDERED]]*Table1[[#This Row],[PRICEEACH]]</f>
        <v>2194.2200000000003</v>
      </c>
    </row>
    <row r="1351" spans="1:26" hidden="1" x14ac:dyDescent="0.35">
      <c r="A1351">
        <v>10183</v>
      </c>
      <c r="B1351">
        <v>40</v>
      </c>
      <c r="C1351" s="3">
        <v>49.3</v>
      </c>
      <c r="D1351">
        <v>6</v>
      </c>
      <c r="E1351" s="3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 s="3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  <c r="Z1351" s="3">
        <f>Table1[[#This Row],[QUANTITYORDERED]]*Table1[[#This Row],[PRICEEACH]]</f>
        <v>1972</v>
      </c>
    </row>
    <row r="1352" spans="1:26" hidden="1" x14ac:dyDescent="0.35">
      <c r="A1352">
        <v>10194</v>
      </c>
      <c r="B1352">
        <v>41</v>
      </c>
      <c r="C1352" s="3">
        <v>44.78</v>
      </c>
      <c r="D1352">
        <v>9</v>
      </c>
      <c r="E1352" s="3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 s="3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  <c r="Z1352" s="3">
        <f>Table1[[#This Row],[QUANTITYORDERED]]*Table1[[#This Row],[PRICEEACH]]</f>
        <v>1835.98</v>
      </c>
    </row>
    <row r="1353" spans="1:26" hidden="1" x14ac:dyDescent="0.35">
      <c r="A1353">
        <v>10206</v>
      </c>
      <c r="B1353">
        <v>21</v>
      </c>
      <c r="C1353" s="3">
        <v>53.33</v>
      </c>
      <c r="D1353">
        <v>4</v>
      </c>
      <c r="E1353" s="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 s="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  <c r="Z1353" s="3">
        <f>Table1[[#This Row],[QUANTITYORDERED]]*Table1[[#This Row],[PRICEEACH]]</f>
        <v>1119.93</v>
      </c>
    </row>
    <row r="1354" spans="1:26" hidden="1" x14ac:dyDescent="0.35">
      <c r="A1354">
        <v>10215</v>
      </c>
      <c r="B1354">
        <v>46</v>
      </c>
      <c r="C1354" s="3">
        <v>45.28</v>
      </c>
      <c r="D1354">
        <v>1</v>
      </c>
      <c r="E1354" s="3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 s="3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  <c r="Z1354" s="3">
        <f>Table1[[#This Row],[QUANTITYORDERED]]*Table1[[#This Row],[PRICEEACH]]</f>
        <v>2082.88</v>
      </c>
    </row>
    <row r="1355" spans="1:26" hidden="1" x14ac:dyDescent="0.35">
      <c r="A1355">
        <v>10229</v>
      </c>
      <c r="B1355">
        <v>39</v>
      </c>
      <c r="C1355" s="3">
        <v>40.25</v>
      </c>
      <c r="D1355">
        <v>14</v>
      </c>
      <c r="E1355" s="3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 s="3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  <c r="Z1355" s="3">
        <f>Table1[[#This Row],[QUANTITYORDERED]]*Table1[[#This Row],[PRICEEACH]]</f>
        <v>1569.75</v>
      </c>
    </row>
    <row r="1356" spans="1:26" hidden="1" x14ac:dyDescent="0.35">
      <c r="A1356">
        <v>10245</v>
      </c>
      <c r="B1356">
        <v>45</v>
      </c>
      <c r="C1356" s="3">
        <v>59.87</v>
      </c>
      <c r="D1356">
        <v>7</v>
      </c>
      <c r="E1356" s="3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 s="3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  <c r="Z1356" s="3">
        <f>Table1[[#This Row],[QUANTITYORDERED]]*Table1[[#This Row],[PRICEEACH]]</f>
        <v>2694.15</v>
      </c>
    </row>
    <row r="1357" spans="1:26" hidden="1" x14ac:dyDescent="0.35">
      <c r="A1357">
        <v>10258</v>
      </c>
      <c r="B1357">
        <v>21</v>
      </c>
      <c r="C1357" s="3">
        <v>59.87</v>
      </c>
      <c r="D1357">
        <v>4</v>
      </c>
      <c r="E1357" s="3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 s="3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  <c r="Z1357" s="3">
        <f>Table1[[#This Row],[QUANTITYORDERED]]*Table1[[#This Row],[PRICEEACH]]</f>
        <v>1257.27</v>
      </c>
    </row>
    <row r="1358" spans="1:26" hidden="1" x14ac:dyDescent="0.35">
      <c r="A1358">
        <v>10270</v>
      </c>
      <c r="B1358">
        <v>44</v>
      </c>
      <c r="C1358" s="3">
        <v>58.36</v>
      </c>
      <c r="D1358">
        <v>7</v>
      </c>
      <c r="E1358" s="3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 s="3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  <c r="Z1358" s="3">
        <f>Table1[[#This Row],[QUANTITYORDERED]]*Table1[[#This Row],[PRICEEACH]]</f>
        <v>2567.84</v>
      </c>
    </row>
    <row r="1359" spans="1:26" hidden="1" x14ac:dyDescent="0.35">
      <c r="A1359">
        <v>10281</v>
      </c>
      <c r="B1359">
        <v>44</v>
      </c>
      <c r="C1359" s="3">
        <v>59.87</v>
      </c>
      <c r="D1359">
        <v>14</v>
      </c>
      <c r="E1359" s="3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 s="3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  <c r="Z1359" s="3">
        <f>Table1[[#This Row],[QUANTITYORDERED]]*Table1[[#This Row],[PRICEEACH]]</f>
        <v>2634.2799999999997</v>
      </c>
    </row>
    <row r="1360" spans="1:26" hidden="1" x14ac:dyDescent="0.35">
      <c r="A1360">
        <v>10291</v>
      </c>
      <c r="B1360">
        <v>29</v>
      </c>
      <c r="C1360" s="3">
        <v>51.82</v>
      </c>
      <c r="D1360">
        <v>9</v>
      </c>
      <c r="E1360" s="3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 s="3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  <c r="Z1360" s="3">
        <f>Table1[[#This Row],[QUANTITYORDERED]]*Table1[[#This Row],[PRICEEACH]]</f>
        <v>1502.78</v>
      </c>
    </row>
    <row r="1361" spans="1:26" hidden="1" x14ac:dyDescent="0.35">
      <c r="A1361">
        <v>10304</v>
      </c>
      <c r="B1361">
        <v>34</v>
      </c>
      <c r="C1361" s="3">
        <v>49.3</v>
      </c>
      <c r="D1361">
        <v>4</v>
      </c>
      <c r="E1361" s="3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 s="3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  <c r="Z1361" s="3">
        <f>Table1[[#This Row],[QUANTITYORDERED]]*Table1[[#This Row],[PRICEEACH]]</f>
        <v>1676.1999999999998</v>
      </c>
    </row>
    <row r="1362" spans="1:26" hidden="1" x14ac:dyDescent="0.35">
      <c r="A1362">
        <v>10312</v>
      </c>
      <c r="B1362">
        <v>39</v>
      </c>
      <c r="C1362" s="3">
        <v>56.85</v>
      </c>
      <c r="D1362">
        <v>1</v>
      </c>
      <c r="E1362" s="3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 s="3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  <c r="Z1362" s="3">
        <f>Table1[[#This Row],[QUANTITYORDERED]]*Table1[[#This Row],[PRICEEACH]]</f>
        <v>2217.15</v>
      </c>
    </row>
    <row r="1363" spans="1:26" hidden="1" x14ac:dyDescent="0.35">
      <c r="A1363">
        <v>10324</v>
      </c>
      <c r="B1363">
        <v>38</v>
      </c>
      <c r="C1363" s="3">
        <v>100</v>
      </c>
      <c r="D1363">
        <v>6</v>
      </c>
      <c r="E1363" s="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 s="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  <c r="Z1363" s="3">
        <f>Table1[[#This Row],[QUANTITYORDERED]]*Table1[[#This Row],[PRICEEACH]]</f>
        <v>3800</v>
      </c>
    </row>
    <row r="1364" spans="1:26" hidden="1" x14ac:dyDescent="0.35">
      <c r="A1364">
        <v>10333</v>
      </c>
      <c r="B1364">
        <v>24</v>
      </c>
      <c r="C1364" s="3">
        <v>79.86</v>
      </c>
      <c r="D1364">
        <v>8</v>
      </c>
      <c r="E1364" s="3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 s="3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  <c r="Z1364" s="3">
        <f>Table1[[#This Row],[QUANTITYORDERED]]*Table1[[#This Row],[PRICEEACH]]</f>
        <v>1916.6399999999999</v>
      </c>
    </row>
    <row r="1365" spans="1:26" hidden="1" x14ac:dyDescent="0.35">
      <c r="A1365">
        <v>10348</v>
      </c>
      <c r="B1365">
        <v>29</v>
      </c>
      <c r="C1365" s="3">
        <v>100</v>
      </c>
      <c r="D1365">
        <v>6</v>
      </c>
      <c r="E1365" s="3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 s="3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  <c r="Z1365" s="3">
        <f>Table1[[#This Row],[QUANTITYORDERED]]*Table1[[#This Row],[PRICEEACH]]</f>
        <v>2900</v>
      </c>
    </row>
    <row r="1366" spans="1:26" hidden="1" x14ac:dyDescent="0.35">
      <c r="A1366">
        <v>10358</v>
      </c>
      <c r="B1366">
        <v>30</v>
      </c>
      <c r="C1366" s="3">
        <v>100</v>
      </c>
      <c r="D1366">
        <v>8</v>
      </c>
      <c r="E1366" s="3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 s="3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  <c r="Z1366" s="3">
        <f>Table1[[#This Row],[QUANTITYORDERED]]*Table1[[#This Row],[PRICEEACH]]</f>
        <v>3000</v>
      </c>
    </row>
    <row r="1367" spans="1:26" hidden="1" x14ac:dyDescent="0.35">
      <c r="A1367">
        <v>10370</v>
      </c>
      <c r="B1367">
        <v>20</v>
      </c>
      <c r="C1367" s="3">
        <v>100</v>
      </c>
      <c r="D1367">
        <v>2</v>
      </c>
      <c r="E1367" s="3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 s="3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  <c r="Z1367" s="3">
        <f>Table1[[#This Row],[QUANTITYORDERED]]*Table1[[#This Row],[PRICEEACH]]</f>
        <v>2000</v>
      </c>
    </row>
    <row r="1368" spans="1:26" hidden="1" x14ac:dyDescent="0.35">
      <c r="A1368">
        <v>10382</v>
      </c>
      <c r="B1368">
        <v>39</v>
      </c>
      <c r="C1368" s="3">
        <v>100</v>
      </c>
      <c r="D1368">
        <v>2</v>
      </c>
      <c r="E1368" s="3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 s="3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  <c r="Z1368" s="3">
        <f>Table1[[#This Row],[QUANTITYORDERED]]*Table1[[#This Row],[PRICEEACH]]</f>
        <v>3900</v>
      </c>
    </row>
    <row r="1369" spans="1:26" hidden="1" x14ac:dyDescent="0.35">
      <c r="A1369">
        <v>10411</v>
      </c>
      <c r="B1369">
        <v>35</v>
      </c>
      <c r="C1369" s="3">
        <v>59.87</v>
      </c>
      <c r="D1369">
        <v>7</v>
      </c>
      <c r="E1369" s="3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 s="3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  <c r="Z1369" s="3">
        <f>Table1[[#This Row],[QUANTITYORDERED]]*Table1[[#This Row],[PRICEEACH]]</f>
        <v>2095.4499999999998</v>
      </c>
    </row>
    <row r="1370" spans="1:26" hidden="1" x14ac:dyDescent="0.35">
      <c r="A1370">
        <v>10424</v>
      </c>
      <c r="B1370">
        <v>26</v>
      </c>
      <c r="C1370" s="3">
        <v>59.87</v>
      </c>
      <c r="D1370">
        <v>4</v>
      </c>
      <c r="E1370" s="3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 s="3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  <c r="Z1370" s="3">
        <f>Table1[[#This Row],[QUANTITYORDERED]]*Table1[[#This Row],[PRICEEACH]]</f>
        <v>1556.62</v>
      </c>
    </row>
    <row r="1371" spans="1:26" x14ac:dyDescent="0.35">
      <c r="A1371">
        <v>10108</v>
      </c>
      <c r="B1371">
        <v>44</v>
      </c>
      <c r="C1371" s="3">
        <v>100</v>
      </c>
      <c r="D1371">
        <v>11</v>
      </c>
      <c r="E1371" s="3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 s="3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  <c r="Z1371" s="3">
        <f>Table1[[#This Row],[QUANTITYORDERED]]*Table1[[#This Row],[PRICEEACH]]</f>
        <v>4400</v>
      </c>
    </row>
    <row r="1372" spans="1:26" x14ac:dyDescent="0.35">
      <c r="A1372">
        <v>10122</v>
      </c>
      <c r="B1372">
        <v>28</v>
      </c>
      <c r="C1372" s="3">
        <v>100</v>
      </c>
      <c r="D1372">
        <v>15</v>
      </c>
      <c r="E1372" s="3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 s="3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  <c r="Z1372" s="3">
        <f>Table1[[#This Row],[QUANTITYORDERED]]*Table1[[#This Row],[PRICEEACH]]</f>
        <v>2800</v>
      </c>
    </row>
    <row r="1373" spans="1:26" x14ac:dyDescent="0.35">
      <c r="A1373">
        <v>10135</v>
      </c>
      <c r="B1373">
        <v>31</v>
      </c>
      <c r="C1373" s="3">
        <v>100</v>
      </c>
      <c r="D1373">
        <v>12</v>
      </c>
      <c r="E1373" s="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 s="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  <c r="Z1373" s="3">
        <f>Table1[[#This Row],[QUANTITYORDERED]]*Table1[[#This Row],[PRICEEACH]]</f>
        <v>3100</v>
      </c>
    </row>
    <row r="1374" spans="1:26" x14ac:dyDescent="0.35">
      <c r="A1374">
        <v>10146</v>
      </c>
      <c r="B1374">
        <v>29</v>
      </c>
      <c r="C1374" s="3">
        <v>100</v>
      </c>
      <c r="D1374">
        <v>1</v>
      </c>
      <c r="E1374" s="3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 s="3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  <c r="Z1374" s="3">
        <f>Table1[[#This Row],[QUANTITYORDERED]]*Table1[[#This Row],[PRICEEACH]]</f>
        <v>2900</v>
      </c>
    </row>
    <row r="1375" spans="1:26" x14ac:dyDescent="0.35">
      <c r="A1375">
        <v>10159</v>
      </c>
      <c r="B1375">
        <v>32</v>
      </c>
      <c r="C1375" s="3">
        <v>100</v>
      </c>
      <c r="D1375">
        <v>7</v>
      </c>
      <c r="E1375" s="3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 s="3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  <c r="Z1375" s="3">
        <f>Table1[[#This Row],[QUANTITYORDERED]]*Table1[[#This Row],[PRICEEACH]]</f>
        <v>3200</v>
      </c>
    </row>
    <row r="1376" spans="1:26" x14ac:dyDescent="0.35">
      <c r="A1376">
        <v>10169</v>
      </c>
      <c r="B1376">
        <v>33</v>
      </c>
      <c r="C1376" s="3">
        <v>100</v>
      </c>
      <c r="D1376">
        <v>7</v>
      </c>
      <c r="E1376" s="3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 s="3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  <c r="Z1376" s="3">
        <f>Table1[[#This Row],[QUANTITYORDERED]]*Table1[[#This Row],[PRICEEACH]]</f>
        <v>3300</v>
      </c>
    </row>
    <row r="1377" spans="1:26" x14ac:dyDescent="0.35">
      <c r="A1377">
        <v>10180</v>
      </c>
      <c r="B1377">
        <v>44</v>
      </c>
      <c r="C1377" s="3">
        <v>100</v>
      </c>
      <c r="D1377">
        <v>2</v>
      </c>
      <c r="E1377" s="3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 s="3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  <c r="Z1377" s="3">
        <f>Table1[[#This Row],[QUANTITYORDERED]]*Table1[[#This Row],[PRICEEACH]]</f>
        <v>4400</v>
      </c>
    </row>
    <row r="1378" spans="1:26" x14ac:dyDescent="0.35">
      <c r="A1378">
        <v>10191</v>
      </c>
      <c r="B1378">
        <v>32</v>
      </c>
      <c r="C1378" s="3">
        <v>100</v>
      </c>
      <c r="D1378">
        <v>8</v>
      </c>
      <c r="E1378" s="3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 s="3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  <c r="Z1378" s="3">
        <f>Table1[[#This Row],[QUANTITYORDERED]]*Table1[[#This Row],[PRICEEACH]]</f>
        <v>3200</v>
      </c>
    </row>
    <row r="1379" spans="1:26" x14ac:dyDescent="0.35">
      <c r="A1379">
        <v>10211</v>
      </c>
      <c r="B1379">
        <v>41</v>
      </c>
      <c r="C1379" s="3">
        <v>100</v>
      </c>
      <c r="D1379">
        <v>7</v>
      </c>
      <c r="E1379" s="3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 s="3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  <c r="Z1379" s="3">
        <f>Table1[[#This Row],[QUANTITYORDERED]]*Table1[[#This Row],[PRICEEACH]]</f>
        <v>4100</v>
      </c>
    </row>
    <row r="1380" spans="1:26" x14ac:dyDescent="0.35">
      <c r="A1380">
        <v>10225</v>
      </c>
      <c r="B1380">
        <v>35</v>
      </c>
      <c r="C1380" s="3">
        <v>100</v>
      </c>
      <c r="D1380">
        <v>14</v>
      </c>
      <c r="E1380" s="3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 s="3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  <c r="Z1380" s="3">
        <f>Table1[[#This Row],[QUANTITYORDERED]]*Table1[[#This Row],[PRICEEACH]]</f>
        <v>3500</v>
      </c>
    </row>
    <row r="1381" spans="1:26" x14ac:dyDescent="0.35">
      <c r="A1381">
        <v>10238</v>
      </c>
      <c r="B1381">
        <v>44</v>
      </c>
      <c r="C1381" s="3">
        <v>100</v>
      </c>
      <c r="D1381">
        <v>8</v>
      </c>
      <c r="E1381" s="3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 s="3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  <c r="Z1381" s="3">
        <f>Table1[[#This Row],[QUANTITYORDERED]]*Table1[[#This Row],[PRICEEACH]]</f>
        <v>4400</v>
      </c>
    </row>
    <row r="1382" spans="1:26" x14ac:dyDescent="0.35">
      <c r="A1382">
        <v>10252</v>
      </c>
      <c r="B1382">
        <v>26</v>
      </c>
      <c r="C1382" s="3">
        <v>100</v>
      </c>
      <c r="D1382">
        <v>4</v>
      </c>
      <c r="E1382" s="3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 s="3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  <c r="Z1382" s="3">
        <f>Table1[[#This Row],[QUANTITYORDERED]]*Table1[[#This Row],[PRICEEACH]]</f>
        <v>2600</v>
      </c>
    </row>
    <row r="1383" spans="1:26" x14ac:dyDescent="0.35">
      <c r="A1383">
        <v>10264</v>
      </c>
      <c r="B1383">
        <v>20</v>
      </c>
      <c r="C1383" s="3">
        <v>100</v>
      </c>
      <c r="D1383">
        <v>2</v>
      </c>
      <c r="E1383" s="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 s="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  <c r="Z1383" s="3">
        <f>Table1[[#This Row],[QUANTITYORDERED]]*Table1[[#This Row],[PRICEEACH]]</f>
        <v>2000</v>
      </c>
    </row>
    <row r="1384" spans="1:26" x14ac:dyDescent="0.35">
      <c r="A1384">
        <v>10276</v>
      </c>
      <c r="B1384">
        <v>48</v>
      </c>
      <c r="C1384" s="3">
        <v>100</v>
      </c>
      <c r="D1384">
        <v>8</v>
      </c>
      <c r="E1384" s="3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 s="3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  <c r="Z1384" s="3">
        <f>Table1[[#This Row],[QUANTITYORDERED]]*Table1[[#This Row],[PRICEEACH]]</f>
        <v>4800</v>
      </c>
    </row>
    <row r="1385" spans="1:26" x14ac:dyDescent="0.35">
      <c r="A1385">
        <v>10287</v>
      </c>
      <c r="B1385">
        <v>34</v>
      </c>
      <c r="C1385" s="3">
        <v>100</v>
      </c>
      <c r="D1385">
        <v>17</v>
      </c>
      <c r="E1385" s="3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 s="3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  <c r="Z1385" s="3">
        <f>Table1[[#This Row],[QUANTITYORDERED]]*Table1[[#This Row],[PRICEEACH]]</f>
        <v>3400</v>
      </c>
    </row>
    <row r="1386" spans="1:26" x14ac:dyDescent="0.35">
      <c r="A1386">
        <v>10299</v>
      </c>
      <c r="B1386">
        <v>49</v>
      </c>
      <c r="C1386" s="3">
        <v>100</v>
      </c>
      <c r="D1386">
        <v>2</v>
      </c>
      <c r="E1386" s="3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 s="3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  <c r="Z1386" s="3">
        <f>Table1[[#This Row],[QUANTITYORDERED]]*Table1[[#This Row],[PRICEEACH]]</f>
        <v>4900</v>
      </c>
    </row>
    <row r="1387" spans="1:26" x14ac:dyDescent="0.35">
      <c r="A1387">
        <v>10310</v>
      </c>
      <c r="B1387">
        <v>40</v>
      </c>
      <c r="C1387" s="3">
        <v>100</v>
      </c>
      <c r="D1387">
        <v>15</v>
      </c>
      <c r="E1387" s="3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 s="3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  <c r="Z1387" s="3">
        <f>Table1[[#This Row],[QUANTITYORDERED]]*Table1[[#This Row],[PRICEEACH]]</f>
        <v>4000</v>
      </c>
    </row>
    <row r="1388" spans="1:26" x14ac:dyDescent="0.35">
      <c r="A1388">
        <v>10319</v>
      </c>
      <c r="B1388">
        <v>45</v>
      </c>
      <c r="C1388" s="3">
        <v>100</v>
      </c>
      <c r="D1388">
        <v>3</v>
      </c>
      <c r="E1388" s="3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 s="3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  <c r="Z1388" s="3">
        <f>Table1[[#This Row],[QUANTITYORDERED]]*Table1[[#This Row],[PRICEEACH]]</f>
        <v>4500</v>
      </c>
    </row>
    <row r="1389" spans="1:26" x14ac:dyDescent="0.35">
      <c r="A1389">
        <v>10330</v>
      </c>
      <c r="B1389">
        <v>50</v>
      </c>
      <c r="C1389" s="3">
        <v>100</v>
      </c>
      <c r="D1389">
        <v>4</v>
      </c>
      <c r="E1389" s="3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 s="3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  <c r="Z1389" s="3">
        <f>Table1[[#This Row],[QUANTITYORDERED]]*Table1[[#This Row],[PRICEEACH]]</f>
        <v>5000</v>
      </c>
    </row>
    <row r="1390" spans="1:26" x14ac:dyDescent="0.35">
      <c r="A1390">
        <v>10342</v>
      </c>
      <c r="B1390">
        <v>38</v>
      </c>
      <c r="C1390" s="3">
        <v>100</v>
      </c>
      <c r="D1390">
        <v>11</v>
      </c>
      <c r="E1390" s="3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 s="3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  <c r="Z1390" s="3">
        <f>Table1[[#This Row],[QUANTITYORDERED]]*Table1[[#This Row],[PRICEEACH]]</f>
        <v>3800</v>
      </c>
    </row>
    <row r="1391" spans="1:26" x14ac:dyDescent="0.35">
      <c r="A1391">
        <v>10355</v>
      </c>
      <c r="B1391">
        <v>25</v>
      </c>
      <c r="C1391" s="3">
        <v>100</v>
      </c>
      <c r="D1391">
        <v>2</v>
      </c>
      <c r="E1391" s="3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 s="3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  <c r="Z1391" s="3">
        <f>Table1[[#This Row],[QUANTITYORDERED]]*Table1[[#This Row],[PRICEEACH]]</f>
        <v>2500</v>
      </c>
    </row>
    <row r="1392" spans="1:26" x14ac:dyDescent="0.35">
      <c r="A1392">
        <v>10363</v>
      </c>
      <c r="B1392">
        <v>28</v>
      </c>
      <c r="C1392" s="3">
        <v>58.18</v>
      </c>
      <c r="D1392">
        <v>13</v>
      </c>
      <c r="E1392" s="3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 s="3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  <c r="Z1392" s="3">
        <f>Table1[[#This Row],[QUANTITYORDERED]]*Table1[[#This Row],[PRICEEACH]]</f>
        <v>1629.04</v>
      </c>
    </row>
    <row r="1393" spans="1:26" x14ac:dyDescent="0.35">
      <c r="A1393">
        <v>10378</v>
      </c>
      <c r="B1393">
        <v>49</v>
      </c>
      <c r="C1393" s="3">
        <v>67.14</v>
      </c>
      <c r="D1393">
        <v>8</v>
      </c>
      <c r="E1393" s="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 s="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  <c r="Z1393" s="3">
        <f>Table1[[#This Row],[QUANTITYORDERED]]*Table1[[#This Row],[PRICEEACH]]</f>
        <v>3289.86</v>
      </c>
    </row>
    <row r="1394" spans="1:26" x14ac:dyDescent="0.35">
      <c r="A1394">
        <v>10390</v>
      </c>
      <c r="B1394">
        <v>49</v>
      </c>
      <c r="C1394" s="3">
        <v>100</v>
      </c>
      <c r="D1394">
        <v>3</v>
      </c>
      <c r="E1394" s="3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 s="3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  <c r="Z1394" s="3">
        <f>Table1[[#This Row],[QUANTITYORDERED]]*Table1[[#This Row],[PRICEEACH]]</f>
        <v>4900</v>
      </c>
    </row>
    <row r="1395" spans="1:26" x14ac:dyDescent="0.35">
      <c r="A1395">
        <v>10110</v>
      </c>
      <c r="B1395">
        <v>42</v>
      </c>
      <c r="C1395" s="3">
        <v>61.29</v>
      </c>
      <c r="D1395">
        <v>9</v>
      </c>
      <c r="E1395" s="3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 s="3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  <c r="Z1395" s="3">
        <f>Table1[[#This Row],[QUANTITYORDERED]]*Table1[[#This Row],[PRICEEACH]]</f>
        <v>2574.1799999999998</v>
      </c>
    </row>
    <row r="1396" spans="1:26" x14ac:dyDescent="0.35">
      <c r="A1396">
        <v>10124</v>
      </c>
      <c r="B1396">
        <v>23</v>
      </c>
      <c r="C1396" s="3">
        <v>57.73</v>
      </c>
      <c r="D1396">
        <v>8</v>
      </c>
      <c r="E1396" s="3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 s="3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  <c r="Z1396" s="3">
        <f>Table1[[#This Row],[QUANTITYORDERED]]*Table1[[#This Row],[PRICEEACH]]</f>
        <v>1327.79</v>
      </c>
    </row>
    <row r="1397" spans="1:26" x14ac:dyDescent="0.35">
      <c r="A1397">
        <v>10148</v>
      </c>
      <c r="B1397">
        <v>29</v>
      </c>
      <c r="C1397" s="3">
        <v>81.25</v>
      </c>
      <c r="D1397">
        <v>2</v>
      </c>
      <c r="E1397" s="3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 s="3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  <c r="Z1397" s="3">
        <f>Table1[[#This Row],[QUANTITYORDERED]]*Table1[[#This Row],[PRICEEACH]]</f>
        <v>2356.25</v>
      </c>
    </row>
    <row r="1398" spans="1:26" x14ac:dyDescent="0.35">
      <c r="A1398">
        <v>10161</v>
      </c>
      <c r="B1398">
        <v>25</v>
      </c>
      <c r="C1398" s="3">
        <v>80.540000000000006</v>
      </c>
      <c r="D1398">
        <v>1</v>
      </c>
      <c r="E1398" s="3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 s="3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  <c r="Z1398" s="3">
        <f>Table1[[#This Row],[QUANTITYORDERED]]*Table1[[#This Row],[PRICEEACH]]</f>
        <v>2013.5000000000002</v>
      </c>
    </row>
    <row r="1399" spans="1:26" x14ac:dyDescent="0.35">
      <c r="A1399">
        <v>10173</v>
      </c>
      <c r="B1399">
        <v>39</v>
      </c>
      <c r="C1399" s="3">
        <v>71.98</v>
      </c>
      <c r="D1399">
        <v>15</v>
      </c>
      <c r="E1399" s="3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 s="3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  <c r="Z1399" s="3">
        <f>Table1[[#This Row],[QUANTITYORDERED]]*Table1[[#This Row],[PRICEEACH]]</f>
        <v>2807.2200000000003</v>
      </c>
    </row>
    <row r="1400" spans="1:26" x14ac:dyDescent="0.35">
      <c r="A1400">
        <v>10182</v>
      </c>
      <c r="B1400">
        <v>44</v>
      </c>
      <c r="C1400" s="3">
        <v>69.84</v>
      </c>
      <c r="D1400">
        <v>12</v>
      </c>
      <c r="E1400" s="3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 s="3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  <c r="Z1400" s="3">
        <f>Table1[[#This Row],[QUANTITYORDERED]]*Table1[[#This Row],[PRICEEACH]]</f>
        <v>3072.96</v>
      </c>
    </row>
    <row r="1401" spans="1:26" x14ac:dyDescent="0.35">
      <c r="A1401">
        <v>10193</v>
      </c>
      <c r="B1401">
        <v>25</v>
      </c>
      <c r="C1401" s="3">
        <v>76.260000000000005</v>
      </c>
      <c r="D1401">
        <v>16</v>
      </c>
      <c r="E1401" s="3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 s="3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  <c r="Z1401" s="3">
        <f>Table1[[#This Row],[QUANTITYORDERED]]*Table1[[#This Row],[PRICEEACH]]</f>
        <v>1906.5000000000002</v>
      </c>
    </row>
    <row r="1402" spans="1:26" x14ac:dyDescent="0.35">
      <c r="A1402">
        <v>10204</v>
      </c>
      <c r="B1402">
        <v>45</v>
      </c>
      <c r="C1402" s="3">
        <v>76.260000000000005</v>
      </c>
      <c r="D1402">
        <v>6</v>
      </c>
      <c r="E1402" s="3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 s="3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  <c r="Z1402" s="3">
        <f>Table1[[#This Row],[QUANTITYORDERED]]*Table1[[#This Row],[PRICEEACH]]</f>
        <v>3431.7000000000003</v>
      </c>
    </row>
    <row r="1403" spans="1:26" x14ac:dyDescent="0.35">
      <c r="A1403">
        <v>10213</v>
      </c>
      <c r="B1403">
        <v>25</v>
      </c>
      <c r="C1403" s="3">
        <v>83.39</v>
      </c>
      <c r="D1403">
        <v>2</v>
      </c>
      <c r="E1403" s="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 s="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  <c r="Z1403" s="3">
        <f>Table1[[#This Row],[QUANTITYORDERED]]*Table1[[#This Row],[PRICEEACH]]</f>
        <v>2084.75</v>
      </c>
    </row>
    <row r="1404" spans="1:26" x14ac:dyDescent="0.35">
      <c r="A1404">
        <v>10227</v>
      </c>
      <c r="B1404">
        <v>37</v>
      </c>
      <c r="C1404" s="3">
        <v>57.73</v>
      </c>
      <c r="D1404">
        <v>12</v>
      </c>
      <c r="E1404" s="3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 s="3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  <c r="Z1404" s="3">
        <f>Table1[[#This Row],[QUANTITYORDERED]]*Table1[[#This Row],[PRICEEACH]]</f>
        <v>2136.0099999999998</v>
      </c>
    </row>
    <row r="1405" spans="1:26" x14ac:dyDescent="0.35">
      <c r="A1405">
        <v>10241</v>
      </c>
      <c r="B1405">
        <v>30</v>
      </c>
      <c r="C1405" s="3">
        <v>66.989999999999995</v>
      </c>
      <c r="D1405">
        <v>4</v>
      </c>
      <c r="E1405" s="3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 s="3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  <c r="Z1405" s="3">
        <f>Table1[[#This Row],[QUANTITYORDERED]]*Table1[[#This Row],[PRICEEACH]]</f>
        <v>2009.6999999999998</v>
      </c>
    </row>
    <row r="1406" spans="1:26" x14ac:dyDescent="0.35">
      <c r="A1406">
        <v>10267</v>
      </c>
      <c r="B1406">
        <v>36</v>
      </c>
      <c r="C1406" s="3">
        <v>75.55</v>
      </c>
      <c r="D1406">
        <v>1</v>
      </c>
      <c r="E1406" s="3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 s="3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  <c r="Z1406" s="3">
        <f>Table1[[#This Row],[QUANTITYORDERED]]*Table1[[#This Row],[PRICEEACH]]</f>
        <v>2719.7999999999997</v>
      </c>
    </row>
    <row r="1407" spans="1:26" x14ac:dyDescent="0.35">
      <c r="A1407">
        <v>10279</v>
      </c>
      <c r="B1407">
        <v>26</v>
      </c>
      <c r="C1407" s="3">
        <v>60.58</v>
      </c>
      <c r="D1407">
        <v>1</v>
      </c>
      <c r="E1407" s="3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 s="3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  <c r="Z1407" s="3">
        <f>Table1[[#This Row],[QUANTITYORDERED]]*Table1[[#This Row],[PRICEEACH]]</f>
        <v>1575.08</v>
      </c>
    </row>
    <row r="1408" spans="1:26" x14ac:dyDescent="0.35">
      <c r="A1408">
        <v>10288</v>
      </c>
      <c r="B1408">
        <v>23</v>
      </c>
      <c r="C1408" s="3">
        <v>73.41</v>
      </c>
      <c r="D1408">
        <v>7</v>
      </c>
      <c r="E1408" s="3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 s="3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  <c r="Z1408" s="3">
        <f>Table1[[#This Row],[QUANTITYORDERED]]*Table1[[#This Row],[PRICEEACH]]</f>
        <v>1688.4299999999998</v>
      </c>
    </row>
    <row r="1409" spans="1:26" x14ac:dyDescent="0.35">
      <c r="A1409">
        <v>10302</v>
      </c>
      <c r="B1409">
        <v>23</v>
      </c>
      <c r="C1409" s="3">
        <v>72.7</v>
      </c>
      <c r="D1409">
        <v>3</v>
      </c>
      <c r="E1409" s="3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 s="3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  <c r="Z1409" s="3">
        <f>Table1[[#This Row],[QUANTITYORDERED]]*Table1[[#This Row],[PRICEEACH]]</f>
        <v>1672.1000000000001</v>
      </c>
    </row>
    <row r="1410" spans="1:26" x14ac:dyDescent="0.35">
      <c r="A1410">
        <v>10311</v>
      </c>
      <c r="B1410">
        <v>25</v>
      </c>
      <c r="C1410" s="3">
        <v>66.989999999999995</v>
      </c>
      <c r="D1410">
        <v>2</v>
      </c>
      <c r="E1410" s="3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 s="3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  <c r="Z1410" s="3">
        <f>Table1[[#This Row],[QUANTITYORDERED]]*Table1[[#This Row],[PRICEEACH]]</f>
        <v>1674.7499999999998</v>
      </c>
    </row>
    <row r="1411" spans="1:26" x14ac:dyDescent="0.35">
      <c r="A1411">
        <v>10332</v>
      </c>
      <c r="B1411">
        <v>21</v>
      </c>
      <c r="C1411" s="3">
        <v>100</v>
      </c>
      <c r="D1411">
        <v>3</v>
      </c>
      <c r="E1411" s="3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 s="3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  <c r="Z1411" s="3">
        <f>Table1[[#This Row],[QUANTITYORDERED]]*Table1[[#This Row],[PRICEEACH]]</f>
        <v>2100</v>
      </c>
    </row>
    <row r="1412" spans="1:26" x14ac:dyDescent="0.35">
      <c r="A1412">
        <v>10344</v>
      </c>
      <c r="B1412">
        <v>26</v>
      </c>
      <c r="C1412" s="3">
        <v>63.43</v>
      </c>
      <c r="D1412">
        <v>5</v>
      </c>
      <c r="E1412" s="3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 s="3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  <c r="Z1412" s="3">
        <f>Table1[[#This Row],[QUANTITYORDERED]]*Table1[[#This Row],[PRICEEACH]]</f>
        <v>1649.18</v>
      </c>
    </row>
    <row r="1413" spans="1:26" x14ac:dyDescent="0.35">
      <c r="A1413">
        <v>10367</v>
      </c>
      <c r="B1413">
        <v>44</v>
      </c>
      <c r="C1413" s="3">
        <v>85.25</v>
      </c>
      <c r="D1413">
        <v>9</v>
      </c>
      <c r="E1413" s="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 s="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  <c r="Z1413" s="3">
        <f>Table1[[#This Row],[QUANTITYORDERED]]*Table1[[#This Row],[PRICEEACH]]</f>
        <v>3751</v>
      </c>
    </row>
    <row r="1414" spans="1:26" x14ac:dyDescent="0.35">
      <c r="A1414">
        <v>10380</v>
      </c>
      <c r="B1414">
        <v>24</v>
      </c>
      <c r="C1414" s="3">
        <v>100</v>
      </c>
      <c r="D1414">
        <v>2</v>
      </c>
      <c r="E1414" s="3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 s="3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  <c r="Z1414" s="3">
        <f>Table1[[#This Row],[QUANTITYORDERED]]*Table1[[#This Row],[PRICEEACH]]</f>
        <v>2400</v>
      </c>
    </row>
    <row r="1415" spans="1:26" x14ac:dyDescent="0.35">
      <c r="A1415">
        <v>10407</v>
      </c>
      <c r="B1415">
        <v>66</v>
      </c>
      <c r="C1415" s="3">
        <v>66.989999999999995</v>
      </c>
      <c r="D1415">
        <v>4</v>
      </c>
      <c r="E1415" s="3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 s="3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  <c r="Z1415" s="3">
        <f>Table1[[#This Row],[QUANTITYORDERED]]*Table1[[#This Row],[PRICEEACH]]</f>
        <v>4421.3399999999992</v>
      </c>
    </row>
    <row r="1416" spans="1:26" x14ac:dyDescent="0.35">
      <c r="A1416">
        <v>10420</v>
      </c>
      <c r="B1416">
        <v>36</v>
      </c>
      <c r="C1416" s="3">
        <v>57.73</v>
      </c>
      <c r="D1416">
        <v>7</v>
      </c>
      <c r="E1416" s="3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 s="3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  <c r="Z1416" s="3">
        <f>Table1[[#This Row],[QUANTITYORDERED]]*Table1[[#This Row],[PRICEEACH]]</f>
        <v>2078.2799999999997</v>
      </c>
    </row>
    <row r="1417" spans="1:26" x14ac:dyDescent="0.35">
      <c r="A1417">
        <v>10110</v>
      </c>
      <c r="B1417">
        <v>36</v>
      </c>
      <c r="C1417" s="3">
        <v>85.25</v>
      </c>
      <c r="D1417">
        <v>13</v>
      </c>
      <c r="E1417" s="3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 s="3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  <c r="Z1417" s="3">
        <f>Table1[[#This Row],[QUANTITYORDERED]]*Table1[[#This Row],[PRICEEACH]]</f>
        <v>3069</v>
      </c>
    </row>
    <row r="1418" spans="1:26" x14ac:dyDescent="0.35">
      <c r="A1418">
        <v>10124</v>
      </c>
      <c r="B1418">
        <v>22</v>
      </c>
      <c r="C1418" s="3">
        <v>77.900000000000006</v>
      </c>
      <c r="D1418">
        <v>12</v>
      </c>
      <c r="E1418" s="3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 s="3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  <c r="Z1418" s="3">
        <f>Table1[[#This Row],[QUANTITYORDERED]]*Table1[[#This Row],[PRICEEACH]]</f>
        <v>1713.8000000000002</v>
      </c>
    </row>
    <row r="1419" spans="1:26" x14ac:dyDescent="0.35">
      <c r="A1419">
        <v>10148</v>
      </c>
      <c r="B1419">
        <v>25</v>
      </c>
      <c r="C1419" s="3">
        <v>60.26</v>
      </c>
      <c r="D1419">
        <v>6</v>
      </c>
      <c r="E1419" s="3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 s="3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  <c r="Z1419" s="3">
        <f>Table1[[#This Row],[QUANTITYORDERED]]*Table1[[#This Row],[PRICEEACH]]</f>
        <v>1506.5</v>
      </c>
    </row>
    <row r="1420" spans="1:26" x14ac:dyDescent="0.35">
      <c r="A1420">
        <v>10161</v>
      </c>
      <c r="B1420">
        <v>37</v>
      </c>
      <c r="C1420" s="3">
        <v>72.760000000000005</v>
      </c>
      <c r="D1420">
        <v>5</v>
      </c>
      <c r="E1420" s="3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 s="3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  <c r="Z1420" s="3">
        <f>Table1[[#This Row],[QUANTITYORDERED]]*Table1[[#This Row],[PRICEEACH]]</f>
        <v>2692.1200000000003</v>
      </c>
    </row>
    <row r="1421" spans="1:26" x14ac:dyDescent="0.35">
      <c r="A1421">
        <v>10172</v>
      </c>
      <c r="B1421">
        <v>32</v>
      </c>
      <c r="C1421" s="3">
        <v>75.69</v>
      </c>
      <c r="D1421">
        <v>3</v>
      </c>
      <c r="E1421" s="3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 s="3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  <c r="Z1421" s="3">
        <f>Table1[[#This Row],[QUANTITYORDERED]]*Table1[[#This Row],[PRICEEACH]]</f>
        <v>2422.08</v>
      </c>
    </row>
    <row r="1422" spans="1:26" x14ac:dyDescent="0.35">
      <c r="A1422">
        <v>10182</v>
      </c>
      <c r="B1422">
        <v>47</v>
      </c>
      <c r="C1422" s="3">
        <v>74.22</v>
      </c>
      <c r="D1422">
        <v>16</v>
      </c>
      <c r="E1422" s="3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 s="3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  <c r="Z1422" s="3">
        <f>Table1[[#This Row],[QUANTITYORDERED]]*Table1[[#This Row],[PRICEEACH]]</f>
        <v>3488.34</v>
      </c>
    </row>
    <row r="1423" spans="1:26" x14ac:dyDescent="0.35">
      <c r="A1423">
        <v>10192</v>
      </c>
      <c r="B1423">
        <v>37</v>
      </c>
      <c r="C1423" s="3">
        <v>69.819999999999993</v>
      </c>
      <c r="D1423">
        <v>4</v>
      </c>
      <c r="E1423" s="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 s="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  <c r="Z1423" s="3">
        <f>Table1[[#This Row],[QUANTITYORDERED]]*Table1[[#This Row],[PRICEEACH]]</f>
        <v>2583.3399999999997</v>
      </c>
    </row>
    <row r="1424" spans="1:26" x14ac:dyDescent="0.35">
      <c r="A1424">
        <v>10204</v>
      </c>
      <c r="B1424">
        <v>20</v>
      </c>
      <c r="C1424" s="3">
        <v>62.47</v>
      </c>
      <c r="D1424">
        <v>10</v>
      </c>
      <c r="E1424" s="3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 s="3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  <c r="Z1424" s="3">
        <f>Table1[[#This Row],[QUANTITYORDERED]]*Table1[[#This Row],[PRICEEACH]]</f>
        <v>1249.4000000000001</v>
      </c>
    </row>
    <row r="1425" spans="1:26" x14ac:dyDescent="0.35">
      <c r="A1425">
        <v>10212</v>
      </c>
      <c r="B1425">
        <v>41</v>
      </c>
      <c r="C1425" s="3">
        <v>82.31</v>
      </c>
      <c r="D1425">
        <v>3</v>
      </c>
      <c r="E1425" s="3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 s="3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  <c r="Z1425" s="3">
        <f>Table1[[#This Row],[QUANTITYORDERED]]*Table1[[#This Row],[PRICEEACH]]</f>
        <v>3374.71</v>
      </c>
    </row>
    <row r="1426" spans="1:26" x14ac:dyDescent="0.35">
      <c r="A1426">
        <v>10226</v>
      </c>
      <c r="B1426">
        <v>21</v>
      </c>
      <c r="C1426" s="3">
        <v>60.26</v>
      </c>
      <c r="D1426">
        <v>1</v>
      </c>
      <c r="E1426" s="3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 s="3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  <c r="Z1426" s="3">
        <f>Table1[[#This Row],[QUANTITYORDERED]]*Table1[[#This Row],[PRICEEACH]]</f>
        <v>1265.46</v>
      </c>
    </row>
    <row r="1427" spans="1:26" x14ac:dyDescent="0.35">
      <c r="A1427">
        <v>10241</v>
      </c>
      <c r="B1427">
        <v>22</v>
      </c>
      <c r="C1427" s="3">
        <v>76.430000000000007</v>
      </c>
      <c r="D1427">
        <v>8</v>
      </c>
      <c r="E1427" s="3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 s="3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  <c r="Z1427" s="3">
        <f>Table1[[#This Row],[QUANTITYORDERED]]*Table1[[#This Row],[PRICEEACH]]</f>
        <v>1681.46</v>
      </c>
    </row>
    <row r="1428" spans="1:26" x14ac:dyDescent="0.35">
      <c r="A1428">
        <v>10267</v>
      </c>
      <c r="B1428">
        <v>40</v>
      </c>
      <c r="C1428" s="3">
        <v>80.099999999999994</v>
      </c>
      <c r="D1428">
        <v>5</v>
      </c>
      <c r="E1428" s="3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 s="3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  <c r="Z1428" s="3">
        <f>Table1[[#This Row],[QUANTITYORDERED]]*Table1[[#This Row],[PRICEEACH]]</f>
        <v>3204</v>
      </c>
    </row>
    <row r="1429" spans="1:26" x14ac:dyDescent="0.35">
      <c r="A1429">
        <v>10279</v>
      </c>
      <c r="B1429">
        <v>32</v>
      </c>
      <c r="C1429" s="3">
        <v>74.959999999999994</v>
      </c>
      <c r="D1429">
        <v>5</v>
      </c>
      <c r="E1429" s="3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 s="3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  <c r="Z1429" s="3">
        <f>Table1[[#This Row],[QUANTITYORDERED]]*Table1[[#This Row],[PRICEEACH]]</f>
        <v>2398.7199999999998</v>
      </c>
    </row>
    <row r="1430" spans="1:26" x14ac:dyDescent="0.35">
      <c r="A1430">
        <v>10288</v>
      </c>
      <c r="B1430">
        <v>36</v>
      </c>
      <c r="C1430" s="3">
        <v>66.14</v>
      </c>
      <c r="D1430">
        <v>11</v>
      </c>
      <c r="E1430" s="3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 s="3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  <c r="Z1430" s="3">
        <f>Table1[[#This Row],[QUANTITYORDERED]]*Table1[[#This Row],[PRICEEACH]]</f>
        <v>2381.04</v>
      </c>
    </row>
    <row r="1431" spans="1:26" x14ac:dyDescent="0.35">
      <c r="A1431">
        <v>10301</v>
      </c>
      <c r="B1431">
        <v>27</v>
      </c>
      <c r="C1431" s="3">
        <v>72.02</v>
      </c>
      <c r="D1431">
        <v>1</v>
      </c>
      <c r="E1431" s="3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 s="3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  <c r="Z1431" s="3">
        <f>Table1[[#This Row],[QUANTITYORDERED]]*Table1[[#This Row],[PRICEEACH]]</f>
        <v>1944.54</v>
      </c>
    </row>
    <row r="1432" spans="1:26" x14ac:dyDescent="0.35">
      <c r="A1432">
        <v>10311</v>
      </c>
      <c r="B1432">
        <v>26</v>
      </c>
      <c r="C1432" s="3">
        <v>87.45</v>
      </c>
      <c r="D1432">
        <v>6</v>
      </c>
      <c r="E1432" s="3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 s="3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  <c r="Z1432" s="3">
        <f>Table1[[#This Row],[QUANTITYORDERED]]*Table1[[#This Row],[PRICEEACH]]</f>
        <v>2273.7000000000003</v>
      </c>
    </row>
    <row r="1433" spans="1:26" x14ac:dyDescent="0.35">
      <c r="A1433">
        <v>10321</v>
      </c>
      <c r="B1433">
        <v>30</v>
      </c>
      <c r="C1433" s="3">
        <v>70.55</v>
      </c>
      <c r="D1433">
        <v>3</v>
      </c>
      <c r="E1433" s="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 s="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  <c r="Z1433" s="3">
        <f>Table1[[#This Row],[QUANTITYORDERED]]*Table1[[#This Row],[PRICEEACH]]</f>
        <v>2116.5</v>
      </c>
    </row>
    <row r="1434" spans="1:26" x14ac:dyDescent="0.35">
      <c r="A1434">
        <v>10332</v>
      </c>
      <c r="B1434">
        <v>23</v>
      </c>
      <c r="C1434" s="3">
        <v>56.84</v>
      </c>
      <c r="D1434">
        <v>4</v>
      </c>
      <c r="E1434" s="3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 s="3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  <c r="Z1434" s="3">
        <f>Table1[[#This Row],[QUANTITYORDERED]]*Table1[[#This Row],[PRICEEACH]]</f>
        <v>1307.3200000000002</v>
      </c>
    </row>
    <row r="1435" spans="1:26" x14ac:dyDescent="0.35">
      <c r="A1435">
        <v>10344</v>
      </c>
      <c r="B1435">
        <v>29</v>
      </c>
      <c r="C1435" s="3">
        <v>59.53</v>
      </c>
      <c r="D1435">
        <v>7</v>
      </c>
      <c r="E1435" s="3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 s="3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  <c r="Z1435" s="3">
        <f>Table1[[#This Row],[QUANTITYORDERED]]*Table1[[#This Row],[PRICEEACH]]</f>
        <v>1726.3700000000001</v>
      </c>
    </row>
    <row r="1436" spans="1:26" x14ac:dyDescent="0.35">
      <c r="A1436">
        <v>10367</v>
      </c>
      <c r="B1436">
        <v>21</v>
      </c>
      <c r="C1436" s="3">
        <v>60.37</v>
      </c>
      <c r="D1436">
        <v>10</v>
      </c>
      <c r="E1436" s="3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 s="3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  <c r="Z1436" s="3">
        <f>Table1[[#This Row],[QUANTITYORDERED]]*Table1[[#This Row],[PRICEEACH]]</f>
        <v>1267.77</v>
      </c>
    </row>
    <row r="1437" spans="1:26" x14ac:dyDescent="0.35">
      <c r="A1437">
        <v>10380</v>
      </c>
      <c r="B1437">
        <v>34</v>
      </c>
      <c r="C1437" s="3">
        <v>100</v>
      </c>
      <c r="D1437">
        <v>3</v>
      </c>
      <c r="E1437" s="3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 s="3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  <c r="Z1437" s="3">
        <f>Table1[[#This Row],[QUANTITYORDERED]]*Table1[[#This Row],[PRICEEACH]]</f>
        <v>3400</v>
      </c>
    </row>
    <row r="1438" spans="1:26" x14ac:dyDescent="0.35">
      <c r="A1438">
        <v>10407</v>
      </c>
      <c r="B1438">
        <v>26</v>
      </c>
      <c r="C1438" s="3">
        <v>76.430000000000007</v>
      </c>
      <c r="D1438">
        <v>8</v>
      </c>
      <c r="E1438" s="3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 s="3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  <c r="Z1438" s="3">
        <f>Table1[[#This Row],[QUANTITYORDERED]]*Table1[[#This Row],[PRICEEACH]]</f>
        <v>1987.1800000000003</v>
      </c>
    </row>
    <row r="1439" spans="1:26" x14ac:dyDescent="0.35">
      <c r="A1439">
        <v>10420</v>
      </c>
      <c r="B1439">
        <v>60</v>
      </c>
      <c r="C1439" s="3">
        <v>64.67</v>
      </c>
      <c r="D1439">
        <v>11</v>
      </c>
      <c r="E1439" s="3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 s="3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  <c r="Z1439" s="3">
        <f>Table1[[#This Row],[QUANTITYORDERED]]*Table1[[#This Row],[PRICEEACH]]</f>
        <v>3880.2000000000003</v>
      </c>
    </row>
    <row r="1440" spans="1:26" x14ac:dyDescent="0.35">
      <c r="A1440">
        <v>10104</v>
      </c>
      <c r="B1440">
        <v>35</v>
      </c>
      <c r="C1440" s="3">
        <v>55.49</v>
      </c>
      <c r="D1440">
        <v>6</v>
      </c>
      <c r="E1440" s="3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 s="3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  <c r="Z1440" s="3">
        <f>Table1[[#This Row],[QUANTITYORDERED]]*Table1[[#This Row],[PRICEEACH]]</f>
        <v>1942.15</v>
      </c>
    </row>
    <row r="1441" spans="1:26" x14ac:dyDescent="0.35">
      <c r="A1441">
        <v>10115</v>
      </c>
      <c r="B1441">
        <v>47</v>
      </c>
      <c r="C1441" s="3">
        <v>69.36</v>
      </c>
      <c r="D1441">
        <v>2</v>
      </c>
      <c r="E1441" s="3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 s="3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  <c r="Z1441" s="3">
        <f>Table1[[#This Row],[QUANTITYORDERED]]*Table1[[#This Row],[PRICEEACH]]</f>
        <v>3259.92</v>
      </c>
    </row>
    <row r="1442" spans="1:26" x14ac:dyDescent="0.35">
      <c r="A1442">
        <v>10127</v>
      </c>
      <c r="B1442">
        <v>20</v>
      </c>
      <c r="C1442" s="3">
        <v>60.69</v>
      </c>
      <c r="D1442">
        <v>8</v>
      </c>
      <c r="E1442" s="3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 s="3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  <c r="Z1442" s="3">
        <f>Table1[[#This Row],[QUANTITYORDERED]]*Table1[[#This Row],[PRICEEACH]]</f>
        <v>1213.8</v>
      </c>
    </row>
    <row r="1443" spans="1:26" x14ac:dyDescent="0.35">
      <c r="A1443">
        <v>10141</v>
      </c>
      <c r="B1443">
        <v>20</v>
      </c>
      <c r="C1443" s="3">
        <v>54.33</v>
      </c>
      <c r="D1443">
        <v>2</v>
      </c>
      <c r="E1443" s="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 s="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  <c r="Z1443" s="3">
        <f>Table1[[#This Row],[QUANTITYORDERED]]*Table1[[#This Row],[PRICEEACH]]</f>
        <v>1086.5999999999999</v>
      </c>
    </row>
    <row r="1444" spans="1:26" x14ac:dyDescent="0.35">
      <c r="A1444">
        <v>10152</v>
      </c>
      <c r="B1444">
        <v>25</v>
      </c>
      <c r="C1444" s="3">
        <v>65.31</v>
      </c>
      <c r="D1444">
        <v>4</v>
      </c>
      <c r="E1444" s="3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 s="3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  <c r="Z1444" s="3">
        <f>Table1[[#This Row],[QUANTITYORDERED]]*Table1[[#This Row],[PRICEEACH]]</f>
        <v>1632.75</v>
      </c>
    </row>
    <row r="1445" spans="1:26" x14ac:dyDescent="0.35">
      <c r="A1445">
        <v>10165</v>
      </c>
      <c r="B1445">
        <v>25</v>
      </c>
      <c r="C1445" s="3">
        <v>69.36</v>
      </c>
      <c r="D1445">
        <v>9</v>
      </c>
      <c r="E1445" s="3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 s="3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  <c r="Z1445" s="3">
        <f>Table1[[#This Row],[QUANTITYORDERED]]*Table1[[#This Row],[PRICEEACH]]</f>
        <v>1734</v>
      </c>
    </row>
    <row r="1446" spans="1:26" x14ac:dyDescent="0.35">
      <c r="A1446">
        <v>10176</v>
      </c>
      <c r="B1446">
        <v>27</v>
      </c>
      <c r="C1446" s="3">
        <v>68.78</v>
      </c>
      <c r="D1446">
        <v>8</v>
      </c>
      <c r="E1446" s="3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 s="3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  <c r="Z1446" s="3">
        <f>Table1[[#This Row],[QUANTITYORDERED]]*Table1[[#This Row],[PRICEEACH]]</f>
        <v>1857.06</v>
      </c>
    </row>
    <row r="1447" spans="1:26" x14ac:dyDescent="0.35">
      <c r="A1447">
        <v>10184</v>
      </c>
      <c r="B1447">
        <v>31</v>
      </c>
      <c r="C1447" s="3">
        <v>60.11</v>
      </c>
      <c r="D1447">
        <v>3</v>
      </c>
      <c r="E1447" s="3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 s="3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  <c r="Z1447" s="3">
        <f>Table1[[#This Row],[QUANTITYORDERED]]*Table1[[#This Row],[PRICEEACH]]</f>
        <v>1863.41</v>
      </c>
    </row>
    <row r="1448" spans="1:26" x14ac:dyDescent="0.35">
      <c r="A1448">
        <v>10195</v>
      </c>
      <c r="B1448">
        <v>44</v>
      </c>
      <c r="C1448" s="3">
        <v>66.47</v>
      </c>
      <c r="D1448">
        <v>3</v>
      </c>
      <c r="E1448" s="3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 s="3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  <c r="Z1448" s="3">
        <f>Table1[[#This Row],[QUANTITYORDERED]]*Table1[[#This Row],[PRICEEACH]]</f>
        <v>2924.68</v>
      </c>
    </row>
    <row r="1449" spans="1:26" x14ac:dyDescent="0.35">
      <c r="A1449">
        <v>10207</v>
      </c>
      <c r="B1449">
        <v>49</v>
      </c>
      <c r="C1449" s="3">
        <v>46.82</v>
      </c>
      <c r="D1449">
        <v>4</v>
      </c>
      <c r="E1449" s="3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 s="3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  <c r="Z1449" s="3">
        <f>Table1[[#This Row],[QUANTITYORDERED]]*Table1[[#This Row],[PRICEEACH]]</f>
        <v>2294.1799999999998</v>
      </c>
    </row>
    <row r="1450" spans="1:26" x14ac:dyDescent="0.35">
      <c r="A1450">
        <v>10220</v>
      </c>
      <c r="B1450">
        <v>26</v>
      </c>
      <c r="C1450" s="3">
        <v>56.07</v>
      </c>
      <c r="D1450">
        <v>8</v>
      </c>
      <c r="E1450" s="3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 s="3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  <c r="Z1450" s="3">
        <f>Table1[[#This Row],[QUANTITYORDERED]]*Table1[[#This Row],[PRICEEACH]]</f>
        <v>1457.82</v>
      </c>
    </row>
    <row r="1451" spans="1:26" x14ac:dyDescent="0.35">
      <c r="A1451">
        <v>10230</v>
      </c>
      <c r="B1451">
        <v>36</v>
      </c>
      <c r="C1451" s="3">
        <v>54.33</v>
      </c>
      <c r="D1451">
        <v>6</v>
      </c>
      <c r="E1451" s="3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 s="3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  <c r="Z1451" s="3">
        <f>Table1[[#This Row],[QUANTITYORDERED]]*Table1[[#This Row],[PRICEEACH]]</f>
        <v>1955.8799999999999</v>
      </c>
    </row>
    <row r="1452" spans="1:26" x14ac:dyDescent="0.35">
      <c r="A1452">
        <v>10246</v>
      </c>
      <c r="B1452">
        <v>44</v>
      </c>
      <c r="C1452" s="3">
        <v>52.6</v>
      </c>
      <c r="D1452">
        <v>2</v>
      </c>
      <c r="E1452" s="3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 s="3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  <c r="Z1452" s="3">
        <f>Table1[[#This Row],[QUANTITYORDERED]]*Table1[[#This Row],[PRICEEACH]]</f>
        <v>2314.4</v>
      </c>
    </row>
    <row r="1453" spans="1:26" x14ac:dyDescent="0.35">
      <c r="A1453">
        <v>10259</v>
      </c>
      <c r="B1453">
        <v>28</v>
      </c>
      <c r="C1453" s="3">
        <v>46.82</v>
      </c>
      <c r="D1453">
        <v>1</v>
      </c>
      <c r="E1453" s="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 s="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  <c r="Z1453" s="3">
        <f>Table1[[#This Row],[QUANTITYORDERED]]*Table1[[#This Row],[PRICEEACH]]</f>
        <v>1310.96</v>
      </c>
    </row>
    <row r="1454" spans="1:26" x14ac:dyDescent="0.35">
      <c r="A1454">
        <v>10271</v>
      </c>
      <c r="B1454">
        <v>45</v>
      </c>
      <c r="C1454" s="3">
        <v>64.739999999999995</v>
      </c>
      <c r="D1454">
        <v>2</v>
      </c>
      <c r="E1454" s="3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 s="3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  <c r="Z1454" s="3">
        <f>Table1[[#This Row],[QUANTITYORDERED]]*Table1[[#This Row],[PRICEEACH]]</f>
        <v>2913.2999999999997</v>
      </c>
    </row>
    <row r="1455" spans="1:26" x14ac:dyDescent="0.35">
      <c r="A1455">
        <v>10282</v>
      </c>
      <c r="B1455">
        <v>29</v>
      </c>
      <c r="C1455" s="3">
        <v>46.82</v>
      </c>
      <c r="D1455">
        <v>11</v>
      </c>
      <c r="E1455" s="3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 s="3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  <c r="Z1455" s="3">
        <f>Table1[[#This Row],[QUANTITYORDERED]]*Table1[[#This Row],[PRICEEACH]]</f>
        <v>1357.78</v>
      </c>
    </row>
    <row r="1456" spans="1:26" x14ac:dyDescent="0.35">
      <c r="A1456">
        <v>10292</v>
      </c>
      <c r="B1456">
        <v>40</v>
      </c>
      <c r="C1456" s="3">
        <v>53.75</v>
      </c>
      <c r="D1456">
        <v>5</v>
      </c>
      <c r="E1456" s="3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 s="3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  <c r="Z1456" s="3">
        <f>Table1[[#This Row],[QUANTITYORDERED]]*Table1[[#This Row],[PRICEEACH]]</f>
        <v>2150</v>
      </c>
    </row>
    <row r="1457" spans="1:26" x14ac:dyDescent="0.35">
      <c r="A1457">
        <v>10305</v>
      </c>
      <c r="B1457">
        <v>45</v>
      </c>
      <c r="C1457" s="3">
        <v>61.85</v>
      </c>
      <c r="D1457">
        <v>2</v>
      </c>
      <c r="E1457" s="3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 s="3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  <c r="Z1457" s="3">
        <f>Table1[[#This Row],[QUANTITYORDERED]]*Table1[[#This Row],[PRICEEACH]]</f>
        <v>2783.25</v>
      </c>
    </row>
    <row r="1458" spans="1:26" x14ac:dyDescent="0.35">
      <c r="A1458">
        <v>10314</v>
      </c>
      <c r="B1458">
        <v>44</v>
      </c>
      <c r="C1458" s="3">
        <v>53.18</v>
      </c>
      <c r="D1458">
        <v>11</v>
      </c>
      <c r="E1458" s="3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 s="3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  <c r="Z1458" s="3">
        <f>Table1[[#This Row],[QUANTITYORDERED]]*Table1[[#This Row],[PRICEEACH]]</f>
        <v>2339.92</v>
      </c>
    </row>
    <row r="1459" spans="1:26" x14ac:dyDescent="0.35">
      <c r="A1459">
        <v>10324</v>
      </c>
      <c r="B1459">
        <v>25</v>
      </c>
      <c r="C1459" s="3">
        <v>69.16</v>
      </c>
      <c r="D1459">
        <v>14</v>
      </c>
      <c r="E1459" s="3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 s="3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  <c r="Z1459" s="3">
        <f>Table1[[#This Row],[QUANTITYORDERED]]*Table1[[#This Row],[PRICEEACH]]</f>
        <v>1729</v>
      </c>
    </row>
    <row r="1460" spans="1:26" x14ac:dyDescent="0.35">
      <c r="A1460">
        <v>10336</v>
      </c>
      <c r="B1460">
        <v>45</v>
      </c>
      <c r="C1460" s="3">
        <v>100</v>
      </c>
      <c r="D1460">
        <v>4</v>
      </c>
      <c r="E1460" s="3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 s="3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  <c r="Z1460" s="3">
        <f>Table1[[#This Row],[QUANTITYORDERED]]*Table1[[#This Row],[PRICEEACH]]</f>
        <v>4500</v>
      </c>
    </row>
    <row r="1461" spans="1:26" x14ac:dyDescent="0.35">
      <c r="A1461">
        <v>10349</v>
      </c>
      <c r="B1461">
        <v>48</v>
      </c>
      <c r="C1461" s="3">
        <v>47.4</v>
      </c>
      <c r="D1461">
        <v>4</v>
      </c>
      <c r="E1461" s="3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 s="3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  <c r="Z1461" s="3">
        <f>Table1[[#This Row],[QUANTITYORDERED]]*Table1[[#This Row],[PRICEEACH]]</f>
        <v>2275.1999999999998</v>
      </c>
    </row>
    <row r="1462" spans="1:26" x14ac:dyDescent="0.35">
      <c r="A1462">
        <v>10358</v>
      </c>
      <c r="B1462">
        <v>44</v>
      </c>
      <c r="C1462" s="3">
        <v>60.76</v>
      </c>
      <c r="D1462">
        <v>14</v>
      </c>
      <c r="E1462" s="3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 s="3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  <c r="Z1462" s="3">
        <f>Table1[[#This Row],[QUANTITYORDERED]]*Table1[[#This Row],[PRICEEACH]]</f>
        <v>2673.44</v>
      </c>
    </row>
    <row r="1463" spans="1:26" x14ac:dyDescent="0.35">
      <c r="A1463">
        <v>10371</v>
      </c>
      <c r="B1463">
        <v>25</v>
      </c>
      <c r="C1463" s="3">
        <v>97.27</v>
      </c>
      <c r="D1463">
        <v>12</v>
      </c>
      <c r="E1463" s="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 s="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  <c r="Z1463" s="3">
        <f>Table1[[#This Row],[QUANTITYORDERED]]*Table1[[#This Row],[PRICEEACH]]</f>
        <v>2431.75</v>
      </c>
    </row>
    <row r="1464" spans="1:26" x14ac:dyDescent="0.35">
      <c r="A1464">
        <v>10383</v>
      </c>
      <c r="B1464">
        <v>22</v>
      </c>
      <c r="C1464" s="3">
        <v>91.76</v>
      </c>
      <c r="D1464">
        <v>2</v>
      </c>
      <c r="E1464" s="3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 s="3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  <c r="Z1464" s="3">
        <f>Table1[[#This Row],[QUANTITYORDERED]]*Table1[[#This Row],[PRICEEACH]]</f>
        <v>2018.72</v>
      </c>
    </row>
    <row r="1465" spans="1:26" x14ac:dyDescent="0.35">
      <c r="A1465">
        <v>10394</v>
      </c>
      <c r="B1465">
        <v>31</v>
      </c>
      <c r="C1465" s="3">
        <v>50.29</v>
      </c>
      <c r="D1465">
        <v>2</v>
      </c>
      <c r="E1465" s="3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 s="3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  <c r="Z1465" s="3">
        <f>Table1[[#This Row],[QUANTITYORDERED]]*Table1[[#This Row],[PRICEEACH]]</f>
        <v>1558.99</v>
      </c>
    </row>
    <row r="1466" spans="1:26" x14ac:dyDescent="0.35">
      <c r="A1466">
        <v>10412</v>
      </c>
      <c r="B1466">
        <v>21</v>
      </c>
      <c r="C1466" s="3">
        <v>52.6</v>
      </c>
      <c r="D1466">
        <v>2</v>
      </c>
      <c r="E1466" s="3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 s="3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  <c r="Z1466" s="3">
        <f>Table1[[#This Row],[QUANTITYORDERED]]*Table1[[#This Row],[PRICEEACH]]</f>
        <v>1104.6000000000001</v>
      </c>
    </row>
    <row r="1467" spans="1:26" x14ac:dyDescent="0.35">
      <c r="A1467">
        <v>10425</v>
      </c>
      <c r="B1467">
        <v>55</v>
      </c>
      <c r="C1467" s="3">
        <v>46.82</v>
      </c>
      <c r="D1467">
        <v>1</v>
      </c>
      <c r="E1467" s="3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 s="3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  <c r="Z1467" s="3">
        <f>Table1[[#This Row],[QUANTITYORDERED]]*Table1[[#This Row],[PRICEEACH]]</f>
        <v>2575.1</v>
      </c>
    </row>
    <row r="1468" spans="1:26" hidden="1" x14ac:dyDescent="0.35">
      <c r="A1468">
        <v>10107</v>
      </c>
      <c r="B1468">
        <v>25</v>
      </c>
      <c r="C1468" s="3">
        <v>100</v>
      </c>
      <c r="D1468">
        <v>3</v>
      </c>
      <c r="E1468" s="3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 s="3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  <c r="Z1468" s="3">
        <f>Table1[[#This Row],[QUANTITYORDERED]]*Table1[[#This Row],[PRICEEACH]]</f>
        <v>2500</v>
      </c>
    </row>
    <row r="1469" spans="1:26" hidden="1" x14ac:dyDescent="0.35">
      <c r="A1469">
        <v>10120</v>
      </c>
      <c r="B1469">
        <v>35</v>
      </c>
      <c r="C1469" s="3">
        <v>98.05</v>
      </c>
      <c r="D1469">
        <v>1</v>
      </c>
      <c r="E1469" s="3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 s="3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  <c r="Z1469" s="3">
        <f>Table1[[#This Row],[QUANTITYORDERED]]*Table1[[#This Row],[PRICEEACH]]</f>
        <v>3431.75</v>
      </c>
    </row>
    <row r="1470" spans="1:26" hidden="1" x14ac:dyDescent="0.35">
      <c r="A1470">
        <v>10134</v>
      </c>
      <c r="B1470">
        <v>35</v>
      </c>
      <c r="C1470" s="3">
        <v>93.54</v>
      </c>
      <c r="D1470">
        <v>3</v>
      </c>
      <c r="E1470" s="3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 s="3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  <c r="Z1470" s="3">
        <f>Table1[[#This Row],[QUANTITYORDERED]]*Table1[[#This Row],[PRICEEACH]]</f>
        <v>3273.9</v>
      </c>
    </row>
    <row r="1471" spans="1:26" hidden="1" x14ac:dyDescent="0.35">
      <c r="A1471">
        <v>10145</v>
      </c>
      <c r="B1471">
        <v>43</v>
      </c>
      <c r="C1471" s="3">
        <v>95.8</v>
      </c>
      <c r="D1471">
        <v>7</v>
      </c>
      <c r="E1471" s="3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 s="3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  <c r="Z1471" s="3">
        <f>Table1[[#This Row],[QUANTITYORDERED]]*Table1[[#This Row],[PRICEEACH]]</f>
        <v>4119.3999999999996</v>
      </c>
    </row>
    <row r="1472" spans="1:26" hidden="1" x14ac:dyDescent="0.35">
      <c r="A1472">
        <v>10159</v>
      </c>
      <c r="B1472">
        <v>44</v>
      </c>
      <c r="C1472" s="3">
        <v>100</v>
      </c>
      <c r="D1472">
        <v>15</v>
      </c>
      <c r="E1472" s="3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 s="3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  <c r="Z1472" s="3">
        <f>Table1[[#This Row],[QUANTITYORDERED]]*Table1[[#This Row],[PRICEEACH]]</f>
        <v>4400</v>
      </c>
    </row>
    <row r="1473" spans="1:26" hidden="1" x14ac:dyDescent="0.35">
      <c r="A1473">
        <v>10168</v>
      </c>
      <c r="B1473">
        <v>50</v>
      </c>
      <c r="C1473" s="3">
        <v>100</v>
      </c>
      <c r="D1473">
        <v>2</v>
      </c>
      <c r="E1473" s="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 s="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  <c r="Z1473" s="3">
        <f>Table1[[#This Row],[QUANTITYORDERED]]*Table1[[#This Row],[PRICEEACH]]</f>
        <v>5000</v>
      </c>
    </row>
    <row r="1474" spans="1:26" hidden="1" x14ac:dyDescent="0.35">
      <c r="A1474">
        <v>10180</v>
      </c>
      <c r="B1474">
        <v>48</v>
      </c>
      <c r="C1474" s="3">
        <v>100</v>
      </c>
      <c r="D1474">
        <v>10</v>
      </c>
      <c r="E1474" s="3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 s="3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  <c r="Z1474" s="3">
        <f>Table1[[#This Row],[QUANTITYORDERED]]*Table1[[#This Row],[PRICEEACH]]</f>
        <v>4800</v>
      </c>
    </row>
    <row r="1475" spans="1:26" hidden="1" x14ac:dyDescent="0.35">
      <c r="A1475">
        <v>10188</v>
      </c>
      <c r="B1475">
        <v>25</v>
      </c>
      <c r="C1475" s="3">
        <v>100</v>
      </c>
      <c r="D1475">
        <v>2</v>
      </c>
      <c r="E1475" s="3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 s="3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  <c r="Z1475" s="3">
        <f>Table1[[#This Row],[QUANTITYORDERED]]*Table1[[#This Row],[PRICEEACH]]</f>
        <v>2500</v>
      </c>
    </row>
    <row r="1476" spans="1:26" hidden="1" x14ac:dyDescent="0.35">
      <c r="A1476">
        <v>10201</v>
      </c>
      <c r="B1476">
        <v>39</v>
      </c>
      <c r="C1476" s="3">
        <v>100</v>
      </c>
      <c r="D1476">
        <v>3</v>
      </c>
      <c r="E1476" s="3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 s="3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  <c r="Z1476" s="3">
        <f>Table1[[#This Row],[QUANTITYORDERED]]*Table1[[#This Row],[PRICEEACH]]</f>
        <v>3900</v>
      </c>
    </row>
    <row r="1477" spans="1:26" hidden="1" x14ac:dyDescent="0.35">
      <c r="A1477">
        <v>10211</v>
      </c>
      <c r="B1477">
        <v>25</v>
      </c>
      <c r="C1477" s="3">
        <v>90.16</v>
      </c>
      <c r="D1477">
        <v>15</v>
      </c>
      <c r="E1477" s="3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 s="3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  <c r="Z1477" s="3">
        <f>Table1[[#This Row],[QUANTITYORDERED]]*Table1[[#This Row],[PRICEEACH]]</f>
        <v>2254</v>
      </c>
    </row>
    <row r="1478" spans="1:26" hidden="1" x14ac:dyDescent="0.35">
      <c r="A1478">
        <v>10223</v>
      </c>
      <c r="B1478">
        <v>32</v>
      </c>
      <c r="C1478" s="3">
        <v>91.29</v>
      </c>
      <c r="D1478">
        <v>2</v>
      </c>
      <c r="E1478" s="3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 s="3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  <c r="Z1478" s="3">
        <f>Table1[[#This Row],[QUANTITYORDERED]]*Table1[[#This Row],[PRICEEACH]]</f>
        <v>2921.28</v>
      </c>
    </row>
    <row r="1479" spans="1:26" hidden="1" x14ac:dyDescent="0.35">
      <c r="A1479">
        <v>10237</v>
      </c>
      <c r="B1479">
        <v>20</v>
      </c>
      <c r="C1479" s="3">
        <v>100</v>
      </c>
      <c r="D1479">
        <v>8</v>
      </c>
      <c r="E1479" s="3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 s="3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  <c r="Z1479" s="3">
        <f>Table1[[#This Row],[QUANTITYORDERED]]*Table1[[#This Row],[PRICEEACH]]</f>
        <v>2000</v>
      </c>
    </row>
    <row r="1480" spans="1:26" hidden="1" x14ac:dyDescent="0.35">
      <c r="A1480">
        <v>10251</v>
      </c>
      <c r="B1480">
        <v>26</v>
      </c>
      <c r="C1480" s="3">
        <v>100</v>
      </c>
      <c r="D1480">
        <v>3</v>
      </c>
      <c r="E1480" s="3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 s="3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  <c r="Z1480" s="3">
        <f>Table1[[#This Row],[QUANTITYORDERED]]*Table1[[#This Row],[PRICEEACH]]</f>
        <v>2600</v>
      </c>
    </row>
    <row r="1481" spans="1:26" hidden="1" x14ac:dyDescent="0.35">
      <c r="A1481">
        <v>10263</v>
      </c>
      <c r="B1481">
        <v>42</v>
      </c>
      <c r="C1481" s="3">
        <v>100</v>
      </c>
      <c r="D1481">
        <v>3</v>
      </c>
      <c r="E1481" s="3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 s="3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  <c r="Z1481" s="3">
        <f>Table1[[#This Row],[QUANTITYORDERED]]*Table1[[#This Row],[PRICEEACH]]</f>
        <v>4200</v>
      </c>
    </row>
    <row r="1482" spans="1:26" hidden="1" x14ac:dyDescent="0.35">
      <c r="A1482">
        <v>10275</v>
      </c>
      <c r="B1482">
        <v>21</v>
      </c>
      <c r="C1482" s="3">
        <v>100</v>
      </c>
      <c r="D1482">
        <v>2</v>
      </c>
      <c r="E1482" s="3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 s="3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  <c r="Z1482" s="3">
        <f>Table1[[#This Row],[QUANTITYORDERED]]*Table1[[#This Row],[PRICEEACH]]</f>
        <v>2100</v>
      </c>
    </row>
    <row r="1483" spans="1:26" hidden="1" x14ac:dyDescent="0.35">
      <c r="A1483">
        <v>10285</v>
      </c>
      <c r="B1483">
        <v>34</v>
      </c>
      <c r="C1483" s="3">
        <v>100</v>
      </c>
      <c r="D1483">
        <v>7</v>
      </c>
      <c r="E1483" s="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 s="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  <c r="Z1483" s="3">
        <f>Table1[[#This Row],[QUANTITYORDERED]]*Table1[[#This Row],[PRICEEACH]]</f>
        <v>3400</v>
      </c>
    </row>
    <row r="1484" spans="1:26" hidden="1" x14ac:dyDescent="0.35">
      <c r="A1484">
        <v>10299</v>
      </c>
      <c r="B1484">
        <v>47</v>
      </c>
      <c r="C1484" s="3">
        <v>100</v>
      </c>
      <c r="D1484">
        <v>10</v>
      </c>
      <c r="E1484" s="3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 s="3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  <c r="Z1484" s="3">
        <f>Table1[[#This Row],[QUANTITYORDERED]]*Table1[[#This Row],[PRICEEACH]]</f>
        <v>4700</v>
      </c>
    </row>
    <row r="1485" spans="1:26" hidden="1" x14ac:dyDescent="0.35">
      <c r="A1485">
        <v>10309</v>
      </c>
      <c r="B1485">
        <v>21</v>
      </c>
      <c r="C1485" s="3">
        <v>100</v>
      </c>
      <c r="D1485">
        <v>6</v>
      </c>
      <c r="E1485" s="3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 s="3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  <c r="Z1485" s="3">
        <f>Table1[[#This Row],[QUANTITYORDERED]]*Table1[[#This Row],[PRICEEACH]]</f>
        <v>2100</v>
      </c>
    </row>
    <row r="1486" spans="1:26" hidden="1" x14ac:dyDescent="0.35">
      <c r="A1486">
        <v>10318</v>
      </c>
      <c r="B1486">
        <v>48</v>
      </c>
      <c r="C1486" s="3">
        <v>100</v>
      </c>
      <c r="D1486">
        <v>2</v>
      </c>
      <c r="E1486" s="3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 s="3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  <c r="Z1486" s="3">
        <f>Table1[[#This Row],[QUANTITYORDERED]]*Table1[[#This Row],[PRICEEACH]]</f>
        <v>4800</v>
      </c>
    </row>
    <row r="1487" spans="1:26" hidden="1" x14ac:dyDescent="0.35">
      <c r="A1487">
        <v>10329</v>
      </c>
      <c r="B1487">
        <v>30</v>
      </c>
      <c r="C1487" s="3">
        <v>87.78</v>
      </c>
      <c r="D1487">
        <v>7</v>
      </c>
      <c r="E1487" s="3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 s="3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  <c r="Z1487" s="3">
        <f>Table1[[#This Row],[QUANTITYORDERED]]*Table1[[#This Row],[PRICEEACH]]</f>
        <v>2633.4</v>
      </c>
    </row>
    <row r="1488" spans="1:26" hidden="1" x14ac:dyDescent="0.35">
      <c r="A1488">
        <v>10339</v>
      </c>
      <c r="B1488">
        <v>27</v>
      </c>
      <c r="C1488" s="3">
        <v>84.39</v>
      </c>
      <c r="D1488">
        <v>10</v>
      </c>
      <c r="E1488" s="3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 s="3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  <c r="Z1488" s="3">
        <f>Table1[[#This Row],[QUANTITYORDERED]]*Table1[[#This Row],[PRICEEACH]]</f>
        <v>2278.5300000000002</v>
      </c>
    </row>
    <row r="1489" spans="1:26" hidden="1" x14ac:dyDescent="0.35">
      <c r="A1489">
        <v>10362</v>
      </c>
      <c r="B1489">
        <v>50</v>
      </c>
      <c r="C1489" s="3">
        <v>96.92</v>
      </c>
      <c r="D1489">
        <v>2</v>
      </c>
      <c r="E1489" s="3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 s="3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  <c r="Z1489" s="3">
        <f>Table1[[#This Row],[QUANTITYORDERED]]*Table1[[#This Row],[PRICEEACH]]</f>
        <v>4846</v>
      </c>
    </row>
    <row r="1490" spans="1:26" hidden="1" x14ac:dyDescent="0.35">
      <c r="A1490">
        <v>10374</v>
      </c>
      <c r="B1490">
        <v>38</v>
      </c>
      <c r="C1490" s="3">
        <v>100</v>
      </c>
      <c r="D1490">
        <v>6</v>
      </c>
      <c r="E1490" s="3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 s="3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  <c r="Z1490" s="3">
        <f>Table1[[#This Row],[QUANTITYORDERED]]*Table1[[#This Row],[PRICEEACH]]</f>
        <v>3800</v>
      </c>
    </row>
    <row r="1491" spans="1:26" hidden="1" x14ac:dyDescent="0.35">
      <c r="A1491">
        <v>10389</v>
      </c>
      <c r="B1491">
        <v>45</v>
      </c>
      <c r="C1491" s="3">
        <v>100</v>
      </c>
      <c r="D1491">
        <v>1</v>
      </c>
      <c r="E1491" s="3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 s="3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  <c r="Z1491" s="3">
        <f>Table1[[#This Row],[QUANTITYORDERED]]*Table1[[#This Row],[PRICEEACH]]</f>
        <v>4500</v>
      </c>
    </row>
    <row r="1492" spans="1:26" hidden="1" x14ac:dyDescent="0.35">
      <c r="A1492">
        <v>10403</v>
      </c>
      <c r="B1492">
        <v>46</v>
      </c>
      <c r="C1492" s="3">
        <v>100</v>
      </c>
      <c r="D1492">
        <v>8</v>
      </c>
      <c r="E1492" s="3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 s="3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  <c r="Z1492" s="3">
        <f>Table1[[#This Row],[QUANTITYORDERED]]*Table1[[#This Row],[PRICEEACH]]</f>
        <v>4600</v>
      </c>
    </row>
    <row r="1493" spans="1:26" hidden="1" x14ac:dyDescent="0.35">
      <c r="A1493">
        <v>10417</v>
      </c>
      <c r="B1493">
        <v>35</v>
      </c>
      <c r="C1493" s="3">
        <v>100</v>
      </c>
      <c r="D1493">
        <v>3</v>
      </c>
      <c r="E1493" s="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 s="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  <c r="Z1493" s="3">
        <f>Table1[[#This Row],[QUANTITYORDERED]]*Table1[[#This Row],[PRICEEACH]]</f>
        <v>3500</v>
      </c>
    </row>
    <row r="1494" spans="1:26" x14ac:dyDescent="0.35">
      <c r="A1494">
        <v>10110</v>
      </c>
      <c r="B1494">
        <v>29</v>
      </c>
      <c r="C1494" s="3">
        <v>59.37</v>
      </c>
      <c r="D1494">
        <v>15</v>
      </c>
      <c r="E1494" s="3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 s="3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  <c r="Z1494" s="3">
        <f>Table1[[#This Row],[QUANTITYORDERED]]*Table1[[#This Row],[PRICEEACH]]</f>
        <v>1721.73</v>
      </c>
    </row>
    <row r="1495" spans="1:26" x14ac:dyDescent="0.35">
      <c r="A1495">
        <v>10123</v>
      </c>
      <c r="B1495">
        <v>50</v>
      </c>
      <c r="C1495" s="3">
        <v>59.87</v>
      </c>
      <c r="D1495">
        <v>1</v>
      </c>
      <c r="E1495" s="3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 s="3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  <c r="Z1495" s="3">
        <f>Table1[[#This Row],[QUANTITYORDERED]]*Table1[[#This Row],[PRICEEACH]]</f>
        <v>2993.5</v>
      </c>
    </row>
    <row r="1496" spans="1:26" x14ac:dyDescent="0.35">
      <c r="A1496">
        <v>10137</v>
      </c>
      <c r="B1496">
        <v>26</v>
      </c>
      <c r="C1496" s="3">
        <v>49.81</v>
      </c>
      <c r="D1496">
        <v>1</v>
      </c>
      <c r="E1496" s="3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 s="3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  <c r="Z1496" s="3">
        <f>Table1[[#This Row],[QUANTITYORDERED]]*Table1[[#This Row],[PRICEEACH]]</f>
        <v>1295.06</v>
      </c>
    </row>
    <row r="1497" spans="1:26" x14ac:dyDescent="0.35">
      <c r="A1497">
        <v>10148</v>
      </c>
      <c r="B1497">
        <v>47</v>
      </c>
      <c r="C1497" s="3">
        <v>56.85</v>
      </c>
      <c r="D1497">
        <v>8</v>
      </c>
      <c r="E1497" s="3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 s="3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  <c r="Z1497" s="3">
        <f>Table1[[#This Row],[QUANTITYORDERED]]*Table1[[#This Row],[PRICEEACH]]</f>
        <v>2671.9500000000003</v>
      </c>
    </row>
    <row r="1498" spans="1:26" x14ac:dyDescent="0.35">
      <c r="A1498">
        <v>10161</v>
      </c>
      <c r="B1498">
        <v>23</v>
      </c>
      <c r="C1498" s="3">
        <v>53.33</v>
      </c>
      <c r="D1498">
        <v>7</v>
      </c>
      <c r="E1498" s="3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 s="3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  <c r="Z1498" s="3">
        <f>Table1[[#This Row],[QUANTITYORDERED]]*Table1[[#This Row],[PRICEEACH]]</f>
        <v>1226.5899999999999</v>
      </c>
    </row>
    <row r="1499" spans="1:26" x14ac:dyDescent="0.35">
      <c r="A1499">
        <v>10172</v>
      </c>
      <c r="B1499">
        <v>34</v>
      </c>
      <c r="C1499" s="3">
        <v>42.76</v>
      </c>
      <c r="D1499">
        <v>5</v>
      </c>
      <c r="E1499" s="3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 s="3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  <c r="Z1499" s="3">
        <f>Table1[[#This Row],[QUANTITYORDERED]]*Table1[[#This Row],[PRICEEACH]]</f>
        <v>1453.84</v>
      </c>
    </row>
    <row r="1500" spans="1:26" x14ac:dyDescent="0.35">
      <c r="A1500">
        <v>10181</v>
      </c>
      <c r="B1500">
        <v>34</v>
      </c>
      <c r="C1500" s="3">
        <v>53.83</v>
      </c>
      <c r="D1500">
        <v>1</v>
      </c>
      <c r="E1500" s="3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 s="3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  <c r="Z1500" s="3">
        <f>Table1[[#This Row],[QUANTITYORDERED]]*Table1[[#This Row],[PRICEEACH]]</f>
        <v>1830.22</v>
      </c>
    </row>
    <row r="1501" spans="1:26" x14ac:dyDescent="0.35">
      <c r="A1501">
        <v>10192</v>
      </c>
      <c r="B1501">
        <v>47</v>
      </c>
      <c r="C1501" s="3">
        <v>53.83</v>
      </c>
      <c r="D1501">
        <v>6</v>
      </c>
      <c r="E1501" s="3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 s="3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  <c r="Z1501" s="3">
        <f>Table1[[#This Row],[QUANTITYORDERED]]*Table1[[#This Row],[PRICEEACH]]</f>
        <v>2530.0099999999998</v>
      </c>
    </row>
    <row r="1502" spans="1:26" x14ac:dyDescent="0.35">
      <c r="A1502">
        <v>10204</v>
      </c>
      <c r="B1502">
        <v>45</v>
      </c>
      <c r="C1502" s="3">
        <v>49.81</v>
      </c>
      <c r="D1502">
        <v>12</v>
      </c>
      <c r="E1502" s="3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 s="3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  <c r="Z1502" s="3">
        <f>Table1[[#This Row],[QUANTITYORDERED]]*Table1[[#This Row],[PRICEEACH]]</f>
        <v>2241.4500000000003</v>
      </c>
    </row>
    <row r="1503" spans="1:26" x14ac:dyDescent="0.35">
      <c r="A1503">
        <v>10212</v>
      </c>
      <c r="B1503">
        <v>45</v>
      </c>
      <c r="C1503" s="3">
        <v>53.33</v>
      </c>
      <c r="D1503">
        <v>5</v>
      </c>
      <c r="E1503" s="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 s="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  <c r="Z1503" s="3">
        <f>Table1[[#This Row],[QUANTITYORDERED]]*Table1[[#This Row],[PRICEEACH]]</f>
        <v>2399.85</v>
      </c>
    </row>
    <row r="1504" spans="1:26" x14ac:dyDescent="0.35">
      <c r="A1504">
        <v>10226</v>
      </c>
      <c r="B1504">
        <v>36</v>
      </c>
      <c r="C1504" s="3">
        <v>43.27</v>
      </c>
      <c r="D1504">
        <v>3</v>
      </c>
      <c r="E1504" s="3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 s="3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  <c r="Z1504" s="3">
        <f>Table1[[#This Row],[QUANTITYORDERED]]*Table1[[#This Row],[PRICEEACH]]</f>
        <v>1557.72</v>
      </c>
    </row>
    <row r="1505" spans="1:26" x14ac:dyDescent="0.35">
      <c r="A1505">
        <v>10241</v>
      </c>
      <c r="B1505">
        <v>21</v>
      </c>
      <c r="C1505" s="3">
        <v>40.25</v>
      </c>
      <c r="D1505">
        <v>10</v>
      </c>
      <c r="E1505" s="3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 s="3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  <c r="Z1505" s="3">
        <f>Table1[[#This Row],[QUANTITYORDERED]]*Table1[[#This Row],[PRICEEACH]]</f>
        <v>845.25</v>
      </c>
    </row>
    <row r="1506" spans="1:26" x14ac:dyDescent="0.35">
      <c r="A1506">
        <v>10266</v>
      </c>
      <c r="B1506">
        <v>28</v>
      </c>
      <c r="C1506" s="3">
        <v>48.3</v>
      </c>
      <c r="D1506">
        <v>1</v>
      </c>
      <c r="E1506" s="3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 s="3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  <c r="Z1506" s="3">
        <f>Table1[[#This Row],[QUANTITYORDERED]]*Table1[[#This Row],[PRICEEACH]]</f>
        <v>1352.3999999999999</v>
      </c>
    </row>
    <row r="1507" spans="1:26" x14ac:dyDescent="0.35">
      <c r="A1507">
        <v>10278</v>
      </c>
      <c r="B1507">
        <v>35</v>
      </c>
      <c r="C1507" s="3">
        <v>45.28</v>
      </c>
      <c r="D1507">
        <v>1</v>
      </c>
      <c r="E1507" s="3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 s="3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  <c r="Z1507" s="3">
        <f>Table1[[#This Row],[QUANTITYORDERED]]*Table1[[#This Row],[PRICEEACH]]</f>
        <v>1584.8</v>
      </c>
    </row>
    <row r="1508" spans="1:26" x14ac:dyDescent="0.35">
      <c r="A1508">
        <v>10288</v>
      </c>
      <c r="B1508">
        <v>50</v>
      </c>
      <c r="C1508" s="3">
        <v>52.32</v>
      </c>
      <c r="D1508">
        <v>13</v>
      </c>
      <c r="E1508" s="3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 s="3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  <c r="Z1508" s="3">
        <f>Table1[[#This Row],[QUANTITYORDERED]]*Table1[[#This Row],[PRICEEACH]]</f>
        <v>2616</v>
      </c>
    </row>
    <row r="1509" spans="1:26" x14ac:dyDescent="0.35">
      <c r="A1509">
        <v>10301</v>
      </c>
      <c r="B1509">
        <v>22</v>
      </c>
      <c r="C1509" s="3">
        <v>51.32</v>
      </c>
      <c r="D1509">
        <v>3</v>
      </c>
      <c r="E1509" s="3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 s="3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  <c r="Z1509" s="3">
        <f>Table1[[#This Row],[QUANTITYORDERED]]*Table1[[#This Row],[PRICEEACH]]</f>
        <v>1129.04</v>
      </c>
    </row>
    <row r="1510" spans="1:26" x14ac:dyDescent="0.35">
      <c r="A1510">
        <v>10311</v>
      </c>
      <c r="B1510">
        <v>45</v>
      </c>
      <c r="C1510" s="3">
        <v>49.3</v>
      </c>
      <c r="D1510">
        <v>8</v>
      </c>
      <c r="E1510" s="3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 s="3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  <c r="Z1510" s="3">
        <f>Table1[[#This Row],[QUANTITYORDERED]]*Table1[[#This Row],[PRICEEACH]]</f>
        <v>2218.5</v>
      </c>
    </row>
    <row r="1511" spans="1:26" x14ac:dyDescent="0.35">
      <c r="A1511">
        <v>10321</v>
      </c>
      <c r="B1511">
        <v>48</v>
      </c>
      <c r="C1511" s="3">
        <v>42.26</v>
      </c>
      <c r="D1511">
        <v>5</v>
      </c>
      <c r="E1511" s="3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 s="3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  <c r="Z1511" s="3">
        <f>Table1[[#This Row],[QUANTITYORDERED]]*Table1[[#This Row],[PRICEEACH]]</f>
        <v>2028.48</v>
      </c>
    </row>
    <row r="1512" spans="1:26" x14ac:dyDescent="0.35">
      <c r="A1512">
        <v>10332</v>
      </c>
      <c r="B1512">
        <v>20</v>
      </c>
      <c r="C1512" s="3">
        <v>87.96</v>
      </c>
      <c r="D1512">
        <v>5</v>
      </c>
      <c r="E1512" s="3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 s="3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  <c r="Z1512" s="3">
        <f>Table1[[#This Row],[QUANTITYORDERED]]*Table1[[#This Row],[PRICEEACH]]</f>
        <v>1759.1999999999998</v>
      </c>
    </row>
    <row r="1513" spans="1:26" x14ac:dyDescent="0.35">
      <c r="A1513">
        <v>10343</v>
      </c>
      <c r="B1513">
        <v>27</v>
      </c>
      <c r="C1513" s="3">
        <v>36.21</v>
      </c>
      <c r="D1513">
        <v>6</v>
      </c>
      <c r="E1513" s="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 s="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  <c r="Z1513" s="3">
        <f>Table1[[#This Row],[QUANTITYORDERED]]*Table1[[#This Row],[PRICEEACH]]</f>
        <v>977.67000000000007</v>
      </c>
    </row>
    <row r="1514" spans="1:26" x14ac:dyDescent="0.35">
      <c r="A1514">
        <v>10367</v>
      </c>
      <c r="B1514">
        <v>38</v>
      </c>
      <c r="C1514" s="3">
        <v>38.5</v>
      </c>
      <c r="D1514">
        <v>11</v>
      </c>
      <c r="E1514" s="3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 s="3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  <c r="Z1514" s="3">
        <f>Table1[[#This Row],[QUANTITYORDERED]]*Table1[[#This Row],[PRICEEACH]]</f>
        <v>1463</v>
      </c>
    </row>
    <row r="1515" spans="1:26" x14ac:dyDescent="0.35">
      <c r="A1515">
        <v>10379</v>
      </c>
      <c r="B1515">
        <v>32</v>
      </c>
      <c r="C1515" s="3">
        <v>100</v>
      </c>
      <c r="D1515">
        <v>3</v>
      </c>
      <c r="E1515" s="3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 s="3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  <c r="Z1515" s="3">
        <f>Table1[[#This Row],[QUANTITYORDERED]]*Table1[[#This Row],[PRICEEACH]]</f>
        <v>3200</v>
      </c>
    </row>
    <row r="1516" spans="1:26" x14ac:dyDescent="0.35">
      <c r="A1516">
        <v>10407</v>
      </c>
      <c r="B1516">
        <v>64</v>
      </c>
      <c r="C1516" s="3">
        <v>40.25</v>
      </c>
      <c r="D1516">
        <v>10</v>
      </c>
      <c r="E1516" s="3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 s="3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  <c r="Z1516" s="3">
        <f>Table1[[#This Row],[QUANTITYORDERED]]*Table1[[#This Row],[PRICEEACH]]</f>
        <v>2576</v>
      </c>
    </row>
    <row r="1517" spans="1:26" x14ac:dyDescent="0.35">
      <c r="A1517">
        <v>10420</v>
      </c>
      <c r="B1517">
        <v>37</v>
      </c>
      <c r="C1517" s="3">
        <v>60.37</v>
      </c>
      <c r="D1517">
        <v>13</v>
      </c>
      <c r="E1517" s="3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 s="3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  <c r="Z1517" s="3">
        <f>Table1[[#This Row],[QUANTITYORDERED]]*Table1[[#This Row],[PRICEEACH]]</f>
        <v>2233.69</v>
      </c>
    </row>
    <row r="1518" spans="1:26" hidden="1" x14ac:dyDescent="0.35">
      <c r="A1518">
        <v>10106</v>
      </c>
      <c r="B1518">
        <v>28</v>
      </c>
      <c r="C1518" s="3">
        <v>88.63</v>
      </c>
      <c r="D1518">
        <v>4</v>
      </c>
      <c r="E1518" s="3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 s="3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  <c r="Z1518" s="3">
        <f>Table1[[#This Row],[QUANTITYORDERED]]*Table1[[#This Row],[PRICEEACH]]</f>
        <v>2481.64</v>
      </c>
    </row>
    <row r="1519" spans="1:26" hidden="1" x14ac:dyDescent="0.35">
      <c r="A1519">
        <v>10120</v>
      </c>
      <c r="B1519">
        <v>39</v>
      </c>
      <c r="C1519" s="3">
        <v>100</v>
      </c>
      <c r="D1519">
        <v>10</v>
      </c>
      <c r="E1519" s="3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 s="3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  <c r="Z1519" s="3">
        <f>Table1[[#This Row],[QUANTITYORDERED]]*Table1[[#This Row],[PRICEEACH]]</f>
        <v>3900</v>
      </c>
    </row>
    <row r="1520" spans="1:26" hidden="1" x14ac:dyDescent="0.35">
      <c r="A1520">
        <v>10133</v>
      </c>
      <c r="B1520">
        <v>41</v>
      </c>
      <c r="C1520" s="3">
        <v>94.1</v>
      </c>
      <c r="D1520">
        <v>5</v>
      </c>
      <c r="E1520" s="3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 s="3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  <c r="Z1520" s="3">
        <f>Table1[[#This Row],[QUANTITYORDERED]]*Table1[[#This Row],[PRICEEACH]]</f>
        <v>3858.1</v>
      </c>
    </row>
    <row r="1521" spans="1:26" hidden="1" x14ac:dyDescent="0.35">
      <c r="A1521">
        <v>10145</v>
      </c>
      <c r="B1521">
        <v>40</v>
      </c>
      <c r="C1521" s="3">
        <v>87.54</v>
      </c>
      <c r="D1521">
        <v>16</v>
      </c>
      <c r="E1521" s="3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 s="3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  <c r="Z1521" s="3">
        <f>Table1[[#This Row],[QUANTITYORDERED]]*Table1[[#This Row],[PRICEEACH]]</f>
        <v>3501.6000000000004</v>
      </c>
    </row>
    <row r="1522" spans="1:26" hidden="1" x14ac:dyDescent="0.35">
      <c r="A1522">
        <v>10168</v>
      </c>
      <c r="B1522">
        <v>49</v>
      </c>
      <c r="C1522" s="3">
        <v>100</v>
      </c>
      <c r="D1522">
        <v>11</v>
      </c>
      <c r="E1522" s="3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 s="3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  <c r="Z1522" s="3">
        <f>Table1[[#This Row],[QUANTITYORDERED]]*Table1[[#This Row],[PRICEEACH]]</f>
        <v>4900</v>
      </c>
    </row>
    <row r="1523" spans="1:26" hidden="1" x14ac:dyDescent="0.35">
      <c r="A1523">
        <v>10210</v>
      </c>
      <c r="B1523">
        <v>27</v>
      </c>
      <c r="C1523" s="3">
        <v>98.48</v>
      </c>
      <c r="D1523">
        <v>9</v>
      </c>
      <c r="E1523" s="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 s="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  <c r="Z1523" s="3">
        <f>Table1[[#This Row],[QUANTITYORDERED]]*Table1[[#This Row],[PRICEEACH]]</f>
        <v>2658.96</v>
      </c>
    </row>
    <row r="1524" spans="1:26" hidden="1" x14ac:dyDescent="0.35">
      <c r="A1524">
        <v>10223</v>
      </c>
      <c r="B1524">
        <v>34</v>
      </c>
      <c r="C1524" s="3">
        <v>100</v>
      </c>
      <c r="D1524">
        <v>11</v>
      </c>
      <c r="E1524" s="3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 s="3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  <c r="Z1524" s="3">
        <f>Table1[[#This Row],[QUANTITYORDERED]]*Table1[[#This Row],[PRICEEACH]]</f>
        <v>3400</v>
      </c>
    </row>
    <row r="1525" spans="1:26" hidden="1" x14ac:dyDescent="0.35">
      <c r="A1525">
        <v>10235</v>
      </c>
      <c r="B1525">
        <v>23</v>
      </c>
      <c r="C1525" s="3">
        <v>96.29</v>
      </c>
      <c r="D1525">
        <v>5</v>
      </c>
      <c r="E1525" s="3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 s="3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  <c r="Z1525" s="3">
        <f>Table1[[#This Row],[QUANTITYORDERED]]*Table1[[#This Row],[PRICEEACH]]</f>
        <v>2214.67</v>
      </c>
    </row>
    <row r="1526" spans="1:26" hidden="1" x14ac:dyDescent="0.35">
      <c r="A1526">
        <v>10250</v>
      </c>
      <c r="B1526">
        <v>31</v>
      </c>
      <c r="C1526" s="3">
        <v>88.63</v>
      </c>
      <c r="D1526">
        <v>6</v>
      </c>
      <c r="E1526" s="3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 s="3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  <c r="Z1526" s="3">
        <f>Table1[[#This Row],[QUANTITYORDERED]]*Table1[[#This Row],[PRICEEACH]]</f>
        <v>2747.5299999999997</v>
      </c>
    </row>
    <row r="1527" spans="1:26" hidden="1" x14ac:dyDescent="0.35">
      <c r="A1527">
        <v>10262</v>
      </c>
      <c r="B1527">
        <v>34</v>
      </c>
      <c r="C1527" s="3">
        <v>97.38</v>
      </c>
      <c r="D1527">
        <v>1</v>
      </c>
      <c r="E1527" s="3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 s="3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  <c r="Z1527" s="3">
        <f>Table1[[#This Row],[QUANTITYORDERED]]*Table1[[#This Row],[PRICEEACH]]</f>
        <v>3310.92</v>
      </c>
    </row>
    <row r="1528" spans="1:26" hidden="1" x14ac:dyDescent="0.35">
      <c r="A1528">
        <v>10275</v>
      </c>
      <c r="B1528">
        <v>25</v>
      </c>
      <c r="C1528" s="3">
        <v>95.2</v>
      </c>
      <c r="D1528">
        <v>11</v>
      </c>
      <c r="E1528" s="3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 s="3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  <c r="Z1528" s="3">
        <f>Table1[[#This Row],[QUANTITYORDERED]]*Table1[[#This Row],[PRICEEACH]]</f>
        <v>2380</v>
      </c>
    </row>
    <row r="1529" spans="1:26" hidden="1" x14ac:dyDescent="0.35">
      <c r="A1529">
        <v>10284</v>
      </c>
      <c r="B1529">
        <v>22</v>
      </c>
      <c r="C1529" s="3">
        <v>100</v>
      </c>
      <c r="D1529">
        <v>3</v>
      </c>
      <c r="E1529" s="3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 s="3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  <c r="Z1529" s="3">
        <f>Table1[[#This Row],[QUANTITYORDERED]]*Table1[[#This Row],[PRICEEACH]]</f>
        <v>2200</v>
      </c>
    </row>
    <row r="1530" spans="1:26" hidden="1" x14ac:dyDescent="0.35">
      <c r="A1530">
        <v>10297</v>
      </c>
      <c r="B1530">
        <v>32</v>
      </c>
      <c r="C1530" s="3">
        <v>100</v>
      </c>
      <c r="D1530">
        <v>6</v>
      </c>
      <c r="E1530" s="3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 s="3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  <c r="Z1530" s="3">
        <f>Table1[[#This Row],[QUANTITYORDERED]]*Table1[[#This Row],[PRICEEACH]]</f>
        <v>3200</v>
      </c>
    </row>
    <row r="1531" spans="1:26" hidden="1" x14ac:dyDescent="0.35">
      <c r="A1531">
        <v>10308</v>
      </c>
      <c r="B1531">
        <v>31</v>
      </c>
      <c r="C1531" s="3">
        <v>100</v>
      </c>
      <c r="D1531">
        <v>9</v>
      </c>
      <c r="E1531" s="3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 s="3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  <c r="Z1531" s="3">
        <f>Table1[[#This Row],[QUANTITYORDERED]]*Table1[[#This Row],[PRICEEACH]]</f>
        <v>3100</v>
      </c>
    </row>
    <row r="1532" spans="1:26" hidden="1" x14ac:dyDescent="0.35">
      <c r="A1532">
        <v>10316</v>
      </c>
      <c r="B1532">
        <v>25</v>
      </c>
      <c r="C1532" s="3">
        <v>100</v>
      </c>
      <c r="D1532">
        <v>1</v>
      </c>
      <c r="E1532" s="3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 s="3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  <c r="Z1532" s="3">
        <f>Table1[[#This Row],[QUANTITYORDERED]]*Table1[[#This Row],[PRICEEACH]]</f>
        <v>2500</v>
      </c>
    </row>
    <row r="1533" spans="1:26" hidden="1" x14ac:dyDescent="0.35">
      <c r="A1533">
        <v>10328</v>
      </c>
      <c r="B1533">
        <v>47</v>
      </c>
      <c r="C1533" s="3">
        <v>87.54</v>
      </c>
      <c r="D1533">
        <v>14</v>
      </c>
      <c r="E1533" s="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 s="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  <c r="Z1533" s="3">
        <f>Table1[[#This Row],[QUANTITYORDERED]]*Table1[[#This Row],[PRICEEACH]]</f>
        <v>4114.38</v>
      </c>
    </row>
    <row r="1534" spans="1:26" hidden="1" x14ac:dyDescent="0.35">
      <c r="A1534">
        <v>10339</v>
      </c>
      <c r="B1534">
        <v>21</v>
      </c>
      <c r="C1534" s="3">
        <v>50.65</v>
      </c>
      <c r="D1534">
        <v>7</v>
      </c>
      <c r="E1534" s="3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 s="3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  <c r="Z1534" s="3">
        <f>Table1[[#This Row],[QUANTITYORDERED]]*Table1[[#This Row],[PRICEEACH]]</f>
        <v>1063.6499999999999</v>
      </c>
    </row>
    <row r="1535" spans="1:26" hidden="1" x14ac:dyDescent="0.35">
      <c r="A1535">
        <v>10353</v>
      </c>
      <c r="B1535">
        <v>28</v>
      </c>
      <c r="C1535" s="3">
        <v>71.73</v>
      </c>
      <c r="D1535">
        <v>2</v>
      </c>
      <c r="E1535" s="3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 s="3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  <c r="Z1535" s="3">
        <f>Table1[[#This Row],[QUANTITYORDERED]]*Table1[[#This Row],[PRICEEACH]]</f>
        <v>2008.44</v>
      </c>
    </row>
    <row r="1536" spans="1:26" hidden="1" x14ac:dyDescent="0.35">
      <c r="A1536">
        <v>10374</v>
      </c>
      <c r="B1536">
        <v>46</v>
      </c>
      <c r="C1536" s="3">
        <v>94.1</v>
      </c>
      <c r="D1536">
        <v>3</v>
      </c>
      <c r="E1536" s="3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 s="3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  <c r="Z1536" s="3">
        <f>Table1[[#This Row],[QUANTITYORDERED]]*Table1[[#This Row],[PRICEEACH]]</f>
        <v>4328.5999999999995</v>
      </c>
    </row>
    <row r="1537" spans="1:26" hidden="1" x14ac:dyDescent="0.35">
      <c r="A1537">
        <v>10386</v>
      </c>
      <c r="B1537">
        <v>33</v>
      </c>
      <c r="C1537" s="3">
        <v>41.71</v>
      </c>
      <c r="D1537">
        <v>11</v>
      </c>
      <c r="E1537" s="3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 s="3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  <c r="Z1537" s="3">
        <f>Table1[[#This Row],[QUANTITYORDERED]]*Table1[[#This Row],[PRICEEACH]]</f>
        <v>1376.43</v>
      </c>
    </row>
    <row r="1538" spans="1:26" hidden="1" x14ac:dyDescent="0.35">
      <c r="A1538">
        <v>10398</v>
      </c>
      <c r="B1538">
        <v>43</v>
      </c>
      <c r="C1538" s="3">
        <v>100</v>
      </c>
      <c r="D1538">
        <v>16</v>
      </c>
      <c r="E1538" s="3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 s="3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  <c r="Z1538" s="3">
        <f>Table1[[#This Row],[QUANTITYORDERED]]*Table1[[#This Row],[PRICEEACH]]</f>
        <v>4300</v>
      </c>
    </row>
    <row r="1539" spans="1:26" hidden="1" x14ac:dyDescent="0.35">
      <c r="A1539">
        <v>10401</v>
      </c>
      <c r="B1539">
        <v>38</v>
      </c>
      <c r="C1539" s="3">
        <v>96.29</v>
      </c>
      <c r="D1539">
        <v>5</v>
      </c>
      <c r="E1539" s="3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 s="3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  <c r="Z1539" s="3">
        <f>Table1[[#This Row],[QUANTITYORDERED]]*Table1[[#This Row],[PRICEEACH]]</f>
        <v>3659.0200000000004</v>
      </c>
    </row>
    <row r="1540" spans="1:26" hidden="1" x14ac:dyDescent="0.35">
      <c r="A1540">
        <v>10416</v>
      </c>
      <c r="B1540">
        <v>47</v>
      </c>
      <c r="C1540" s="3">
        <v>88.63</v>
      </c>
      <c r="D1540">
        <v>6</v>
      </c>
      <c r="E1540" s="3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 s="3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  <c r="Z1540" s="3">
        <f>Table1[[#This Row],[QUANTITYORDERED]]*Table1[[#This Row],[PRICEEACH]]</f>
        <v>4165.6099999999997</v>
      </c>
    </row>
    <row r="1541" spans="1:26" hidden="1" x14ac:dyDescent="0.35">
      <c r="A1541">
        <v>10101</v>
      </c>
      <c r="B1541">
        <v>45</v>
      </c>
      <c r="C1541" s="3">
        <v>31.2</v>
      </c>
      <c r="D1541">
        <v>3</v>
      </c>
      <c r="E1541" s="3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 s="3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  <c r="Z1541" s="3">
        <f>Table1[[#This Row],[QUANTITYORDERED]]*Table1[[#This Row],[PRICEEACH]]</f>
        <v>1404</v>
      </c>
    </row>
    <row r="1542" spans="1:26" hidden="1" x14ac:dyDescent="0.35">
      <c r="A1542">
        <v>10110</v>
      </c>
      <c r="B1542">
        <v>20</v>
      </c>
      <c r="C1542" s="3">
        <v>35.51</v>
      </c>
      <c r="D1542">
        <v>3</v>
      </c>
      <c r="E1542" s="3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 s="3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  <c r="Z1542" s="3">
        <f>Table1[[#This Row],[QUANTITYORDERED]]*Table1[[#This Row],[PRICEEACH]]</f>
        <v>710.19999999999993</v>
      </c>
    </row>
    <row r="1543" spans="1:26" hidden="1" x14ac:dyDescent="0.35">
      <c r="A1543">
        <v>10124</v>
      </c>
      <c r="B1543">
        <v>45</v>
      </c>
      <c r="C1543" s="3">
        <v>37.840000000000003</v>
      </c>
      <c r="D1543">
        <v>2</v>
      </c>
      <c r="E1543" s="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 s="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  <c r="Z1543" s="3">
        <f>Table1[[#This Row],[QUANTITYORDERED]]*Table1[[#This Row],[PRICEEACH]]</f>
        <v>1702.8000000000002</v>
      </c>
    </row>
    <row r="1544" spans="1:26" hidden="1" x14ac:dyDescent="0.35">
      <c r="A1544">
        <v>10149</v>
      </c>
      <c r="B1544">
        <v>36</v>
      </c>
      <c r="C1544" s="3">
        <v>33.19</v>
      </c>
      <c r="D1544">
        <v>7</v>
      </c>
      <c r="E1544" s="3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 s="3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  <c r="Z1544" s="3">
        <f>Table1[[#This Row],[QUANTITYORDERED]]*Table1[[#This Row],[PRICEEACH]]</f>
        <v>1194.8399999999999</v>
      </c>
    </row>
    <row r="1545" spans="1:26" hidden="1" x14ac:dyDescent="0.35">
      <c r="A1545">
        <v>10162</v>
      </c>
      <c r="B1545">
        <v>37</v>
      </c>
      <c r="C1545" s="3">
        <v>27.22</v>
      </c>
      <c r="D1545">
        <v>5</v>
      </c>
      <c r="E1545" s="3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 s="3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  <c r="Z1545" s="3">
        <f>Table1[[#This Row],[QUANTITYORDERED]]*Table1[[#This Row],[PRICEEACH]]</f>
        <v>1007.14</v>
      </c>
    </row>
    <row r="1546" spans="1:26" hidden="1" x14ac:dyDescent="0.35">
      <c r="A1546">
        <v>10173</v>
      </c>
      <c r="B1546">
        <v>31</v>
      </c>
      <c r="C1546" s="3">
        <v>31.53</v>
      </c>
      <c r="D1546">
        <v>9</v>
      </c>
      <c r="E1546" s="3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 s="3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  <c r="Z1546" s="3">
        <f>Table1[[#This Row],[QUANTITYORDERED]]*Table1[[#This Row],[PRICEEACH]]</f>
        <v>977.43000000000006</v>
      </c>
    </row>
    <row r="1547" spans="1:26" hidden="1" x14ac:dyDescent="0.35">
      <c r="A1547">
        <v>10182</v>
      </c>
      <c r="B1547">
        <v>39</v>
      </c>
      <c r="C1547" s="3">
        <v>36.840000000000003</v>
      </c>
      <c r="D1547">
        <v>6</v>
      </c>
      <c r="E1547" s="3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 s="3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  <c r="Z1547" s="3">
        <f>Table1[[#This Row],[QUANTITYORDERED]]*Table1[[#This Row],[PRICEEACH]]</f>
        <v>1436.7600000000002</v>
      </c>
    </row>
    <row r="1548" spans="1:26" hidden="1" x14ac:dyDescent="0.35">
      <c r="A1548">
        <v>10193</v>
      </c>
      <c r="B1548">
        <v>26</v>
      </c>
      <c r="C1548" s="3">
        <v>29.21</v>
      </c>
      <c r="D1548">
        <v>10</v>
      </c>
      <c r="E1548" s="3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 s="3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  <c r="Z1548" s="3">
        <f>Table1[[#This Row],[QUANTITYORDERED]]*Table1[[#This Row],[PRICEEACH]]</f>
        <v>759.46</v>
      </c>
    </row>
    <row r="1549" spans="1:26" hidden="1" x14ac:dyDescent="0.35">
      <c r="A1549">
        <v>10205</v>
      </c>
      <c r="B1549">
        <v>32</v>
      </c>
      <c r="C1549" s="3">
        <v>37.17</v>
      </c>
      <c r="D1549">
        <v>5</v>
      </c>
      <c r="E1549" s="3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 s="3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  <c r="Z1549" s="3">
        <f>Table1[[#This Row],[QUANTITYORDERED]]*Table1[[#This Row],[PRICEEACH]]</f>
        <v>1189.44</v>
      </c>
    </row>
    <row r="1550" spans="1:26" hidden="1" x14ac:dyDescent="0.35">
      <c r="A1550">
        <v>10214</v>
      </c>
      <c r="B1550">
        <v>20</v>
      </c>
      <c r="C1550" s="3">
        <v>34.19</v>
      </c>
      <c r="D1550">
        <v>3</v>
      </c>
      <c r="E1550" s="3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 s="3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  <c r="Z1550" s="3">
        <f>Table1[[#This Row],[QUANTITYORDERED]]*Table1[[#This Row],[PRICEEACH]]</f>
        <v>683.8</v>
      </c>
    </row>
    <row r="1551" spans="1:26" hidden="1" x14ac:dyDescent="0.35">
      <c r="A1551">
        <v>10227</v>
      </c>
      <c r="B1551">
        <v>42</v>
      </c>
      <c r="C1551" s="3">
        <v>29.21</v>
      </c>
      <c r="D1551">
        <v>6</v>
      </c>
      <c r="E1551" s="3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 s="3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  <c r="Z1551" s="3">
        <f>Table1[[#This Row],[QUANTITYORDERED]]*Table1[[#This Row],[PRICEEACH]]</f>
        <v>1226.82</v>
      </c>
    </row>
    <row r="1552" spans="1:26" hidden="1" x14ac:dyDescent="0.35">
      <c r="A1552">
        <v>10243</v>
      </c>
      <c r="B1552">
        <v>33</v>
      </c>
      <c r="C1552" s="3">
        <v>29.54</v>
      </c>
      <c r="D1552">
        <v>1</v>
      </c>
      <c r="E1552" s="3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 s="3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  <c r="Z1552" s="3">
        <f>Table1[[#This Row],[QUANTITYORDERED]]*Table1[[#This Row],[PRICEEACH]]</f>
        <v>974.81999999999994</v>
      </c>
    </row>
    <row r="1553" spans="1:26" hidden="1" x14ac:dyDescent="0.35">
      <c r="A1553">
        <v>10280</v>
      </c>
      <c r="B1553">
        <v>20</v>
      </c>
      <c r="C1553" s="3">
        <v>28.88</v>
      </c>
      <c r="D1553">
        <v>12</v>
      </c>
      <c r="E1553" s="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 s="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  <c r="Z1553" s="3">
        <f>Table1[[#This Row],[QUANTITYORDERED]]*Table1[[#This Row],[PRICEEACH]]</f>
        <v>577.6</v>
      </c>
    </row>
    <row r="1554" spans="1:26" hidden="1" x14ac:dyDescent="0.35">
      <c r="A1554">
        <v>10288</v>
      </c>
      <c r="B1554">
        <v>29</v>
      </c>
      <c r="C1554" s="3">
        <v>38.17</v>
      </c>
      <c r="D1554">
        <v>1</v>
      </c>
      <c r="E1554" s="3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 s="3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  <c r="Z1554" s="3">
        <f>Table1[[#This Row],[QUANTITYORDERED]]*Table1[[#This Row],[PRICEEACH]]</f>
        <v>1106.93</v>
      </c>
    </row>
    <row r="1555" spans="1:26" hidden="1" x14ac:dyDescent="0.35">
      <c r="A1555">
        <v>10304</v>
      </c>
      <c r="B1555">
        <v>23</v>
      </c>
      <c r="C1555" s="3">
        <v>30.2</v>
      </c>
      <c r="D1555">
        <v>16</v>
      </c>
      <c r="E1555" s="3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 s="3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  <c r="Z1555" s="3">
        <f>Table1[[#This Row],[QUANTITYORDERED]]*Table1[[#This Row],[PRICEEACH]]</f>
        <v>694.6</v>
      </c>
    </row>
    <row r="1556" spans="1:26" hidden="1" x14ac:dyDescent="0.35">
      <c r="A1556">
        <v>10312</v>
      </c>
      <c r="B1556">
        <v>39</v>
      </c>
      <c r="C1556" s="3">
        <v>29.54</v>
      </c>
      <c r="D1556">
        <v>13</v>
      </c>
      <c r="E1556" s="3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 s="3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  <c r="Z1556" s="3">
        <f>Table1[[#This Row],[QUANTITYORDERED]]*Table1[[#This Row],[PRICEEACH]]</f>
        <v>1152.06</v>
      </c>
    </row>
    <row r="1557" spans="1:26" hidden="1" x14ac:dyDescent="0.35">
      <c r="A1557">
        <v>10322</v>
      </c>
      <c r="B1557">
        <v>20</v>
      </c>
      <c r="C1557" s="3">
        <v>100</v>
      </c>
      <c r="D1557">
        <v>3</v>
      </c>
      <c r="E1557" s="3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 s="3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  <c r="Z1557" s="3">
        <f>Table1[[#This Row],[QUANTITYORDERED]]*Table1[[#This Row],[PRICEEACH]]</f>
        <v>2000</v>
      </c>
    </row>
    <row r="1558" spans="1:26" hidden="1" x14ac:dyDescent="0.35">
      <c r="A1558">
        <v>10332</v>
      </c>
      <c r="B1558">
        <v>45</v>
      </c>
      <c r="C1558" s="3">
        <v>81.91</v>
      </c>
      <c r="D1558">
        <v>6</v>
      </c>
      <c r="E1558" s="3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 s="3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  <c r="Z1558" s="3">
        <f>Table1[[#This Row],[QUANTITYORDERED]]*Table1[[#This Row],[PRICEEACH]]</f>
        <v>3685.95</v>
      </c>
    </row>
    <row r="1559" spans="1:26" hidden="1" x14ac:dyDescent="0.35">
      <c r="A1559">
        <v>10344</v>
      </c>
      <c r="B1559">
        <v>20</v>
      </c>
      <c r="C1559" s="3">
        <v>35.18</v>
      </c>
      <c r="D1559">
        <v>6</v>
      </c>
      <c r="E1559" s="3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 s="3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  <c r="Z1559" s="3">
        <f>Table1[[#This Row],[QUANTITYORDERED]]*Table1[[#This Row],[PRICEEACH]]</f>
        <v>703.6</v>
      </c>
    </row>
    <row r="1560" spans="1:26" hidden="1" x14ac:dyDescent="0.35">
      <c r="A1560">
        <v>10356</v>
      </c>
      <c r="B1560">
        <v>48</v>
      </c>
      <c r="C1560" s="3">
        <v>100</v>
      </c>
      <c r="D1560">
        <v>5</v>
      </c>
      <c r="E1560" s="3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 s="3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  <c r="Z1560" s="3">
        <f>Table1[[#This Row],[QUANTITYORDERED]]*Table1[[#This Row],[PRICEEACH]]</f>
        <v>4800</v>
      </c>
    </row>
    <row r="1561" spans="1:26" hidden="1" x14ac:dyDescent="0.35">
      <c r="A1561">
        <v>10367</v>
      </c>
      <c r="B1561">
        <v>23</v>
      </c>
      <c r="C1561" s="3">
        <v>36.29</v>
      </c>
      <c r="D1561">
        <v>13</v>
      </c>
      <c r="E1561" s="3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 s="3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  <c r="Z1561" s="3">
        <f>Table1[[#This Row],[QUANTITYORDERED]]*Table1[[#This Row],[PRICEEACH]]</f>
        <v>834.67</v>
      </c>
    </row>
    <row r="1562" spans="1:26" hidden="1" x14ac:dyDescent="0.35">
      <c r="A1562">
        <v>10380</v>
      </c>
      <c r="B1562">
        <v>32</v>
      </c>
      <c r="C1562" s="3">
        <v>70.56</v>
      </c>
      <c r="D1562">
        <v>4</v>
      </c>
      <c r="E1562" s="3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 s="3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  <c r="Z1562" s="3">
        <f>Table1[[#This Row],[QUANTITYORDERED]]*Table1[[#This Row],[PRICEEACH]]</f>
        <v>2257.92</v>
      </c>
    </row>
    <row r="1563" spans="1:26" hidden="1" x14ac:dyDescent="0.35">
      <c r="A1563">
        <v>10391</v>
      </c>
      <c r="B1563">
        <v>33</v>
      </c>
      <c r="C1563" s="3">
        <v>100</v>
      </c>
      <c r="D1563">
        <v>8</v>
      </c>
      <c r="E1563" s="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 s="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  <c r="Z1563" s="3">
        <f>Table1[[#This Row],[QUANTITYORDERED]]*Table1[[#This Row],[PRICEEACH]]</f>
        <v>3300</v>
      </c>
    </row>
    <row r="1564" spans="1:26" hidden="1" x14ac:dyDescent="0.35">
      <c r="A1564">
        <v>10409</v>
      </c>
      <c r="B1564">
        <v>61</v>
      </c>
      <c r="C1564" s="3">
        <v>29.54</v>
      </c>
      <c r="D1564">
        <v>1</v>
      </c>
      <c r="E1564" s="3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 s="3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  <c r="Z1564" s="3">
        <f>Table1[[#This Row],[QUANTITYORDERED]]*Table1[[#This Row],[PRICEEACH]]</f>
        <v>1801.94</v>
      </c>
    </row>
    <row r="1565" spans="1:26" hidden="1" x14ac:dyDescent="0.35">
      <c r="A1565">
        <v>10420</v>
      </c>
      <c r="B1565">
        <v>45</v>
      </c>
      <c r="C1565" s="3">
        <v>26.88</v>
      </c>
      <c r="D1565">
        <v>1</v>
      </c>
      <c r="E1565" s="3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 s="3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  <c r="Z1565" s="3">
        <f>Table1[[#This Row],[QUANTITYORDERED]]*Table1[[#This Row],[PRICEEACH]]</f>
        <v>1209.5999999999999</v>
      </c>
    </row>
    <row r="1566" spans="1:26" hidden="1" x14ac:dyDescent="0.35">
      <c r="A1566">
        <v>10107</v>
      </c>
      <c r="B1566">
        <v>38</v>
      </c>
      <c r="C1566" s="3">
        <v>83.03</v>
      </c>
      <c r="D1566">
        <v>7</v>
      </c>
      <c r="E1566" s="3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 s="3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  <c r="Z1566" s="3">
        <f>Table1[[#This Row],[QUANTITYORDERED]]*Table1[[#This Row],[PRICEEACH]]</f>
        <v>3155.14</v>
      </c>
    </row>
    <row r="1567" spans="1:26" hidden="1" x14ac:dyDescent="0.35">
      <c r="A1567">
        <v>10120</v>
      </c>
      <c r="B1567">
        <v>34</v>
      </c>
      <c r="C1567" s="3">
        <v>83.79</v>
      </c>
      <c r="D1567">
        <v>5</v>
      </c>
      <c r="E1567" s="3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 s="3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  <c r="Z1567" s="3">
        <f>Table1[[#This Row],[QUANTITYORDERED]]*Table1[[#This Row],[PRICEEACH]]</f>
        <v>2848.86</v>
      </c>
    </row>
    <row r="1568" spans="1:26" hidden="1" x14ac:dyDescent="0.35">
      <c r="A1568">
        <v>10134</v>
      </c>
      <c r="B1568">
        <v>43</v>
      </c>
      <c r="C1568" s="3">
        <v>83.03</v>
      </c>
      <c r="D1568">
        <v>7</v>
      </c>
      <c r="E1568" s="3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 s="3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  <c r="Z1568" s="3">
        <f>Table1[[#This Row],[QUANTITYORDERED]]*Table1[[#This Row],[PRICEEACH]]</f>
        <v>3570.29</v>
      </c>
    </row>
    <row r="1569" spans="1:26" hidden="1" x14ac:dyDescent="0.35">
      <c r="A1569">
        <v>10145</v>
      </c>
      <c r="B1569">
        <v>47</v>
      </c>
      <c r="C1569" s="3">
        <v>83.03</v>
      </c>
      <c r="D1569">
        <v>11</v>
      </c>
      <c r="E1569" s="3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 s="3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  <c r="Z1569" s="3">
        <f>Table1[[#This Row],[QUANTITYORDERED]]*Table1[[#This Row],[PRICEEACH]]</f>
        <v>3902.41</v>
      </c>
    </row>
    <row r="1570" spans="1:26" hidden="1" x14ac:dyDescent="0.35">
      <c r="A1570">
        <v>10158</v>
      </c>
      <c r="B1570">
        <v>22</v>
      </c>
      <c r="C1570" s="3">
        <v>67.03</v>
      </c>
      <c r="D1570">
        <v>1</v>
      </c>
      <c r="E1570" s="3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 s="3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  <c r="Z1570" s="3">
        <f>Table1[[#This Row],[QUANTITYORDERED]]*Table1[[#This Row],[PRICEEACH]]</f>
        <v>1474.66</v>
      </c>
    </row>
    <row r="1571" spans="1:26" hidden="1" x14ac:dyDescent="0.35">
      <c r="A1571">
        <v>10168</v>
      </c>
      <c r="B1571">
        <v>29</v>
      </c>
      <c r="C1571" s="3">
        <v>75.41</v>
      </c>
      <c r="D1571">
        <v>6</v>
      </c>
      <c r="E1571" s="3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 s="3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  <c r="Z1571" s="3">
        <f>Table1[[#This Row],[QUANTITYORDERED]]*Table1[[#This Row],[PRICEEACH]]</f>
        <v>2186.89</v>
      </c>
    </row>
    <row r="1572" spans="1:26" hidden="1" x14ac:dyDescent="0.35">
      <c r="A1572">
        <v>10180</v>
      </c>
      <c r="B1572">
        <v>28</v>
      </c>
      <c r="C1572" s="3">
        <v>68.55</v>
      </c>
      <c r="D1572">
        <v>14</v>
      </c>
      <c r="E1572" s="3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 s="3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  <c r="Z1572" s="3">
        <f>Table1[[#This Row],[QUANTITYORDERED]]*Table1[[#This Row],[PRICEEACH]]</f>
        <v>1919.3999999999999</v>
      </c>
    </row>
    <row r="1573" spans="1:26" hidden="1" x14ac:dyDescent="0.35">
      <c r="A1573">
        <v>10188</v>
      </c>
      <c r="B1573">
        <v>40</v>
      </c>
      <c r="C1573" s="3">
        <v>91.4</v>
      </c>
      <c r="D1573">
        <v>6</v>
      </c>
      <c r="E1573" s="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 s="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  <c r="Z1573" s="3">
        <f>Table1[[#This Row],[QUANTITYORDERED]]*Table1[[#This Row],[PRICEEACH]]</f>
        <v>3656</v>
      </c>
    </row>
    <row r="1574" spans="1:26" hidden="1" x14ac:dyDescent="0.35">
      <c r="A1574">
        <v>10201</v>
      </c>
      <c r="B1574">
        <v>25</v>
      </c>
      <c r="C1574" s="3">
        <v>73.88</v>
      </c>
      <c r="D1574">
        <v>7</v>
      </c>
      <c r="E1574" s="3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 s="3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  <c r="Z1574" s="3">
        <f>Table1[[#This Row],[QUANTITYORDERED]]*Table1[[#This Row],[PRICEEACH]]</f>
        <v>1847</v>
      </c>
    </row>
    <row r="1575" spans="1:26" hidden="1" x14ac:dyDescent="0.35">
      <c r="A1575">
        <v>10210</v>
      </c>
      <c r="B1575">
        <v>30</v>
      </c>
      <c r="C1575" s="3">
        <v>61.7</v>
      </c>
      <c r="D1575">
        <v>4</v>
      </c>
      <c r="E1575" s="3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 s="3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  <c r="Z1575" s="3">
        <f>Table1[[#This Row],[QUANTITYORDERED]]*Table1[[#This Row],[PRICEEACH]]</f>
        <v>1851</v>
      </c>
    </row>
    <row r="1576" spans="1:26" hidden="1" x14ac:dyDescent="0.35">
      <c r="A1576">
        <v>10223</v>
      </c>
      <c r="B1576">
        <v>38</v>
      </c>
      <c r="C1576" s="3">
        <v>69.31</v>
      </c>
      <c r="D1576">
        <v>6</v>
      </c>
      <c r="E1576" s="3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 s="3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  <c r="Z1576" s="3">
        <f>Table1[[#This Row],[QUANTITYORDERED]]*Table1[[#This Row],[PRICEEACH]]</f>
        <v>2633.78</v>
      </c>
    </row>
    <row r="1577" spans="1:26" hidden="1" x14ac:dyDescent="0.35">
      <c r="A1577">
        <v>10236</v>
      </c>
      <c r="B1577">
        <v>36</v>
      </c>
      <c r="C1577" s="3">
        <v>87.6</v>
      </c>
      <c r="D1577">
        <v>3</v>
      </c>
      <c r="E1577" s="3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 s="3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  <c r="Z1577" s="3">
        <f>Table1[[#This Row],[QUANTITYORDERED]]*Table1[[#This Row],[PRICEEACH]]</f>
        <v>3153.6</v>
      </c>
    </row>
    <row r="1578" spans="1:26" hidden="1" x14ac:dyDescent="0.35">
      <c r="A1578">
        <v>10250</v>
      </c>
      <c r="B1578">
        <v>32</v>
      </c>
      <c r="C1578" s="3">
        <v>87.6</v>
      </c>
      <c r="D1578">
        <v>1</v>
      </c>
      <c r="E1578" s="3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 s="3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  <c r="Z1578" s="3">
        <f>Table1[[#This Row],[QUANTITYORDERED]]*Table1[[#This Row],[PRICEEACH]]</f>
        <v>2803.2</v>
      </c>
    </row>
    <row r="1579" spans="1:26" hidden="1" x14ac:dyDescent="0.35">
      <c r="A1579">
        <v>10263</v>
      </c>
      <c r="B1579">
        <v>37</v>
      </c>
      <c r="C1579" s="3">
        <v>62.46</v>
      </c>
      <c r="D1579">
        <v>7</v>
      </c>
      <c r="E1579" s="3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 s="3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  <c r="Z1579" s="3">
        <f>Table1[[#This Row],[QUANTITYORDERED]]*Table1[[#This Row],[PRICEEACH]]</f>
        <v>2311.02</v>
      </c>
    </row>
    <row r="1580" spans="1:26" hidden="1" x14ac:dyDescent="0.35">
      <c r="A1580">
        <v>10275</v>
      </c>
      <c r="B1580">
        <v>30</v>
      </c>
      <c r="C1580" s="3">
        <v>79.98</v>
      </c>
      <c r="D1580">
        <v>6</v>
      </c>
      <c r="E1580" s="3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 s="3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  <c r="Z1580" s="3">
        <f>Table1[[#This Row],[QUANTITYORDERED]]*Table1[[#This Row],[PRICEEACH]]</f>
        <v>2399.4</v>
      </c>
    </row>
    <row r="1581" spans="1:26" hidden="1" x14ac:dyDescent="0.35">
      <c r="A1581">
        <v>10285</v>
      </c>
      <c r="B1581">
        <v>39</v>
      </c>
      <c r="C1581" s="3">
        <v>70.08</v>
      </c>
      <c r="D1581">
        <v>11</v>
      </c>
      <c r="E1581" s="3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 s="3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  <c r="Z1581" s="3">
        <f>Table1[[#This Row],[QUANTITYORDERED]]*Table1[[#This Row],[PRICEEACH]]</f>
        <v>2733.12</v>
      </c>
    </row>
    <row r="1582" spans="1:26" hidden="1" x14ac:dyDescent="0.35">
      <c r="A1582">
        <v>10297</v>
      </c>
      <c r="B1582">
        <v>32</v>
      </c>
      <c r="C1582" s="3">
        <v>65.510000000000005</v>
      </c>
      <c r="D1582">
        <v>1</v>
      </c>
      <c r="E1582" s="3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 s="3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  <c r="Z1582" s="3">
        <f>Table1[[#This Row],[QUANTITYORDERED]]*Table1[[#This Row],[PRICEEACH]]</f>
        <v>2096.3200000000002</v>
      </c>
    </row>
    <row r="1583" spans="1:26" hidden="1" x14ac:dyDescent="0.35">
      <c r="A1583">
        <v>10308</v>
      </c>
      <c r="B1583">
        <v>47</v>
      </c>
      <c r="C1583" s="3">
        <v>63.22</v>
      </c>
      <c r="D1583">
        <v>4</v>
      </c>
      <c r="E1583" s="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 s="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  <c r="Z1583" s="3">
        <f>Table1[[#This Row],[QUANTITYORDERED]]*Table1[[#This Row],[PRICEEACH]]</f>
        <v>2971.34</v>
      </c>
    </row>
    <row r="1584" spans="1:26" hidden="1" x14ac:dyDescent="0.35">
      <c r="A1584">
        <v>10318</v>
      </c>
      <c r="B1584">
        <v>26</v>
      </c>
      <c r="C1584" s="3">
        <v>86.83</v>
      </c>
      <c r="D1584">
        <v>6</v>
      </c>
      <c r="E1584" s="3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 s="3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  <c r="Z1584" s="3">
        <f>Table1[[#This Row],[QUANTITYORDERED]]*Table1[[#This Row],[PRICEEACH]]</f>
        <v>2257.58</v>
      </c>
    </row>
    <row r="1585" spans="1:26" hidden="1" x14ac:dyDescent="0.35">
      <c r="A1585">
        <v>10329</v>
      </c>
      <c r="B1585">
        <v>37</v>
      </c>
      <c r="C1585" s="3">
        <v>94.43</v>
      </c>
      <c r="D1585">
        <v>4</v>
      </c>
      <c r="E1585" s="3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 s="3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  <c r="Z1585" s="3">
        <f>Table1[[#This Row],[QUANTITYORDERED]]*Table1[[#This Row],[PRICEEACH]]</f>
        <v>3493.9100000000003</v>
      </c>
    </row>
    <row r="1586" spans="1:26" hidden="1" x14ac:dyDescent="0.35">
      <c r="A1586">
        <v>10340</v>
      </c>
      <c r="B1586">
        <v>55</v>
      </c>
      <c r="C1586" s="3">
        <v>79.98</v>
      </c>
      <c r="D1586">
        <v>8</v>
      </c>
      <c r="E1586" s="3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 s="3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  <c r="Z1586" s="3">
        <f>Table1[[#This Row],[QUANTITYORDERED]]*Table1[[#This Row],[PRICEEACH]]</f>
        <v>4398.9000000000005</v>
      </c>
    </row>
    <row r="1587" spans="1:26" hidden="1" x14ac:dyDescent="0.35">
      <c r="A1587">
        <v>10363</v>
      </c>
      <c r="B1587">
        <v>21</v>
      </c>
      <c r="C1587" s="3">
        <v>100</v>
      </c>
      <c r="D1587">
        <v>8</v>
      </c>
      <c r="E1587" s="3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 s="3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  <c r="Z1587" s="3">
        <f>Table1[[#This Row],[QUANTITYORDERED]]*Table1[[#This Row],[PRICEEACH]]</f>
        <v>2100</v>
      </c>
    </row>
    <row r="1588" spans="1:26" hidden="1" x14ac:dyDescent="0.35">
      <c r="A1588">
        <v>10375</v>
      </c>
      <c r="B1588">
        <v>23</v>
      </c>
      <c r="C1588" s="3">
        <v>100</v>
      </c>
      <c r="D1588">
        <v>9</v>
      </c>
      <c r="E1588" s="3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 s="3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  <c r="Z1588" s="3">
        <f>Table1[[#This Row],[QUANTITYORDERED]]*Table1[[#This Row],[PRICEEACH]]</f>
        <v>2300</v>
      </c>
    </row>
    <row r="1589" spans="1:26" hidden="1" x14ac:dyDescent="0.35">
      <c r="A1589">
        <v>10389</v>
      </c>
      <c r="B1589">
        <v>49</v>
      </c>
      <c r="C1589" s="3">
        <v>81.400000000000006</v>
      </c>
      <c r="D1589">
        <v>2</v>
      </c>
      <c r="E1589" s="3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 s="3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  <c r="Z1589" s="3">
        <f>Table1[[#This Row],[QUANTITYORDERED]]*Table1[[#This Row],[PRICEEACH]]</f>
        <v>3988.6000000000004</v>
      </c>
    </row>
    <row r="1590" spans="1:26" hidden="1" x14ac:dyDescent="0.35">
      <c r="A1590">
        <v>10402</v>
      </c>
      <c r="B1590">
        <v>59</v>
      </c>
      <c r="C1590" s="3">
        <v>87.6</v>
      </c>
      <c r="D1590">
        <v>3</v>
      </c>
      <c r="E1590" s="3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 s="3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  <c r="Z1590" s="3">
        <f>Table1[[#This Row],[QUANTITYORDERED]]*Table1[[#This Row],[PRICEEACH]]</f>
        <v>5168.3999999999996</v>
      </c>
    </row>
    <row r="1591" spans="1:26" hidden="1" x14ac:dyDescent="0.35">
      <c r="A1591">
        <v>10416</v>
      </c>
      <c r="B1591">
        <v>32</v>
      </c>
      <c r="C1591" s="3">
        <v>87.6</v>
      </c>
      <c r="D1591">
        <v>1</v>
      </c>
      <c r="E1591" s="3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 s="3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  <c r="Z1591" s="3">
        <f>Table1[[#This Row],[QUANTITYORDERED]]*Table1[[#This Row],[PRICEEACH]]</f>
        <v>2803.2</v>
      </c>
    </row>
    <row r="1592" spans="1:26" hidden="1" x14ac:dyDescent="0.35">
      <c r="A1592">
        <v>10105</v>
      </c>
      <c r="B1592">
        <v>43</v>
      </c>
      <c r="C1592" s="3">
        <v>100</v>
      </c>
      <c r="D1592">
        <v>9</v>
      </c>
      <c r="E1592" s="3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 s="3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  <c r="Z1592" s="3">
        <f>Table1[[#This Row],[QUANTITYORDERED]]*Table1[[#This Row],[PRICEEACH]]</f>
        <v>4300</v>
      </c>
    </row>
    <row r="1593" spans="1:26" hidden="1" x14ac:dyDescent="0.35">
      <c r="A1593">
        <v>10117</v>
      </c>
      <c r="B1593">
        <v>41</v>
      </c>
      <c r="C1593" s="3">
        <v>100</v>
      </c>
      <c r="D1593">
        <v>3</v>
      </c>
      <c r="E1593" s="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 s="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  <c r="Z1593" s="3">
        <f>Table1[[#This Row],[QUANTITYORDERED]]*Table1[[#This Row],[PRICEEACH]]</f>
        <v>4100</v>
      </c>
    </row>
    <row r="1594" spans="1:26" hidden="1" x14ac:dyDescent="0.35">
      <c r="A1594">
        <v>10129</v>
      </c>
      <c r="B1594">
        <v>45</v>
      </c>
      <c r="C1594" s="3">
        <v>100</v>
      </c>
      <c r="D1594">
        <v>9</v>
      </c>
      <c r="E1594" s="3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 s="3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  <c r="Z1594" s="3">
        <f>Table1[[#This Row],[QUANTITYORDERED]]*Table1[[#This Row],[PRICEEACH]]</f>
        <v>4500</v>
      </c>
    </row>
    <row r="1595" spans="1:26" hidden="1" x14ac:dyDescent="0.35">
      <c r="A1595">
        <v>10142</v>
      </c>
      <c r="B1595">
        <v>33</v>
      </c>
      <c r="C1595" s="3">
        <v>100</v>
      </c>
      <c r="D1595">
        <v>6</v>
      </c>
      <c r="E1595" s="3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 s="3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  <c r="Z1595" s="3">
        <f>Table1[[#This Row],[QUANTITYORDERED]]*Table1[[#This Row],[PRICEEACH]]</f>
        <v>3300</v>
      </c>
    </row>
    <row r="1596" spans="1:26" hidden="1" x14ac:dyDescent="0.35">
      <c r="A1596">
        <v>10153</v>
      </c>
      <c r="B1596">
        <v>40</v>
      </c>
      <c r="C1596" s="3">
        <v>100</v>
      </c>
      <c r="D1596">
        <v>5</v>
      </c>
      <c r="E1596" s="3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 s="3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  <c r="Z1596" s="3">
        <f>Table1[[#This Row],[QUANTITYORDERED]]*Table1[[#This Row],[PRICEEACH]]</f>
        <v>4000</v>
      </c>
    </row>
    <row r="1597" spans="1:26" hidden="1" x14ac:dyDescent="0.35">
      <c r="A1597">
        <v>10167</v>
      </c>
      <c r="B1597">
        <v>33</v>
      </c>
      <c r="C1597" s="3">
        <v>100</v>
      </c>
      <c r="D1597">
        <v>16</v>
      </c>
      <c r="E1597" s="3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 s="3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  <c r="Z1597" s="3">
        <f>Table1[[#This Row],[QUANTITYORDERED]]*Table1[[#This Row],[PRICEEACH]]</f>
        <v>3300</v>
      </c>
    </row>
    <row r="1598" spans="1:26" hidden="1" x14ac:dyDescent="0.35">
      <c r="A1598">
        <v>10177</v>
      </c>
      <c r="B1598">
        <v>50</v>
      </c>
      <c r="C1598" s="3">
        <v>100</v>
      </c>
      <c r="D1598">
        <v>7</v>
      </c>
      <c r="E1598" s="3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 s="3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  <c r="Z1598" s="3">
        <f>Table1[[#This Row],[QUANTITYORDERED]]*Table1[[#This Row],[PRICEEACH]]</f>
        <v>5000</v>
      </c>
    </row>
    <row r="1599" spans="1:26" hidden="1" x14ac:dyDescent="0.35">
      <c r="A1599">
        <v>10185</v>
      </c>
      <c r="B1599">
        <v>30</v>
      </c>
      <c r="C1599" s="3">
        <v>100</v>
      </c>
      <c r="D1599">
        <v>7</v>
      </c>
      <c r="E1599" s="3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 s="3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  <c r="Z1599" s="3">
        <f>Table1[[#This Row],[QUANTITYORDERED]]*Table1[[#This Row],[PRICEEACH]]</f>
        <v>3000</v>
      </c>
    </row>
    <row r="1600" spans="1:26" hidden="1" x14ac:dyDescent="0.35">
      <c r="A1600">
        <v>10197</v>
      </c>
      <c r="B1600">
        <v>41</v>
      </c>
      <c r="C1600" s="3">
        <v>100</v>
      </c>
      <c r="D1600">
        <v>13</v>
      </c>
      <c r="E1600" s="3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 s="3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  <c r="Z1600" s="3">
        <f>Table1[[#This Row],[QUANTITYORDERED]]*Table1[[#This Row],[PRICEEACH]]</f>
        <v>4100</v>
      </c>
    </row>
    <row r="1601" spans="1:26" hidden="1" x14ac:dyDescent="0.35">
      <c r="A1601">
        <v>10208</v>
      </c>
      <c r="B1601">
        <v>35</v>
      </c>
      <c r="C1601" s="3">
        <v>100</v>
      </c>
      <c r="D1601">
        <v>7</v>
      </c>
      <c r="E1601" s="3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 s="3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  <c r="Z1601" s="3">
        <f>Table1[[#This Row],[QUANTITYORDERED]]*Table1[[#This Row],[PRICEEACH]]</f>
        <v>3500</v>
      </c>
    </row>
    <row r="1602" spans="1:26" hidden="1" x14ac:dyDescent="0.35">
      <c r="A1602">
        <v>10221</v>
      </c>
      <c r="B1602">
        <v>49</v>
      </c>
      <c r="C1602" s="3">
        <v>100</v>
      </c>
      <c r="D1602">
        <v>1</v>
      </c>
      <c r="E1602" s="3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 s="3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  <c r="Z1602" s="3">
        <f>Table1[[#This Row],[QUANTITYORDERED]]*Table1[[#This Row],[PRICEEACH]]</f>
        <v>4900</v>
      </c>
    </row>
    <row r="1603" spans="1:26" hidden="1" x14ac:dyDescent="0.35">
      <c r="A1603">
        <v>10232</v>
      </c>
      <c r="B1603">
        <v>46</v>
      </c>
      <c r="C1603" s="3">
        <v>100</v>
      </c>
      <c r="D1603">
        <v>4</v>
      </c>
      <c r="E1603" s="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 s="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  <c r="Z1603" s="3">
        <f>Table1[[#This Row],[QUANTITYORDERED]]*Table1[[#This Row],[PRICEEACH]]</f>
        <v>4600</v>
      </c>
    </row>
    <row r="1604" spans="1:26" hidden="1" x14ac:dyDescent="0.35">
      <c r="A1604">
        <v>10248</v>
      </c>
      <c r="B1604">
        <v>48</v>
      </c>
      <c r="C1604" s="3">
        <v>100</v>
      </c>
      <c r="D1604">
        <v>10</v>
      </c>
      <c r="E1604" s="3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 s="3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  <c r="Z1604" s="3">
        <f>Table1[[#This Row],[QUANTITYORDERED]]*Table1[[#This Row],[PRICEEACH]]</f>
        <v>4800</v>
      </c>
    </row>
    <row r="1605" spans="1:26" hidden="1" x14ac:dyDescent="0.35">
      <c r="A1605">
        <v>10261</v>
      </c>
      <c r="B1605">
        <v>36</v>
      </c>
      <c r="C1605" s="3">
        <v>100</v>
      </c>
      <c r="D1605">
        <v>8</v>
      </c>
      <c r="E1605" s="3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 s="3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  <c r="Z1605" s="3">
        <f>Table1[[#This Row],[QUANTITYORDERED]]*Table1[[#This Row],[PRICEEACH]]</f>
        <v>3600</v>
      </c>
    </row>
    <row r="1606" spans="1:26" hidden="1" x14ac:dyDescent="0.35">
      <c r="A1606">
        <v>10273</v>
      </c>
      <c r="B1606">
        <v>22</v>
      </c>
      <c r="C1606" s="3">
        <v>100</v>
      </c>
      <c r="D1606">
        <v>11</v>
      </c>
      <c r="E1606" s="3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 s="3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  <c r="Z1606" s="3">
        <f>Table1[[#This Row],[QUANTITYORDERED]]*Table1[[#This Row],[PRICEEACH]]</f>
        <v>2200</v>
      </c>
    </row>
    <row r="1607" spans="1:26" hidden="1" x14ac:dyDescent="0.35">
      <c r="A1607">
        <v>10283</v>
      </c>
      <c r="B1607">
        <v>42</v>
      </c>
      <c r="C1607" s="3">
        <v>100</v>
      </c>
      <c r="D1607">
        <v>13</v>
      </c>
      <c r="E1607" s="3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 s="3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  <c r="Z1607" s="3">
        <f>Table1[[#This Row],[QUANTITYORDERED]]*Table1[[#This Row],[PRICEEACH]]</f>
        <v>4200</v>
      </c>
    </row>
    <row r="1608" spans="1:26" hidden="1" x14ac:dyDescent="0.35">
      <c r="A1608">
        <v>10293</v>
      </c>
      <c r="B1608">
        <v>21</v>
      </c>
      <c r="C1608" s="3">
        <v>100</v>
      </c>
      <c r="D1608">
        <v>2</v>
      </c>
      <c r="E1608" s="3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 s="3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  <c r="Z1608" s="3">
        <f>Table1[[#This Row],[QUANTITYORDERED]]*Table1[[#This Row],[PRICEEACH]]</f>
        <v>2100</v>
      </c>
    </row>
    <row r="1609" spans="1:26" hidden="1" x14ac:dyDescent="0.35">
      <c r="A1609">
        <v>10306</v>
      </c>
      <c r="B1609">
        <v>29</v>
      </c>
      <c r="C1609" s="3">
        <v>100</v>
      </c>
      <c r="D1609">
        <v>7</v>
      </c>
      <c r="E1609" s="3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 s="3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  <c r="Z1609" s="3">
        <f>Table1[[#This Row],[QUANTITYORDERED]]*Table1[[#This Row],[PRICEEACH]]</f>
        <v>2900</v>
      </c>
    </row>
    <row r="1610" spans="1:26" hidden="1" x14ac:dyDescent="0.35">
      <c r="A1610">
        <v>10315</v>
      </c>
      <c r="B1610">
        <v>35</v>
      </c>
      <c r="C1610" s="3">
        <v>100</v>
      </c>
      <c r="D1610">
        <v>6</v>
      </c>
      <c r="E1610" s="3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 s="3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  <c r="Z1610" s="3">
        <f>Table1[[#This Row],[QUANTITYORDERED]]*Table1[[#This Row],[PRICEEACH]]</f>
        <v>3500</v>
      </c>
    </row>
    <row r="1611" spans="1:26" hidden="1" x14ac:dyDescent="0.35">
      <c r="A1611">
        <v>10326</v>
      </c>
      <c r="B1611">
        <v>41</v>
      </c>
      <c r="C1611" s="3">
        <v>100</v>
      </c>
      <c r="D1611">
        <v>4</v>
      </c>
      <c r="E1611" s="3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 s="3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  <c r="Z1611" s="3">
        <f>Table1[[#This Row],[QUANTITYORDERED]]*Table1[[#This Row],[PRICEEACH]]</f>
        <v>4100</v>
      </c>
    </row>
    <row r="1612" spans="1:26" hidden="1" x14ac:dyDescent="0.35">
      <c r="A1612">
        <v>10337</v>
      </c>
      <c r="B1612">
        <v>29</v>
      </c>
      <c r="C1612" s="3">
        <v>71.97</v>
      </c>
      <c r="D1612">
        <v>4</v>
      </c>
      <c r="E1612" s="3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 s="3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  <c r="Z1612" s="3">
        <f>Table1[[#This Row],[QUANTITYORDERED]]*Table1[[#This Row],[PRICEEACH]]</f>
        <v>2087.13</v>
      </c>
    </row>
    <row r="1613" spans="1:26" hidden="1" x14ac:dyDescent="0.35">
      <c r="A1613">
        <v>10350</v>
      </c>
      <c r="B1613">
        <v>34</v>
      </c>
      <c r="C1613" s="3">
        <v>50.33</v>
      </c>
      <c r="D1613">
        <v>7</v>
      </c>
      <c r="E1613" s="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 s="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  <c r="Z1613" s="3">
        <f>Table1[[#This Row],[QUANTITYORDERED]]*Table1[[#This Row],[PRICEEACH]]</f>
        <v>1711.22</v>
      </c>
    </row>
    <row r="1614" spans="1:26" hidden="1" x14ac:dyDescent="0.35">
      <c r="A1614">
        <v>10372</v>
      </c>
      <c r="B1614">
        <v>37</v>
      </c>
      <c r="C1614" s="3">
        <v>100</v>
      </c>
      <c r="D1614">
        <v>8</v>
      </c>
      <c r="E1614" s="3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 s="3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  <c r="Z1614" s="3">
        <f>Table1[[#This Row],[QUANTITYORDERED]]*Table1[[#This Row],[PRICEEACH]]</f>
        <v>3700</v>
      </c>
    </row>
    <row r="1615" spans="1:26" hidden="1" x14ac:dyDescent="0.35">
      <c r="A1615">
        <v>10384</v>
      </c>
      <c r="B1615">
        <v>28</v>
      </c>
      <c r="C1615" s="3">
        <v>80.540000000000006</v>
      </c>
      <c r="D1615">
        <v>3</v>
      </c>
      <c r="E1615" s="3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 s="3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  <c r="Z1615" s="3">
        <f>Table1[[#This Row],[QUANTITYORDERED]]*Table1[[#This Row],[PRICEEACH]]</f>
        <v>2255.1200000000003</v>
      </c>
    </row>
    <row r="1616" spans="1:26" hidden="1" x14ac:dyDescent="0.35">
      <c r="A1616">
        <v>10396</v>
      </c>
      <c r="B1616">
        <v>49</v>
      </c>
      <c r="C1616" s="3">
        <v>100</v>
      </c>
      <c r="D1616">
        <v>6</v>
      </c>
      <c r="E1616" s="3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 s="3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  <c r="Z1616" s="3">
        <f>Table1[[#This Row],[QUANTITYORDERED]]*Table1[[#This Row],[PRICEEACH]]</f>
        <v>4900</v>
      </c>
    </row>
    <row r="1617" spans="1:26" hidden="1" x14ac:dyDescent="0.35">
      <c r="A1617">
        <v>10414</v>
      </c>
      <c r="B1617">
        <v>23</v>
      </c>
      <c r="C1617" s="3">
        <v>100</v>
      </c>
      <c r="D1617">
        <v>10</v>
      </c>
      <c r="E1617" s="3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 s="3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  <c r="Z1617" s="3">
        <f>Table1[[#This Row],[QUANTITYORDERED]]*Table1[[#This Row],[PRICEEACH]]</f>
        <v>2300</v>
      </c>
    </row>
    <row r="1618" spans="1:26" hidden="1" x14ac:dyDescent="0.35">
      <c r="A1618">
        <v>10101</v>
      </c>
      <c r="B1618">
        <v>46</v>
      </c>
      <c r="C1618" s="3">
        <v>53.76</v>
      </c>
      <c r="D1618">
        <v>2</v>
      </c>
      <c r="E1618" s="3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 s="3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  <c r="Z1618" s="3">
        <f>Table1[[#This Row],[QUANTITYORDERED]]*Table1[[#This Row],[PRICEEACH]]</f>
        <v>2472.96</v>
      </c>
    </row>
    <row r="1619" spans="1:26" hidden="1" x14ac:dyDescent="0.35">
      <c r="A1619">
        <v>10110</v>
      </c>
      <c r="B1619">
        <v>39</v>
      </c>
      <c r="C1619" s="3">
        <v>44.35</v>
      </c>
      <c r="D1619">
        <v>2</v>
      </c>
      <c r="E1619" s="3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 s="3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  <c r="Z1619" s="3">
        <f>Table1[[#This Row],[QUANTITYORDERED]]*Table1[[#This Row],[PRICEEACH]]</f>
        <v>1729.65</v>
      </c>
    </row>
    <row r="1620" spans="1:26" hidden="1" x14ac:dyDescent="0.35">
      <c r="A1620">
        <v>10124</v>
      </c>
      <c r="B1620">
        <v>22</v>
      </c>
      <c r="C1620" s="3">
        <v>45.25</v>
      </c>
      <c r="D1620">
        <v>1</v>
      </c>
      <c r="E1620" s="3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 s="3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  <c r="Z1620" s="3">
        <f>Table1[[#This Row],[QUANTITYORDERED]]*Table1[[#This Row],[PRICEEACH]]</f>
        <v>995.5</v>
      </c>
    </row>
    <row r="1621" spans="1:26" hidden="1" x14ac:dyDescent="0.35">
      <c r="A1621">
        <v>10149</v>
      </c>
      <c r="B1621">
        <v>49</v>
      </c>
      <c r="C1621" s="3">
        <v>49.28</v>
      </c>
      <c r="D1621">
        <v>6</v>
      </c>
      <c r="E1621" s="3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 s="3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  <c r="Z1621" s="3">
        <f>Table1[[#This Row],[QUANTITYORDERED]]*Table1[[#This Row],[PRICEEACH]]</f>
        <v>2414.7200000000003</v>
      </c>
    </row>
    <row r="1622" spans="1:26" hidden="1" x14ac:dyDescent="0.35">
      <c r="A1622">
        <v>10162</v>
      </c>
      <c r="B1622">
        <v>43</v>
      </c>
      <c r="C1622" s="3">
        <v>36.29</v>
      </c>
      <c r="D1622">
        <v>4</v>
      </c>
      <c r="E1622" s="3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 s="3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  <c r="Z1622" s="3">
        <f>Table1[[#This Row],[QUANTITYORDERED]]*Table1[[#This Row],[PRICEEACH]]</f>
        <v>1560.47</v>
      </c>
    </row>
    <row r="1623" spans="1:26" hidden="1" x14ac:dyDescent="0.35">
      <c r="A1623">
        <v>10173</v>
      </c>
      <c r="B1623">
        <v>27</v>
      </c>
      <c r="C1623" s="3">
        <v>41.22</v>
      </c>
      <c r="D1623">
        <v>8</v>
      </c>
      <c r="E1623" s="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 s="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  <c r="Z1623" s="3">
        <f>Table1[[#This Row],[QUANTITYORDERED]]*Table1[[#This Row],[PRICEEACH]]</f>
        <v>1112.94</v>
      </c>
    </row>
    <row r="1624" spans="1:26" hidden="1" x14ac:dyDescent="0.35">
      <c r="A1624">
        <v>10182</v>
      </c>
      <c r="B1624">
        <v>31</v>
      </c>
      <c r="C1624" s="3">
        <v>36.74</v>
      </c>
      <c r="D1624">
        <v>5</v>
      </c>
      <c r="E1624" s="3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 s="3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  <c r="Z1624" s="3">
        <f>Table1[[#This Row],[QUANTITYORDERED]]*Table1[[#This Row],[PRICEEACH]]</f>
        <v>1138.94</v>
      </c>
    </row>
    <row r="1625" spans="1:26" hidden="1" x14ac:dyDescent="0.35">
      <c r="A1625">
        <v>10193</v>
      </c>
      <c r="B1625">
        <v>20</v>
      </c>
      <c r="C1625" s="3">
        <v>50.62</v>
      </c>
      <c r="D1625">
        <v>9</v>
      </c>
      <c r="E1625" s="3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 s="3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  <c r="Z1625" s="3">
        <f>Table1[[#This Row],[QUANTITYORDERED]]*Table1[[#This Row],[PRICEEACH]]</f>
        <v>1012.4</v>
      </c>
    </row>
    <row r="1626" spans="1:26" hidden="1" x14ac:dyDescent="0.35">
      <c r="A1626">
        <v>10205</v>
      </c>
      <c r="B1626">
        <v>24</v>
      </c>
      <c r="C1626" s="3">
        <v>38.08</v>
      </c>
      <c r="D1626">
        <v>4</v>
      </c>
      <c r="E1626" s="3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 s="3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  <c r="Z1626" s="3">
        <f>Table1[[#This Row],[QUANTITYORDERED]]*Table1[[#This Row],[PRICEEACH]]</f>
        <v>913.92</v>
      </c>
    </row>
    <row r="1627" spans="1:26" hidden="1" x14ac:dyDescent="0.35">
      <c r="A1627">
        <v>10214</v>
      </c>
      <c r="B1627">
        <v>49</v>
      </c>
      <c r="C1627" s="3">
        <v>47.94</v>
      </c>
      <c r="D1627">
        <v>2</v>
      </c>
      <c r="E1627" s="3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 s="3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  <c r="Z1627" s="3">
        <f>Table1[[#This Row],[QUANTITYORDERED]]*Table1[[#This Row],[PRICEEACH]]</f>
        <v>2349.06</v>
      </c>
    </row>
    <row r="1628" spans="1:26" hidden="1" x14ac:dyDescent="0.35">
      <c r="A1628">
        <v>10227</v>
      </c>
      <c r="B1628">
        <v>24</v>
      </c>
      <c r="C1628" s="3">
        <v>48.38</v>
      </c>
      <c r="D1628">
        <v>5</v>
      </c>
      <c r="E1628" s="3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 s="3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  <c r="Z1628" s="3">
        <f>Table1[[#This Row],[QUANTITYORDERED]]*Table1[[#This Row],[PRICEEACH]]</f>
        <v>1161.1200000000001</v>
      </c>
    </row>
    <row r="1629" spans="1:26" hidden="1" x14ac:dyDescent="0.35">
      <c r="A1629">
        <v>10244</v>
      </c>
      <c r="B1629">
        <v>39</v>
      </c>
      <c r="C1629" s="3">
        <v>45.25</v>
      </c>
      <c r="D1629">
        <v>9</v>
      </c>
      <c r="E1629" s="3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 s="3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  <c r="Z1629" s="3">
        <f>Table1[[#This Row],[QUANTITYORDERED]]*Table1[[#This Row],[PRICEEACH]]</f>
        <v>1764.75</v>
      </c>
    </row>
    <row r="1630" spans="1:26" hidden="1" x14ac:dyDescent="0.35">
      <c r="A1630">
        <v>10255</v>
      </c>
      <c r="B1630">
        <v>37</v>
      </c>
      <c r="C1630" s="3">
        <v>45.7</v>
      </c>
      <c r="D1630">
        <v>2</v>
      </c>
      <c r="E1630" s="3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 s="3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  <c r="Z1630" s="3">
        <f>Table1[[#This Row],[QUANTITYORDERED]]*Table1[[#This Row],[PRICEEACH]]</f>
        <v>1690.9</v>
      </c>
    </row>
    <row r="1631" spans="1:26" hidden="1" x14ac:dyDescent="0.35">
      <c r="A1631">
        <v>10280</v>
      </c>
      <c r="B1631">
        <v>45</v>
      </c>
      <c r="C1631" s="3">
        <v>47.49</v>
      </c>
      <c r="D1631">
        <v>11</v>
      </c>
      <c r="E1631" s="3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 s="3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  <c r="Z1631" s="3">
        <f>Table1[[#This Row],[QUANTITYORDERED]]*Table1[[#This Row],[PRICEEACH]]</f>
        <v>2137.0500000000002</v>
      </c>
    </row>
    <row r="1632" spans="1:26" hidden="1" x14ac:dyDescent="0.35">
      <c r="A1632">
        <v>10289</v>
      </c>
      <c r="B1632">
        <v>45</v>
      </c>
      <c r="C1632" s="3">
        <v>48.38</v>
      </c>
      <c r="D1632">
        <v>4</v>
      </c>
      <c r="E1632" s="3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 s="3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  <c r="Z1632" s="3">
        <f>Table1[[#This Row],[QUANTITYORDERED]]*Table1[[#This Row],[PRICEEACH]]</f>
        <v>2177.1</v>
      </c>
    </row>
    <row r="1633" spans="1:26" hidden="1" x14ac:dyDescent="0.35">
      <c r="A1633">
        <v>10304</v>
      </c>
      <c r="B1633">
        <v>44</v>
      </c>
      <c r="C1633" s="3">
        <v>39.42</v>
      </c>
      <c r="D1633">
        <v>15</v>
      </c>
      <c r="E1633" s="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 s="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  <c r="Z1633" s="3">
        <f>Table1[[#This Row],[QUANTITYORDERED]]*Table1[[#This Row],[PRICEEACH]]</f>
        <v>1734.48</v>
      </c>
    </row>
    <row r="1634" spans="1:26" hidden="1" x14ac:dyDescent="0.35">
      <c r="A1634">
        <v>10312</v>
      </c>
      <c r="B1634">
        <v>23</v>
      </c>
      <c r="C1634" s="3">
        <v>37.630000000000003</v>
      </c>
      <c r="D1634">
        <v>12</v>
      </c>
      <c r="E1634" s="3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 s="3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  <c r="Z1634" s="3">
        <f>Table1[[#This Row],[QUANTITYORDERED]]*Table1[[#This Row],[PRICEEACH]]</f>
        <v>865.49</v>
      </c>
    </row>
    <row r="1635" spans="1:26" hidden="1" x14ac:dyDescent="0.35">
      <c r="A1635">
        <v>10322</v>
      </c>
      <c r="B1635">
        <v>30</v>
      </c>
      <c r="C1635" s="3">
        <v>100</v>
      </c>
      <c r="D1635">
        <v>4</v>
      </c>
      <c r="E1635" s="3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 s="3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  <c r="Z1635" s="3">
        <f>Table1[[#This Row],[QUANTITYORDERED]]*Table1[[#This Row],[PRICEEACH]]</f>
        <v>3000</v>
      </c>
    </row>
    <row r="1636" spans="1:26" hidden="1" x14ac:dyDescent="0.35">
      <c r="A1636">
        <v>10332</v>
      </c>
      <c r="B1636">
        <v>26</v>
      </c>
      <c r="C1636" s="3">
        <v>85.52</v>
      </c>
      <c r="D1636">
        <v>10</v>
      </c>
      <c r="E1636" s="3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 s="3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  <c r="Z1636" s="3">
        <f>Table1[[#This Row],[QUANTITYORDERED]]*Table1[[#This Row],[PRICEEACH]]</f>
        <v>2223.52</v>
      </c>
    </row>
    <row r="1637" spans="1:26" hidden="1" x14ac:dyDescent="0.35">
      <c r="A1637">
        <v>10345</v>
      </c>
      <c r="B1637">
        <v>43</v>
      </c>
      <c r="C1637" s="3">
        <v>53.76</v>
      </c>
      <c r="D1637">
        <v>1</v>
      </c>
      <c r="E1637" s="3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 s="3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  <c r="Z1637" s="3">
        <f>Table1[[#This Row],[QUANTITYORDERED]]*Table1[[#This Row],[PRICEEACH]]</f>
        <v>2311.6799999999998</v>
      </c>
    </row>
    <row r="1638" spans="1:26" hidden="1" x14ac:dyDescent="0.35">
      <c r="A1638">
        <v>10356</v>
      </c>
      <c r="B1638">
        <v>26</v>
      </c>
      <c r="C1638" s="3">
        <v>31.86</v>
      </c>
      <c r="D1638">
        <v>7</v>
      </c>
      <c r="E1638" s="3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 s="3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  <c r="Z1638" s="3">
        <f>Table1[[#This Row],[QUANTITYORDERED]]*Table1[[#This Row],[PRICEEACH]]</f>
        <v>828.36</v>
      </c>
    </row>
    <row r="1639" spans="1:26" hidden="1" x14ac:dyDescent="0.35">
      <c r="A1639">
        <v>10367</v>
      </c>
      <c r="B1639">
        <v>28</v>
      </c>
      <c r="C1639" s="3">
        <v>30.59</v>
      </c>
      <c r="D1639">
        <v>12</v>
      </c>
      <c r="E1639" s="3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 s="3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  <c r="Z1639" s="3">
        <f>Table1[[#This Row],[QUANTITYORDERED]]*Table1[[#This Row],[PRICEEACH]]</f>
        <v>856.52</v>
      </c>
    </row>
    <row r="1640" spans="1:26" hidden="1" x14ac:dyDescent="0.35">
      <c r="A1640">
        <v>10380</v>
      </c>
      <c r="B1640">
        <v>27</v>
      </c>
      <c r="C1640" s="3">
        <v>68.349999999999994</v>
      </c>
      <c r="D1640">
        <v>5</v>
      </c>
      <c r="E1640" s="3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 s="3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  <c r="Z1640" s="3">
        <f>Table1[[#This Row],[QUANTITYORDERED]]*Table1[[#This Row],[PRICEEACH]]</f>
        <v>1845.4499999999998</v>
      </c>
    </row>
    <row r="1641" spans="1:26" hidden="1" x14ac:dyDescent="0.35">
      <c r="A1641">
        <v>10391</v>
      </c>
      <c r="B1641">
        <v>24</v>
      </c>
      <c r="C1641" s="3">
        <v>100</v>
      </c>
      <c r="D1641">
        <v>1</v>
      </c>
      <c r="E1641" s="3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 s="3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  <c r="Z1641" s="3">
        <f>Table1[[#This Row],[QUANTITYORDERED]]*Table1[[#This Row],[PRICEEACH]]</f>
        <v>2400</v>
      </c>
    </row>
    <row r="1642" spans="1:26" hidden="1" x14ac:dyDescent="0.35">
      <c r="A1642">
        <v>10421</v>
      </c>
      <c r="B1642">
        <v>40</v>
      </c>
      <c r="C1642" s="3">
        <v>45.7</v>
      </c>
      <c r="D1642">
        <v>2</v>
      </c>
      <c r="E1642" s="3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 s="3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  <c r="Z1642" s="3">
        <f>Table1[[#This Row],[QUANTITYORDERED]]*Table1[[#This Row],[PRICEEACH]]</f>
        <v>1828</v>
      </c>
    </row>
    <row r="1643" spans="1:26" hidden="1" x14ac:dyDescent="0.35">
      <c r="A1643">
        <v>10103</v>
      </c>
      <c r="B1643">
        <v>36</v>
      </c>
      <c r="C1643" s="3">
        <v>100</v>
      </c>
      <c r="D1643">
        <v>1</v>
      </c>
      <c r="E1643" s="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 s="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  <c r="Z1643" s="3">
        <f>Table1[[#This Row],[QUANTITYORDERED]]*Table1[[#This Row],[PRICEEACH]]</f>
        <v>3600</v>
      </c>
    </row>
    <row r="1644" spans="1:26" hidden="1" x14ac:dyDescent="0.35">
      <c r="A1644">
        <v>10114</v>
      </c>
      <c r="B1644">
        <v>21</v>
      </c>
      <c r="C1644" s="3">
        <v>100</v>
      </c>
      <c r="D1644">
        <v>5</v>
      </c>
      <c r="E1644" s="3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 s="3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  <c r="Z1644" s="3">
        <f>Table1[[#This Row],[QUANTITYORDERED]]*Table1[[#This Row],[PRICEEACH]]</f>
        <v>2100</v>
      </c>
    </row>
    <row r="1645" spans="1:26" hidden="1" x14ac:dyDescent="0.35">
      <c r="A1645">
        <v>10126</v>
      </c>
      <c r="B1645">
        <v>27</v>
      </c>
      <c r="C1645" s="3">
        <v>100</v>
      </c>
      <c r="D1645">
        <v>1</v>
      </c>
      <c r="E1645" s="3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 s="3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  <c r="Z1645" s="3">
        <f>Table1[[#This Row],[QUANTITYORDERED]]*Table1[[#This Row],[PRICEEACH]]</f>
        <v>2700</v>
      </c>
    </row>
    <row r="1646" spans="1:26" hidden="1" x14ac:dyDescent="0.35">
      <c r="A1646">
        <v>10140</v>
      </c>
      <c r="B1646">
        <v>47</v>
      </c>
      <c r="C1646" s="3">
        <v>100</v>
      </c>
      <c r="D1646">
        <v>1</v>
      </c>
      <c r="E1646" s="3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 s="3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  <c r="Z1646" s="3">
        <f>Table1[[#This Row],[QUANTITYORDERED]]*Table1[[#This Row],[PRICEEACH]]</f>
        <v>4700</v>
      </c>
    </row>
    <row r="1647" spans="1:26" hidden="1" x14ac:dyDescent="0.35">
      <c r="A1647">
        <v>10151</v>
      </c>
      <c r="B1647">
        <v>42</v>
      </c>
      <c r="C1647" s="3">
        <v>100</v>
      </c>
      <c r="D1647">
        <v>8</v>
      </c>
      <c r="E1647" s="3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 s="3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  <c r="Z1647" s="3">
        <f>Table1[[#This Row],[QUANTITYORDERED]]*Table1[[#This Row],[PRICEEACH]]</f>
        <v>4200</v>
      </c>
    </row>
    <row r="1648" spans="1:26" hidden="1" x14ac:dyDescent="0.35">
      <c r="A1648">
        <v>10165</v>
      </c>
      <c r="B1648">
        <v>32</v>
      </c>
      <c r="C1648" s="3">
        <v>100</v>
      </c>
      <c r="D1648">
        <v>17</v>
      </c>
      <c r="E1648" s="3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 s="3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  <c r="Z1648" s="3">
        <f>Table1[[#This Row],[QUANTITYORDERED]]*Table1[[#This Row],[PRICEEACH]]</f>
        <v>3200</v>
      </c>
    </row>
    <row r="1649" spans="1:26" hidden="1" x14ac:dyDescent="0.35">
      <c r="A1649">
        <v>10175</v>
      </c>
      <c r="B1649">
        <v>28</v>
      </c>
      <c r="C1649" s="3">
        <v>100</v>
      </c>
      <c r="D1649">
        <v>6</v>
      </c>
      <c r="E1649" s="3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 s="3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  <c r="Z1649" s="3">
        <f>Table1[[#This Row],[QUANTITYORDERED]]*Table1[[#This Row],[PRICEEACH]]</f>
        <v>2800</v>
      </c>
    </row>
    <row r="1650" spans="1:26" hidden="1" x14ac:dyDescent="0.35">
      <c r="A1650">
        <v>10184</v>
      </c>
      <c r="B1650">
        <v>24</v>
      </c>
      <c r="C1650" s="3">
        <v>100</v>
      </c>
      <c r="D1650">
        <v>11</v>
      </c>
      <c r="E1650" s="3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 s="3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  <c r="Z1650" s="3">
        <f>Table1[[#This Row],[QUANTITYORDERED]]*Table1[[#This Row],[PRICEEACH]]</f>
        <v>2400</v>
      </c>
    </row>
    <row r="1651" spans="1:26" hidden="1" x14ac:dyDescent="0.35">
      <c r="A1651">
        <v>10194</v>
      </c>
      <c r="B1651">
        <v>49</v>
      </c>
      <c r="C1651" s="3">
        <v>100</v>
      </c>
      <c r="D1651">
        <v>1</v>
      </c>
      <c r="E1651" s="3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 s="3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  <c r="Z1651" s="3">
        <f>Table1[[#This Row],[QUANTITYORDERED]]*Table1[[#This Row],[PRICEEACH]]</f>
        <v>4900</v>
      </c>
    </row>
    <row r="1652" spans="1:26" hidden="1" x14ac:dyDescent="0.35">
      <c r="A1652">
        <v>10207</v>
      </c>
      <c r="B1652">
        <v>46</v>
      </c>
      <c r="C1652" s="3">
        <v>100</v>
      </c>
      <c r="D1652">
        <v>12</v>
      </c>
      <c r="E1652" s="3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 s="3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  <c r="Z1652" s="3">
        <f>Table1[[#This Row],[QUANTITYORDERED]]*Table1[[#This Row],[PRICEEACH]]</f>
        <v>4600</v>
      </c>
    </row>
    <row r="1653" spans="1:26" hidden="1" x14ac:dyDescent="0.35">
      <c r="A1653">
        <v>10217</v>
      </c>
      <c r="B1653">
        <v>28</v>
      </c>
      <c r="C1653" s="3">
        <v>100</v>
      </c>
      <c r="D1653">
        <v>1</v>
      </c>
      <c r="E1653" s="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 s="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  <c r="Z1653" s="3">
        <f>Table1[[#This Row],[QUANTITYORDERED]]*Table1[[#This Row],[PRICEEACH]]</f>
        <v>2800</v>
      </c>
    </row>
    <row r="1654" spans="1:26" hidden="1" x14ac:dyDescent="0.35">
      <c r="A1654">
        <v>10229</v>
      </c>
      <c r="B1654">
        <v>48</v>
      </c>
      <c r="C1654" s="3">
        <v>100</v>
      </c>
      <c r="D1654">
        <v>6</v>
      </c>
      <c r="E1654" s="3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 s="3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  <c r="Z1654" s="3">
        <f>Table1[[#This Row],[QUANTITYORDERED]]*Table1[[#This Row],[PRICEEACH]]</f>
        <v>4800</v>
      </c>
    </row>
    <row r="1655" spans="1:26" hidden="1" x14ac:dyDescent="0.35">
      <c r="A1655">
        <v>10246</v>
      </c>
      <c r="B1655">
        <v>29</v>
      </c>
      <c r="C1655" s="3">
        <v>100</v>
      </c>
      <c r="D1655">
        <v>10</v>
      </c>
      <c r="E1655" s="3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 s="3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  <c r="Z1655" s="3">
        <f>Table1[[#This Row],[QUANTITYORDERED]]*Table1[[#This Row],[PRICEEACH]]</f>
        <v>2900</v>
      </c>
    </row>
    <row r="1656" spans="1:26" hidden="1" x14ac:dyDescent="0.35">
      <c r="A1656">
        <v>10259</v>
      </c>
      <c r="B1656">
        <v>47</v>
      </c>
      <c r="C1656" s="3">
        <v>100</v>
      </c>
      <c r="D1656">
        <v>9</v>
      </c>
      <c r="E1656" s="3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 s="3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  <c r="Z1656" s="3">
        <f>Table1[[#This Row],[QUANTITYORDERED]]*Table1[[#This Row],[PRICEEACH]]</f>
        <v>4700</v>
      </c>
    </row>
    <row r="1657" spans="1:26" hidden="1" x14ac:dyDescent="0.35">
      <c r="A1657">
        <v>10271</v>
      </c>
      <c r="B1657">
        <v>43</v>
      </c>
      <c r="C1657" s="3">
        <v>100</v>
      </c>
      <c r="D1657">
        <v>10</v>
      </c>
      <c r="E1657" s="3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 s="3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  <c r="Z1657" s="3">
        <f>Table1[[#This Row],[QUANTITYORDERED]]*Table1[[#This Row],[PRICEEACH]]</f>
        <v>4300</v>
      </c>
    </row>
    <row r="1658" spans="1:26" hidden="1" x14ac:dyDescent="0.35">
      <c r="A1658">
        <v>10281</v>
      </c>
      <c r="B1658">
        <v>25</v>
      </c>
      <c r="C1658" s="3">
        <v>100</v>
      </c>
      <c r="D1658">
        <v>6</v>
      </c>
      <c r="E1658" s="3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 s="3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  <c r="Z1658" s="3">
        <f>Table1[[#This Row],[QUANTITYORDERED]]*Table1[[#This Row],[PRICEEACH]]</f>
        <v>2500</v>
      </c>
    </row>
    <row r="1659" spans="1:26" hidden="1" x14ac:dyDescent="0.35">
      <c r="A1659">
        <v>10291</v>
      </c>
      <c r="B1659">
        <v>48</v>
      </c>
      <c r="C1659" s="3">
        <v>100</v>
      </c>
      <c r="D1659">
        <v>1</v>
      </c>
      <c r="E1659" s="3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 s="3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  <c r="Z1659" s="3">
        <f>Table1[[#This Row],[QUANTITYORDERED]]*Table1[[#This Row],[PRICEEACH]]</f>
        <v>4800</v>
      </c>
    </row>
    <row r="1660" spans="1:26" hidden="1" x14ac:dyDescent="0.35">
      <c r="A1660">
        <v>10305</v>
      </c>
      <c r="B1660">
        <v>24</v>
      </c>
      <c r="C1660" s="3">
        <v>100</v>
      </c>
      <c r="D1660">
        <v>10</v>
      </c>
      <c r="E1660" s="3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 s="3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  <c r="Z1660" s="3">
        <f>Table1[[#This Row],[QUANTITYORDERED]]*Table1[[#This Row],[PRICEEACH]]</f>
        <v>2400</v>
      </c>
    </row>
    <row r="1661" spans="1:26" hidden="1" x14ac:dyDescent="0.35">
      <c r="A1661">
        <v>10313</v>
      </c>
      <c r="B1661">
        <v>42</v>
      </c>
      <c r="C1661" s="3">
        <v>100</v>
      </c>
      <c r="D1661">
        <v>4</v>
      </c>
      <c r="E1661" s="3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 s="3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  <c r="Z1661" s="3">
        <f>Table1[[#This Row],[QUANTITYORDERED]]*Table1[[#This Row],[PRICEEACH]]</f>
        <v>4200</v>
      </c>
    </row>
    <row r="1662" spans="1:26" hidden="1" x14ac:dyDescent="0.35">
      <c r="A1662">
        <v>10324</v>
      </c>
      <c r="B1662">
        <v>31</v>
      </c>
      <c r="C1662" s="3">
        <v>100</v>
      </c>
      <c r="D1662">
        <v>2</v>
      </c>
      <c r="E1662" s="3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 s="3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  <c r="Z1662" s="3">
        <f>Table1[[#This Row],[QUANTITYORDERED]]*Table1[[#This Row],[PRICEEACH]]</f>
        <v>3100</v>
      </c>
    </row>
    <row r="1663" spans="1:26" hidden="1" x14ac:dyDescent="0.35">
      <c r="A1663">
        <v>10334</v>
      </c>
      <c r="B1663">
        <v>42</v>
      </c>
      <c r="C1663" s="3">
        <v>100</v>
      </c>
      <c r="D1663">
        <v>5</v>
      </c>
      <c r="E1663" s="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 s="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  <c r="Z1663" s="3">
        <f>Table1[[#This Row],[QUANTITYORDERED]]*Table1[[#This Row],[PRICEEACH]]</f>
        <v>4200</v>
      </c>
    </row>
    <row r="1664" spans="1:26" hidden="1" x14ac:dyDescent="0.35">
      <c r="A1664">
        <v>10348</v>
      </c>
      <c r="B1664">
        <v>37</v>
      </c>
      <c r="C1664" s="3">
        <v>100</v>
      </c>
      <c r="D1664">
        <v>1</v>
      </c>
      <c r="E1664" s="3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 s="3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  <c r="Z1664" s="3">
        <f>Table1[[#This Row],[QUANTITYORDERED]]*Table1[[#This Row],[PRICEEACH]]</f>
        <v>3700</v>
      </c>
    </row>
    <row r="1665" spans="1:26" hidden="1" x14ac:dyDescent="0.35">
      <c r="A1665">
        <v>10358</v>
      </c>
      <c r="B1665">
        <v>41</v>
      </c>
      <c r="C1665" s="3">
        <v>100</v>
      </c>
      <c r="D1665">
        <v>7</v>
      </c>
      <c r="E1665" s="3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 s="3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  <c r="Z1665" s="3">
        <f>Table1[[#This Row],[QUANTITYORDERED]]*Table1[[#This Row],[PRICEEACH]]</f>
        <v>4100</v>
      </c>
    </row>
    <row r="1666" spans="1:26" hidden="1" x14ac:dyDescent="0.35">
      <c r="A1666">
        <v>10371</v>
      </c>
      <c r="B1666">
        <v>20</v>
      </c>
      <c r="C1666" s="3">
        <v>100</v>
      </c>
      <c r="D1666">
        <v>5</v>
      </c>
      <c r="E1666" s="3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 s="3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  <c r="Z1666" s="3">
        <f>Table1[[#This Row],[QUANTITYORDERED]]*Table1[[#This Row],[PRICEEACH]]</f>
        <v>2000</v>
      </c>
    </row>
    <row r="1667" spans="1:26" hidden="1" x14ac:dyDescent="0.35">
      <c r="A1667">
        <v>10382</v>
      </c>
      <c r="B1667">
        <v>20</v>
      </c>
      <c r="C1667" s="3">
        <v>100</v>
      </c>
      <c r="D1667">
        <v>3</v>
      </c>
      <c r="E1667" s="3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 s="3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  <c r="Z1667" s="3">
        <f>Table1[[#This Row],[QUANTITYORDERED]]*Table1[[#This Row],[PRICEEACH]]</f>
        <v>2000</v>
      </c>
    </row>
    <row r="1668" spans="1:26" hidden="1" x14ac:dyDescent="0.35">
      <c r="A1668">
        <v>10412</v>
      </c>
      <c r="B1668">
        <v>70</v>
      </c>
      <c r="C1668" s="3">
        <v>100</v>
      </c>
      <c r="D1668">
        <v>10</v>
      </c>
      <c r="E1668" s="3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 s="3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  <c r="Z1668" s="3">
        <f>Table1[[#This Row],[QUANTITYORDERED]]*Table1[[#This Row],[PRICEEACH]]</f>
        <v>7000</v>
      </c>
    </row>
    <row r="1669" spans="1:26" hidden="1" x14ac:dyDescent="0.35">
      <c r="A1669">
        <v>10425</v>
      </c>
      <c r="B1669">
        <v>49</v>
      </c>
      <c r="C1669" s="3">
        <v>100</v>
      </c>
      <c r="D1669">
        <v>9</v>
      </c>
      <c r="E1669" s="3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 s="3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  <c r="Z1669" s="3">
        <f>Table1[[#This Row],[QUANTITYORDERED]]*Table1[[#This Row],[PRICEEACH]]</f>
        <v>4900</v>
      </c>
    </row>
    <row r="1670" spans="1:26" hidden="1" x14ac:dyDescent="0.35">
      <c r="A1670">
        <v>10108</v>
      </c>
      <c r="B1670">
        <v>35</v>
      </c>
      <c r="C1670" s="3">
        <v>58.87</v>
      </c>
      <c r="D1670">
        <v>15</v>
      </c>
      <c r="E1670" s="3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 s="3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  <c r="Z1670" s="3">
        <f>Table1[[#This Row],[QUANTITYORDERED]]*Table1[[#This Row],[PRICEEACH]]</f>
        <v>2060.4499999999998</v>
      </c>
    </row>
    <row r="1671" spans="1:26" hidden="1" x14ac:dyDescent="0.35">
      <c r="A1671">
        <v>10121</v>
      </c>
      <c r="B1671">
        <v>32</v>
      </c>
      <c r="C1671" s="3">
        <v>76.88</v>
      </c>
      <c r="D1671">
        <v>2</v>
      </c>
      <c r="E1671" s="3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 s="3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  <c r="Z1671" s="3">
        <f>Table1[[#This Row],[QUANTITYORDERED]]*Table1[[#This Row],[PRICEEACH]]</f>
        <v>2460.16</v>
      </c>
    </row>
    <row r="1672" spans="1:26" hidden="1" x14ac:dyDescent="0.35">
      <c r="A1672">
        <v>10135</v>
      </c>
      <c r="B1672">
        <v>29</v>
      </c>
      <c r="C1672" s="3">
        <v>61.64</v>
      </c>
      <c r="D1672">
        <v>16</v>
      </c>
      <c r="E1672" s="3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 s="3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  <c r="Z1672" s="3">
        <f>Table1[[#This Row],[QUANTITYORDERED]]*Table1[[#This Row],[PRICEEACH]]</f>
        <v>1787.56</v>
      </c>
    </row>
    <row r="1673" spans="1:26" hidden="1" x14ac:dyDescent="0.35">
      <c r="A1673">
        <v>10145</v>
      </c>
      <c r="B1673">
        <v>27</v>
      </c>
      <c r="C1673" s="3">
        <v>60.95</v>
      </c>
      <c r="D1673">
        <v>3</v>
      </c>
      <c r="E1673" s="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 s="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  <c r="Z1673" s="3">
        <f>Table1[[#This Row],[QUANTITYORDERED]]*Table1[[#This Row],[PRICEEACH]]</f>
        <v>1645.65</v>
      </c>
    </row>
    <row r="1674" spans="1:26" hidden="1" x14ac:dyDescent="0.35">
      <c r="A1674">
        <v>10159</v>
      </c>
      <c r="B1674">
        <v>27</v>
      </c>
      <c r="C1674" s="3">
        <v>80.34</v>
      </c>
      <c r="D1674">
        <v>11</v>
      </c>
      <c r="E1674" s="3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 s="3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  <c r="Z1674" s="3">
        <f>Table1[[#This Row],[QUANTITYORDERED]]*Table1[[#This Row],[PRICEEACH]]</f>
        <v>2169.1800000000003</v>
      </c>
    </row>
    <row r="1675" spans="1:26" hidden="1" x14ac:dyDescent="0.35">
      <c r="A1675">
        <v>10169</v>
      </c>
      <c r="B1675">
        <v>38</v>
      </c>
      <c r="C1675" s="3">
        <v>74.11</v>
      </c>
      <c r="D1675">
        <v>11</v>
      </c>
      <c r="E1675" s="3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 s="3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  <c r="Z1675" s="3">
        <f>Table1[[#This Row],[QUANTITYORDERED]]*Table1[[#This Row],[PRICEEACH]]</f>
        <v>2816.18</v>
      </c>
    </row>
    <row r="1676" spans="1:26" hidden="1" x14ac:dyDescent="0.35">
      <c r="A1676">
        <v>10180</v>
      </c>
      <c r="B1676">
        <v>35</v>
      </c>
      <c r="C1676" s="3">
        <v>72.03</v>
      </c>
      <c r="D1676">
        <v>6</v>
      </c>
      <c r="E1676" s="3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 s="3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  <c r="Z1676" s="3">
        <f>Table1[[#This Row],[QUANTITYORDERED]]*Table1[[#This Row],[PRICEEACH]]</f>
        <v>2521.0500000000002</v>
      </c>
    </row>
    <row r="1677" spans="1:26" hidden="1" x14ac:dyDescent="0.35">
      <c r="A1677">
        <v>10190</v>
      </c>
      <c r="B1677">
        <v>42</v>
      </c>
      <c r="C1677" s="3">
        <v>76.19</v>
      </c>
      <c r="D1677">
        <v>3</v>
      </c>
      <c r="E1677" s="3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 s="3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  <c r="Z1677" s="3">
        <f>Table1[[#This Row],[QUANTITYORDERED]]*Table1[[#This Row],[PRICEEACH]]</f>
        <v>3199.98</v>
      </c>
    </row>
    <row r="1678" spans="1:26" hidden="1" x14ac:dyDescent="0.35">
      <c r="A1678">
        <v>10211</v>
      </c>
      <c r="B1678">
        <v>21</v>
      </c>
      <c r="C1678" s="3">
        <v>63.72</v>
      </c>
      <c r="D1678">
        <v>11</v>
      </c>
      <c r="E1678" s="3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 s="3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  <c r="Z1678" s="3">
        <f>Table1[[#This Row],[QUANTITYORDERED]]*Table1[[#This Row],[PRICEEACH]]</f>
        <v>1338.12</v>
      </c>
    </row>
    <row r="1679" spans="1:26" hidden="1" x14ac:dyDescent="0.35">
      <c r="A1679">
        <v>10224</v>
      </c>
      <c r="B1679">
        <v>37</v>
      </c>
      <c r="C1679" s="3">
        <v>80.34</v>
      </c>
      <c r="D1679">
        <v>4</v>
      </c>
      <c r="E1679" s="3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 s="3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  <c r="Z1679" s="3">
        <f>Table1[[#This Row],[QUANTITYORDERED]]*Table1[[#This Row],[PRICEEACH]]</f>
        <v>2972.58</v>
      </c>
    </row>
    <row r="1680" spans="1:26" hidden="1" x14ac:dyDescent="0.35">
      <c r="A1680">
        <v>10237</v>
      </c>
      <c r="B1680">
        <v>26</v>
      </c>
      <c r="C1680" s="3">
        <v>79.650000000000006</v>
      </c>
      <c r="D1680">
        <v>4</v>
      </c>
      <c r="E1680" s="3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 s="3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  <c r="Z1680" s="3">
        <f>Table1[[#This Row],[QUANTITYORDERED]]*Table1[[#This Row],[PRICEEACH]]</f>
        <v>2070.9</v>
      </c>
    </row>
    <row r="1681" spans="1:26" hidden="1" x14ac:dyDescent="0.35">
      <c r="A1681">
        <v>10252</v>
      </c>
      <c r="B1681">
        <v>47</v>
      </c>
      <c r="C1681" s="3">
        <v>65.8</v>
      </c>
      <c r="D1681">
        <v>8</v>
      </c>
      <c r="E1681" s="3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 s="3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  <c r="Z1681" s="3">
        <f>Table1[[#This Row],[QUANTITYORDERED]]*Table1[[#This Row],[PRICEEACH]]</f>
        <v>3092.6</v>
      </c>
    </row>
    <row r="1682" spans="1:26" hidden="1" x14ac:dyDescent="0.35">
      <c r="A1682">
        <v>10264</v>
      </c>
      <c r="B1682">
        <v>37</v>
      </c>
      <c r="C1682" s="3">
        <v>65.099999999999994</v>
      </c>
      <c r="D1682">
        <v>6</v>
      </c>
      <c r="E1682" s="3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 s="3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  <c r="Z1682" s="3">
        <f>Table1[[#This Row],[QUANTITYORDERED]]*Table1[[#This Row],[PRICEEACH]]</f>
        <v>2408.6999999999998</v>
      </c>
    </row>
    <row r="1683" spans="1:26" hidden="1" x14ac:dyDescent="0.35">
      <c r="A1683">
        <v>10276</v>
      </c>
      <c r="B1683">
        <v>46</v>
      </c>
      <c r="C1683" s="3">
        <v>75.489999999999995</v>
      </c>
      <c r="D1683">
        <v>12</v>
      </c>
      <c r="E1683" s="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 s="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  <c r="Z1683" s="3">
        <f>Table1[[#This Row],[QUANTITYORDERED]]*Table1[[#This Row],[PRICEEACH]]</f>
        <v>3472.54</v>
      </c>
    </row>
    <row r="1684" spans="1:26" hidden="1" x14ac:dyDescent="0.35">
      <c r="A1684">
        <v>10285</v>
      </c>
      <c r="B1684">
        <v>38</v>
      </c>
      <c r="C1684" s="3">
        <v>59.56</v>
      </c>
      <c r="D1684">
        <v>3</v>
      </c>
      <c r="E1684" s="3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 s="3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  <c r="Z1684" s="3">
        <f>Table1[[#This Row],[QUANTITYORDERED]]*Table1[[#This Row],[PRICEEACH]]</f>
        <v>2263.2800000000002</v>
      </c>
    </row>
    <row r="1685" spans="1:26" hidden="1" x14ac:dyDescent="0.35">
      <c r="A1685">
        <v>10299</v>
      </c>
      <c r="B1685">
        <v>33</v>
      </c>
      <c r="C1685" s="3">
        <v>66.489999999999995</v>
      </c>
      <c r="D1685">
        <v>6</v>
      </c>
      <c r="E1685" s="3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 s="3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  <c r="Z1685" s="3">
        <f>Table1[[#This Row],[QUANTITYORDERED]]*Table1[[#This Row],[PRICEEACH]]</f>
        <v>2194.1699999999996</v>
      </c>
    </row>
    <row r="1686" spans="1:26" hidden="1" x14ac:dyDescent="0.35">
      <c r="A1686">
        <v>10309</v>
      </c>
      <c r="B1686">
        <v>24</v>
      </c>
      <c r="C1686" s="3">
        <v>56.1</v>
      </c>
      <c r="D1686">
        <v>2</v>
      </c>
      <c r="E1686" s="3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 s="3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  <c r="Z1686" s="3">
        <f>Table1[[#This Row],[QUANTITYORDERED]]*Table1[[#This Row],[PRICEEACH]]</f>
        <v>1346.4</v>
      </c>
    </row>
    <row r="1687" spans="1:26" hidden="1" x14ac:dyDescent="0.35">
      <c r="A1687">
        <v>10319</v>
      </c>
      <c r="B1687">
        <v>31</v>
      </c>
      <c r="C1687" s="3">
        <v>81.73</v>
      </c>
      <c r="D1687">
        <v>7</v>
      </c>
      <c r="E1687" s="3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 s="3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  <c r="Z1687" s="3">
        <f>Table1[[#This Row],[QUANTITYORDERED]]*Table1[[#This Row],[PRICEEACH]]</f>
        <v>2533.63</v>
      </c>
    </row>
    <row r="1688" spans="1:26" hidden="1" x14ac:dyDescent="0.35">
      <c r="A1688">
        <v>10330</v>
      </c>
      <c r="B1688">
        <v>42</v>
      </c>
      <c r="C1688" s="3">
        <v>81.03</v>
      </c>
      <c r="D1688">
        <v>1</v>
      </c>
      <c r="E1688" s="3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 s="3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  <c r="Z1688" s="3">
        <f>Table1[[#This Row],[QUANTITYORDERED]]*Table1[[#This Row],[PRICEEACH]]</f>
        <v>3403.26</v>
      </c>
    </row>
    <row r="1689" spans="1:26" hidden="1" x14ac:dyDescent="0.35">
      <c r="A1689">
        <v>10341</v>
      </c>
      <c r="B1689">
        <v>32</v>
      </c>
      <c r="C1689" s="3">
        <v>100</v>
      </c>
      <c r="D1689">
        <v>6</v>
      </c>
      <c r="E1689" s="3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 s="3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  <c r="Z1689" s="3">
        <f>Table1[[#This Row],[QUANTITYORDERED]]*Table1[[#This Row],[PRICEEACH]]</f>
        <v>3200</v>
      </c>
    </row>
    <row r="1690" spans="1:26" hidden="1" x14ac:dyDescent="0.35">
      <c r="A1690">
        <v>10355</v>
      </c>
      <c r="B1690">
        <v>41</v>
      </c>
      <c r="C1690" s="3">
        <v>70.650000000000006</v>
      </c>
      <c r="D1690">
        <v>3</v>
      </c>
      <c r="E1690" s="3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 s="3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  <c r="Z1690" s="3">
        <f>Table1[[#This Row],[QUANTITYORDERED]]*Table1[[#This Row],[PRICEEACH]]</f>
        <v>2896.65</v>
      </c>
    </row>
    <row r="1691" spans="1:26" hidden="1" x14ac:dyDescent="0.35">
      <c r="A1691">
        <v>10363</v>
      </c>
      <c r="B1691">
        <v>43</v>
      </c>
      <c r="C1691" s="3">
        <v>61.23</v>
      </c>
      <c r="D1691">
        <v>14</v>
      </c>
      <c r="E1691" s="3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 s="3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  <c r="Z1691" s="3">
        <f>Table1[[#This Row],[QUANTITYORDERED]]*Table1[[#This Row],[PRICEEACH]]</f>
        <v>2632.89</v>
      </c>
    </row>
    <row r="1692" spans="1:26" hidden="1" x14ac:dyDescent="0.35">
      <c r="A1692">
        <v>10375</v>
      </c>
      <c r="B1692">
        <v>20</v>
      </c>
      <c r="C1692" s="3">
        <v>100</v>
      </c>
      <c r="D1692">
        <v>14</v>
      </c>
      <c r="E1692" s="3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 s="3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  <c r="Z1692" s="3">
        <f>Table1[[#This Row],[QUANTITYORDERED]]*Table1[[#This Row],[PRICEEACH]]</f>
        <v>2000</v>
      </c>
    </row>
    <row r="1693" spans="1:26" hidden="1" x14ac:dyDescent="0.35">
      <c r="A1693">
        <v>10390</v>
      </c>
      <c r="B1693">
        <v>35</v>
      </c>
      <c r="C1693" s="3">
        <v>65.13</v>
      </c>
      <c r="D1693">
        <v>4</v>
      </c>
      <c r="E1693" s="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 s="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  <c r="Z1693" s="3">
        <f>Table1[[#This Row],[QUANTITYORDERED]]*Table1[[#This Row],[PRICEEACH]]</f>
        <v>2279.5499999999997</v>
      </c>
    </row>
    <row r="1694" spans="1:26" hidden="1" x14ac:dyDescent="0.35">
      <c r="A1694">
        <v>10403</v>
      </c>
      <c r="B1694">
        <v>27</v>
      </c>
      <c r="C1694" s="3">
        <v>79.650000000000006</v>
      </c>
      <c r="D1694">
        <v>4</v>
      </c>
      <c r="E1694" s="3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 s="3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  <c r="Z1694" s="3">
        <f>Table1[[#This Row],[QUANTITYORDERED]]*Table1[[#This Row],[PRICEEACH]]</f>
        <v>2150.5500000000002</v>
      </c>
    </row>
    <row r="1695" spans="1:26" x14ac:dyDescent="0.35">
      <c r="A1695">
        <v>10110</v>
      </c>
      <c r="B1695">
        <v>43</v>
      </c>
      <c r="C1695" s="3">
        <v>78.150000000000006</v>
      </c>
      <c r="D1695">
        <v>11</v>
      </c>
      <c r="E1695" s="3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 s="3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  <c r="Z1695" s="3">
        <f>Table1[[#This Row],[QUANTITYORDERED]]*Table1[[#This Row],[PRICEEACH]]</f>
        <v>3360.4500000000003</v>
      </c>
    </row>
    <row r="1696" spans="1:26" x14ac:dyDescent="0.35">
      <c r="A1696">
        <v>10124</v>
      </c>
      <c r="B1696">
        <v>32</v>
      </c>
      <c r="C1696" s="3">
        <v>72.7</v>
      </c>
      <c r="D1696">
        <v>10</v>
      </c>
      <c r="E1696" s="3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 s="3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  <c r="Z1696" s="3">
        <f>Table1[[#This Row],[QUANTITYORDERED]]*Table1[[#This Row],[PRICEEACH]]</f>
        <v>2326.4</v>
      </c>
    </row>
    <row r="1697" spans="1:26" x14ac:dyDescent="0.35">
      <c r="A1697">
        <v>10148</v>
      </c>
      <c r="B1697">
        <v>21</v>
      </c>
      <c r="C1697" s="3">
        <v>73.599999999999994</v>
      </c>
      <c r="D1697">
        <v>4</v>
      </c>
      <c r="E1697" s="3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 s="3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  <c r="Z1697" s="3">
        <f>Table1[[#This Row],[QUANTITYORDERED]]*Table1[[#This Row],[PRICEEACH]]</f>
        <v>1545.6</v>
      </c>
    </row>
    <row r="1698" spans="1:26" x14ac:dyDescent="0.35">
      <c r="A1698">
        <v>10161</v>
      </c>
      <c r="B1698">
        <v>20</v>
      </c>
      <c r="C1698" s="3">
        <v>100</v>
      </c>
      <c r="D1698">
        <v>3</v>
      </c>
      <c r="E1698" s="3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 s="3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  <c r="Z1698" s="3">
        <f>Table1[[#This Row],[QUANTITYORDERED]]*Table1[[#This Row],[PRICEEACH]]</f>
        <v>2000</v>
      </c>
    </row>
    <row r="1699" spans="1:26" x14ac:dyDescent="0.35">
      <c r="A1699">
        <v>10172</v>
      </c>
      <c r="B1699">
        <v>22</v>
      </c>
      <c r="C1699" s="3">
        <v>74.510000000000005</v>
      </c>
      <c r="D1699">
        <v>1</v>
      </c>
      <c r="E1699" s="3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 s="3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  <c r="Z1699" s="3">
        <f>Table1[[#This Row],[QUANTITYORDERED]]*Table1[[#This Row],[PRICEEACH]]</f>
        <v>1639.22</v>
      </c>
    </row>
    <row r="1700" spans="1:26" x14ac:dyDescent="0.35">
      <c r="A1700">
        <v>10182</v>
      </c>
      <c r="B1700">
        <v>36</v>
      </c>
      <c r="C1700" s="3">
        <v>73.599999999999994</v>
      </c>
      <c r="D1700">
        <v>14</v>
      </c>
      <c r="E1700" s="3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 s="3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  <c r="Z1700" s="3">
        <f>Table1[[#This Row],[QUANTITYORDERED]]*Table1[[#This Row],[PRICEEACH]]</f>
        <v>2649.6</v>
      </c>
    </row>
    <row r="1701" spans="1:26" x14ac:dyDescent="0.35">
      <c r="A1701">
        <v>10192</v>
      </c>
      <c r="B1701">
        <v>46</v>
      </c>
      <c r="C1701" s="3">
        <v>83.6</v>
      </c>
      <c r="D1701">
        <v>2</v>
      </c>
      <c r="E1701" s="3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 s="3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  <c r="Z1701" s="3">
        <f>Table1[[#This Row],[QUANTITYORDERED]]*Table1[[#This Row],[PRICEEACH]]</f>
        <v>3845.6</v>
      </c>
    </row>
    <row r="1702" spans="1:26" x14ac:dyDescent="0.35">
      <c r="A1702">
        <v>10204</v>
      </c>
      <c r="B1702">
        <v>47</v>
      </c>
      <c r="C1702" s="3">
        <v>96.32</v>
      </c>
      <c r="D1702">
        <v>8</v>
      </c>
      <c r="E1702" s="3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 s="3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  <c r="Z1702" s="3">
        <f>Table1[[#This Row],[QUANTITYORDERED]]*Table1[[#This Row],[PRICEEACH]]</f>
        <v>4527.04</v>
      </c>
    </row>
    <row r="1703" spans="1:26" x14ac:dyDescent="0.35">
      <c r="A1703">
        <v>10212</v>
      </c>
      <c r="B1703">
        <v>45</v>
      </c>
      <c r="C1703" s="3">
        <v>88.14</v>
      </c>
      <c r="D1703">
        <v>1</v>
      </c>
      <c r="E1703" s="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 s="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  <c r="Z1703" s="3">
        <f>Table1[[#This Row],[QUANTITYORDERED]]*Table1[[#This Row],[PRICEEACH]]</f>
        <v>3966.3</v>
      </c>
    </row>
    <row r="1704" spans="1:26" x14ac:dyDescent="0.35">
      <c r="A1704">
        <v>10227</v>
      </c>
      <c r="B1704">
        <v>47</v>
      </c>
      <c r="C1704" s="3">
        <v>88.14</v>
      </c>
      <c r="D1704">
        <v>14</v>
      </c>
      <c r="E1704" s="3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 s="3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  <c r="Z1704" s="3">
        <f>Table1[[#This Row],[QUANTITYORDERED]]*Table1[[#This Row],[PRICEEACH]]</f>
        <v>4142.58</v>
      </c>
    </row>
    <row r="1705" spans="1:26" x14ac:dyDescent="0.35">
      <c r="A1705">
        <v>10241</v>
      </c>
      <c r="B1705">
        <v>47</v>
      </c>
      <c r="C1705" s="3">
        <v>94.5</v>
      </c>
      <c r="D1705">
        <v>6</v>
      </c>
      <c r="E1705" s="3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 s="3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  <c r="Z1705" s="3">
        <f>Table1[[#This Row],[QUANTITYORDERED]]*Table1[[#This Row],[PRICEEACH]]</f>
        <v>4441.5</v>
      </c>
    </row>
    <row r="1706" spans="1:26" x14ac:dyDescent="0.35">
      <c r="A1706">
        <v>10267</v>
      </c>
      <c r="B1706">
        <v>38</v>
      </c>
      <c r="C1706" s="3">
        <v>87.24</v>
      </c>
      <c r="D1706">
        <v>3</v>
      </c>
      <c r="E1706" s="3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 s="3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  <c r="Z1706" s="3">
        <f>Table1[[#This Row],[QUANTITYORDERED]]*Table1[[#This Row],[PRICEEACH]]</f>
        <v>3315.12</v>
      </c>
    </row>
    <row r="1707" spans="1:26" x14ac:dyDescent="0.35">
      <c r="A1707">
        <v>10279</v>
      </c>
      <c r="B1707">
        <v>49</v>
      </c>
      <c r="C1707" s="3">
        <v>79.97</v>
      </c>
      <c r="D1707">
        <v>3</v>
      </c>
      <c r="E1707" s="3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 s="3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  <c r="Z1707" s="3">
        <f>Table1[[#This Row],[QUANTITYORDERED]]*Table1[[#This Row],[PRICEEACH]]</f>
        <v>3918.5299999999997</v>
      </c>
    </row>
    <row r="1708" spans="1:26" x14ac:dyDescent="0.35">
      <c r="A1708">
        <v>10288</v>
      </c>
      <c r="B1708">
        <v>35</v>
      </c>
      <c r="C1708" s="3">
        <v>80.87</v>
      </c>
      <c r="D1708">
        <v>9</v>
      </c>
      <c r="E1708" s="3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 s="3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  <c r="Z1708" s="3">
        <f>Table1[[#This Row],[QUANTITYORDERED]]*Table1[[#This Row],[PRICEEACH]]</f>
        <v>2830.4500000000003</v>
      </c>
    </row>
    <row r="1709" spans="1:26" x14ac:dyDescent="0.35">
      <c r="A1709">
        <v>10302</v>
      </c>
      <c r="B1709">
        <v>49</v>
      </c>
      <c r="C1709" s="3">
        <v>100</v>
      </c>
      <c r="D1709">
        <v>5</v>
      </c>
      <c r="E1709" s="3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 s="3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  <c r="Z1709" s="3">
        <f>Table1[[#This Row],[QUANTITYORDERED]]*Table1[[#This Row],[PRICEEACH]]</f>
        <v>4900</v>
      </c>
    </row>
    <row r="1710" spans="1:26" x14ac:dyDescent="0.35">
      <c r="A1710">
        <v>10311</v>
      </c>
      <c r="B1710">
        <v>28</v>
      </c>
      <c r="C1710" s="3">
        <v>93.6</v>
      </c>
      <c r="D1710">
        <v>4</v>
      </c>
      <c r="E1710" s="3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 s="3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  <c r="Z1710" s="3">
        <f>Table1[[#This Row],[QUANTITYORDERED]]*Table1[[#This Row],[PRICEEACH]]</f>
        <v>2620.7999999999997</v>
      </c>
    </row>
    <row r="1711" spans="1:26" x14ac:dyDescent="0.35">
      <c r="A1711">
        <v>10321</v>
      </c>
      <c r="B1711">
        <v>30</v>
      </c>
      <c r="C1711" s="3">
        <v>72.7</v>
      </c>
      <c r="D1711">
        <v>1</v>
      </c>
      <c r="E1711" s="3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 s="3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  <c r="Z1711" s="3">
        <f>Table1[[#This Row],[QUANTITYORDERED]]*Table1[[#This Row],[PRICEEACH]]</f>
        <v>2181</v>
      </c>
    </row>
    <row r="1712" spans="1:26" x14ac:dyDescent="0.35">
      <c r="A1712">
        <v>10332</v>
      </c>
      <c r="B1712">
        <v>39</v>
      </c>
      <c r="C1712" s="3">
        <v>86.72</v>
      </c>
      <c r="D1712">
        <v>7</v>
      </c>
      <c r="E1712" s="3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 s="3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  <c r="Z1712" s="3">
        <f>Table1[[#This Row],[QUANTITYORDERED]]*Table1[[#This Row],[PRICEEACH]]</f>
        <v>3382.08</v>
      </c>
    </row>
    <row r="1713" spans="1:26" x14ac:dyDescent="0.35">
      <c r="A1713">
        <v>10346</v>
      </c>
      <c r="B1713">
        <v>25</v>
      </c>
      <c r="C1713" s="3">
        <v>100</v>
      </c>
      <c r="D1713">
        <v>1</v>
      </c>
      <c r="E1713" s="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 s="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  <c r="Z1713" s="3">
        <f>Table1[[#This Row],[QUANTITYORDERED]]*Table1[[#This Row],[PRICEEACH]]</f>
        <v>2500</v>
      </c>
    </row>
    <row r="1714" spans="1:26" x14ac:dyDescent="0.35">
      <c r="A1714">
        <v>10368</v>
      </c>
      <c r="B1714">
        <v>40</v>
      </c>
      <c r="C1714" s="3">
        <v>100</v>
      </c>
      <c r="D1714">
        <v>2</v>
      </c>
      <c r="E1714" s="3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 s="3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  <c r="Z1714" s="3">
        <f>Table1[[#This Row],[QUANTITYORDERED]]*Table1[[#This Row],[PRICEEACH]]</f>
        <v>4000</v>
      </c>
    </row>
    <row r="1715" spans="1:26" x14ac:dyDescent="0.35">
      <c r="A1715">
        <v>10380</v>
      </c>
      <c r="B1715">
        <v>36</v>
      </c>
      <c r="C1715" s="3">
        <v>37.5</v>
      </c>
      <c r="D1715">
        <v>6</v>
      </c>
      <c r="E1715" s="3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 s="3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  <c r="Z1715" s="3">
        <f>Table1[[#This Row],[QUANTITYORDERED]]*Table1[[#This Row],[PRICEEACH]]</f>
        <v>1350</v>
      </c>
    </row>
    <row r="1716" spans="1:26" x14ac:dyDescent="0.35">
      <c r="A1716">
        <v>10407</v>
      </c>
      <c r="B1716">
        <v>76</v>
      </c>
      <c r="C1716" s="3">
        <v>94.5</v>
      </c>
      <c r="D1716">
        <v>6</v>
      </c>
      <c r="E1716" s="3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 s="3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  <c r="Z1716" s="3">
        <f>Table1[[#This Row],[QUANTITYORDERED]]*Table1[[#This Row],[PRICEEACH]]</f>
        <v>7182</v>
      </c>
    </row>
    <row r="1717" spans="1:26" x14ac:dyDescent="0.35">
      <c r="A1717">
        <v>10420</v>
      </c>
      <c r="B1717">
        <v>39</v>
      </c>
      <c r="C1717" s="3">
        <v>100</v>
      </c>
      <c r="D1717">
        <v>9</v>
      </c>
      <c r="E1717" s="3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 s="3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  <c r="Z1717" s="3">
        <f>Table1[[#This Row],[QUANTITYORDERED]]*Table1[[#This Row],[PRICEEACH]]</f>
        <v>3900</v>
      </c>
    </row>
    <row r="1718" spans="1:26" x14ac:dyDescent="0.35">
      <c r="A1718">
        <v>10104</v>
      </c>
      <c r="B1718">
        <v>44</v>
      </c>
      <c r="C1718" s="3">
        <v>39.6</v>
      </c>
      <c r="D1718">
        <v>10</v>
      </c>
      <c r="E1718" s="3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 s="3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  <c r="Z1718" s="3">
        <f>Table1[[#This Row],[QUANTITYORDERED]]*Table1[[#This Row],[PRICEEACH]]</f>
        <v>1742.4</v>
      </c>
    </row>
    <row r="1719" spans="1:26" x14ac:dyDescent="0.35">
      <c r="A1719">
        <v>10114</v>
      </c>
      <c r="B1719">
        <v>24</v>
      </c>
      <c r="C1719" s="3">
        <v>30.06</v>
      </c>
      <c r="D1719">
        <v>1</v>
      </c>
      <c r="E1719" s="3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 s="3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  <c r="Z1719" s="3">
        <f>Table1[[#This Row],[QUANTITYORDERED]]*Table1[[#This Row],[PRICEEACH]]</f>
        <v>721.43999999999994</v>
      </c>
    </row>
    <row r="1720" spans="1:26" x14ac:dyDescent="0.35">
      <c r="A1720">
        <v>10127</v>
      </c>
      <c r="B1720">
        <v>39</v>
      </c>
      <c r="C1720" s="3">
        <v>38.19</v>
      </c>
      <c r="D1720">
        <v>12</v>
      </c>
      <c r="E1720" s="3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 s="3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  <c r="Z1720" s="3">
        <f>Table1[[#This Row],[QUANTITYORDERED]]*Table1[[#This Row],[PRICEEACH]]</f>
        <v>1489.4099999999999</v>
      </c>
    </row>
    <row r="1721" spans="1:26" x14ac:dyDescent="0.35">
      <c r="A1721">
        <v>10141</v>
      </c>
      <c r="B1721">
        <v>21</v>
      </c>
      <c r="C1721" s="3">
        <v>42.43</v>
      </c>
      <c r="D1721">
        <v>6</v>
      </c>
      <c r="E1721" s="3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 s="3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  <c r="Z1721" s="3">
        <f>Table1[[#This Row],[QUANTITYORDERED]]*Table1[[#This Row],[PRICEEACH]]</f>
        <v>891.03</v>
      </c>
    </row>
    <row r="1722" spans="1:26" x14ac:dyDescent="0.35">
      <c r="A1722">
        <v>10151</v>
      </c>
      <c r="B1722">
        <v>30</v>
      </c>
      <c r="C1722" s="3">
        <v>40.31</v>
      </c>
      <c r="D1722">
        <v>4</v>
      </c>
      <c r="E1722" s="3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 s="3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  <c r="Z1722" s="3">
        <f>Table1[[#This Row],[QUANTITYORDERED]]*Table1[[#This Row],[PRICEEACH]]</f>
        <v>1209.3000000000002</v>
      </c>
    </row>
    <row r="1723" spans="1:26" x14ac:dyDescent="0.35">
      <c r="A1723">
        <v>10165</v>
      </c>
      <c r="B1723">
        <v>27</v>
      </c>
      <c r="C1723" s="3">
        <v>31.82</v>
      </c>
      <c r="D1723">
        <v>13</v>
      </c>
      <c r="E1723" s="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 s="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  <c r="Z1723" s="3">
        <f>Table1[[#This Row],[QUANTITYORDERED]]*Table1[[#This Row],[PRICEEACH]]</f>
        <v>859.14</v>
      </c>
    </row>
    <row r="1724" spans="1:26" x14ac:dyDescent="0.35">
      <c r="A1724">
        <v>10175</v>
      </c>
      <c r="B1724">
        <v>37</v>
      </c>
      <c r="C1724" s="3">
        <v>31.12</v>
      </c>
      <c r="D1724">
        <v>2</v>
      </c>
      <c r="E1724" s="3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 s="3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  <c r="Z1724" s="3">
        <f>Table1[[#This Row],[QUANTITYORDERED]]*Table1[[#This Row],[PRICEEACH]]</f>
        <v>1151.44</v>
      </c>
    </row>
    <row r="1725" spans="1:26" x14ac:dyDescent="0.35">
      <c r="A1725">
        <v>10184</v>
      </c>
      <c r="B1725">
        <v>42</v>
      </c>
      <c r="C1725" s="3">
        <v>31.82</v>
      </c>
      <c r="D1725">
        <v>7</v>
      </c>
      <c r="E1725" s="3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 s="3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  <c r="Z1725" s="3">
        <f>Table1[[#This Row],[QUANTITYORDERED]]*Table1[[#This Row],[PRICEEACH]]</f>
        <v>1336.44</v>
      </c>
    </row>
    <row r="1726" spans="1:26" x14ac:dyDescent="0.35">
      <c r="A1726">
        <v>10195</v>
      </c>
      <c r="B1726">
        <v>32</v>
      </c>
      <c r="C1726" s="3">
        <v>28.29</v>
      </c>
      <c r="D1726">
        <v>7</v>
      </c>
      <c r="E1726" s="3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 s="3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  <c r="Z1726" s="3">
        <f>Table1[[#This Row],[QUANTITYORDERED]]*Table1[[#This Row],[PRICEEACH]]</f>
        <v>905.28</v>
      </c>
    </row>
    <row r="1727" spans="1:26" x14ac:dyDescent="0.35">
      <c r="A1727">
        <v>10207</v>
      </c>
      <c r="B1727">
        <v>42</v>
      </c>
      <c r="C1727" s="3">
        <v>29.7</v>
      </c>
      <c r="D1727">
        <v>8</v>
      </c>
      <c r="E1727" s="3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 s="3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  <c r="Z1727" s="3">
        <f>Table1[[#This Row],[QUANTITYORDERED]]*Table1[[#This Row],[PRICEEACH]]</f>
        <v>1247.3999999999999</v>
      </c>
    </row>
    <row r="1728" spans="1:26" x14ac:dyDescent="0.35">
      <c r="A1728">
        <v>10219</v>
      </c>
      <c r="B1728">
        <v>21</v>
      </c>
      <c r="C1728" s="3">
        <v>40.31</v>
      </c>
      <c r="D1728">
        <v>3</v>
      </c>
      <c r="E1728" s="3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 s="3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  <c r="Z1728" s="3">
        <f>Table1[[#This Row],[QUANTITYORDERED]]*Table1[[#This Row],[PRICEEACH]]</f>
        <v>846.51</v>
      </c>
    </row>
    <row r="1729" spans="1:26" x14ac:dyDescent="0.35">
      <c r="A1729">
        <v>10229</v>
      </c>
      <c r="B1729">
        <v>33</v>
      </c>
      <c r="C1729" s="3">
        <v>32.880000000000003</v>
      </c>
      <c r="D1729">
        <v>2</v>
      </c>
      <c r="E1729" s="3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 s="3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  <c r="Z1729" s="3">
        <f>Table1[[#This Row],[QUANTITYORDERED]]*Table1[[#This Row],[PRICEEACH]]</f>
        <v>1085.0400000000002</v>
      </c>
    </row>
    <row r="1730" spans="1:26" x14ac:dyDescent="0.35">
      <c r="A1730">
        <v>10246</v>
      </c>
      <c r="B1730">
        <v>49</v>
      </c>
      <c r="C1730" s="3">
        <v>36.07</v>
      </c>
      <c r="D1730">
        <v>6</v>
      </c>
      <c r="E1730" s="3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 s="3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  <c r="Z1730" s="3">
        <f>Table1[[#This Row],[QUANTITYORDERED]]*Table1[[#This Row],[PRICEEACH]]</f>
        <v>1767.43</v>
      </c>
    </row>
    <row r="1731" spans="1:26" x14ac:dyDescent="0.35">
      <c r="A1731">
        <v>10259</v>
      </c>
      <c r="B1731">
        <v>31</v>
      </c>
      <c r="C1731" s="3">
        <v>33.24</v>
      </c>
      <c r="D1731">
        <v>5</v>
      </c>
      <c r="E1731" s="3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 s="3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  <c r="Z1731" s="3">
        <f>Table1[[#This Row],[QUANTITYORDERED]]*Table1[[#This Row],[PRICEEACH]]</f>
        <v>1030.44</v>
      </c>
    </row>
    <row r="1732" spans="1:26" x14ac:dyDescent="0.35">
      <c r="A1732">
        <v>10271</v>
      </c>
      <c r="B1732">
        <v>38</v>
      </c>
      <c r="C1732" s="3">
        <v>41.72</v>
      </c>
      <c r="D1732">
        <v>6</v>
      </c>
      <c r="E1732" s="3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 s="3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  <c r="Z1732" s="3">
        <f>Table1[[#This Row],[QUANTITYORDERED]]*Table1[[#This Row],[PRICEEACH]]</f>
        <v>1585.36</v>
      </c>
    </row>
    <row r="1733" spans="1:26" x14ac:dyDescent="0.35">
      <c r="A1733">
        <v>10281</v>
      </c>
      <c r="B1733">
        <v>20</v>
      </c>
      <c r="C1733" s="3">
        <v>40.659999999999997</v>
      </c>
      <c r="D1733">
        <v>2</v>
      </c>
      <c r="E1733" s="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 s="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  <c r="Z1733" s="3">
        <f>Table1[[#This Row],[QUANTITYORDERED]]*Table1[[#This Row],[PRICEEACH]]</f>
        <v>813.19999999999993</v>
      </c>
    </row>
    <row r="1734" spans="1:26" x14ac:dyDescent="0.35">
      <c r="A1734">
        <v>10292</v>
      </c>
      <c r="B1734">
        <v>39</v>
      </c>
      <c r="C1734" s="3">
        <v>30.06</v>
      </c>
      <c r="D1734">
        <v>9</v>
      </c>
      <c r="E1734" s="3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 s="3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  <c r="Z1734" s="3">
        <f>Table1[[#This Row],[QUANTITYORDERED]]*Table1[[#This Row],[PRICEEACH]]</f>
        <v>1172.3399999999999</v>
      </c>
    </row>
    <row r="1735" spans="1:26" x14ac:dyDescent="0.35">
      <c r="A1735">
        <v>10305</v>
      </c>
      <c r="B1735">
        <v>48</v>
      </c>
      <c r="C1735" s="3">
        <v>31.47</v>
      </c>
      <c r="D1735">
        <v>6</v>
      </c>
      <c r="E1735" s="3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 s="3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  <c r="Z1735" s="3">
        <f>Table1[[#This Row],[QUANTITYORDERED]]*Table1[[#This Row],[PRICEEACH]]</f>
        <v>1510.56</v>
      </c>
    </row>
    <row r="1736" spans="1:26" x14ac:dyDescent="0.35">
      <c r="A1736">
        <v>10314</v>
      </c>
      <c r="B1736">
        <v>39</v>
      </c>
      <c r="C1736" s="3">
        <v>37.130000000000003</v>
      </c>
      <c r="D1736">
        <v>15</v>
      </c>
      <c r="E1736" s="3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 s="3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  <c r="Z1736" s="3">
        <f>Table1[[#This Row],[QUANTITYORDERED]]*Table1[[#This Row],[PRICEEACH]]</f>
        <v>1448.0700000000002</v>
      </c>
    </row>
    <row r="1737" spans="1:26" x14ac:dyDescent="0.35">
      <c r="A1737">
        <v>10324</v>
      </c>
      <c r="B1737">
        <v>30</v>
      </c>
      <c r="C1737" s="3">
        <v>100</v>
      </c>
      <c r="D1737">
        <v>9</v>
      </c>
      <c r="E1737" s="3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 s="3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  <c r="Z1737" s="3">
        <f>Table1[[#This Row],[QUANTITYORDERED]]*Table1[[#This Row],[PRICEEACH]]</f>
        <v>3000</v>
      </c>
    </row>
    <row r="1738" spans="1:26" x14ac:dyDescent="0.35">
      <c r="A1738">
        <v>10335</v>
      </c>
      <c r="B1738">
        <v>33</v>
      </c>
      <c r="C1738" s="3">
        <v>37.130000000000003</v>
      </c>
      <c r="D1738">
        <v>2</v>
      </c>
      <c r="E1738" s="3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 s="3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  <c r="Z1738" s="3">
        <f>Table1[[#This Row],[QUANTITYORDERED]]*Table1[[#This Row],[PRICEEACH]]</f>
        <v>1225.2900000000002</v>
      </c>
    </row>
    <row r="1739" spans="1:26" x14ac:dyDescent="0.35">
      <c r="A1739">
        <v>10349</v>
      </c>
      <c r="B1739">
        <v>36</v>
      </c>
      <c r="C1739" s="3">
        <v>37.130000000000003</v>
      </c>
      <c r="D1739">
        <v>3</v>
      </c>
      <c r="E1739" s="3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 s="3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  <c r="Z1739" s="3">
        <f>Table1[[#This Row],[QUANTITYORDERED]]*Table1[[#This Row],[PRICEEACH]]</f>
        <v>1336.68</v>
      </c>
    </row>
    <row r="1740" spans="1:26" x14ac:dyDescent="0.35">
      <c r="A1740">
        <v>10358</v>
      </c>
      <c r="B1740">
        <v>36</v>
      </c>
      <c r="C1740" s="3">
        <v>82.94</v>
      </c>
      <c r="D1740">
        <v>4</v>
      </c>
      <c r="E1740" s="3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 s="3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  <c r="Z1740" s="3">
        <f>Table1[[#This Row],[QUANTITYORDERED]]*Table1[[#This Row],[PRICEEACH]]</f>
        <v>2985.84</v>
      </c>
    </row>
    <row r="1741" spans="1:26" x14ac:dyDescent="0.35">
      <c r="A1741">
        <v>10371</v>
      </c>
      <c r="B1741">
        <v>45</v>
      </c>
      <c r="C1741" s="3">
        <v>100</v>
      </c>
      <c r="D1741">
        <v>8</v>
      </c>
      <c r="E1741" s="3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 s="3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  <c r="Z1741" s="3">
        <f>Table1[[#This Row],[QUANTITYORDERED]]*Table1[[#This Row],[PRICEEACH]]</f>
        <v>4500</v>
      </c>
    </row>
    <row r="1742" spans="1:26" x14ac:dyDescent="0.35">
      <c r="A1742">
        <v>10383</v>
      </c>
      <c r="B1742">
        <v>40</v>
      </c>
      <c r="C1742" s="3">
        <v>100</v>
      </c>
      <c r="D1742">
        <v>3</v>
      </c>
      <c r="E1742" s="3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 s="3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  <c r="Z1742" s="3">
        <f>Table1[[#This Row],[QUANTITYORDERED]]*Table1[[#This Row],[PRICEEACH]]</f>
        <v>4000</v>
      </c>
    </row>
    <row r="1743" spans="1:26" x14ac:dyDescent="0.35">
      <c r="A1743">
        <v>10394</v>
      </c>
      <c r="B1743">
        <v>46</v>
      </c>
      <c r="C1743" s="3">
        <v>38.9</v>
      </c>
      <c r="D1743">
        <v>6</v>
      </c>
      <c r="E1743" s="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 s="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  <c r="Z1743" s="3">
        <f>Table1[[#This Row],[QUANTITYORDERED]]*Table1[[#This Row],[PRICEEACH]]</f>
        <v>1789.3999999999999</v>
      </c>
    </row>
    <row r="1744" spans="1:26" x14ac:dyDescent="0.35">
      <c r="A1744">
        <v>10412</v>
      </c>
      <c r="B1744">
        <v>30</v>
      </c>
      <c r="C1744" s="3">
        <v>36.07</v>
      </c>
      <c r="D1744">
        <v>6</v>
      </c>
      <c r="E1744" s="3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 s="3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  <c r="Z1744" s="3">
        <f>Table1[[#This Row],[QUANTITYORDERED]]*Table1[[#This Row],[PRICEEACH]]</f>
        <v>1082.0999999999999</v>
      </c>
    </row>
    <row r="1745" spans="1:26" x14ac:dyDescent="0.35">
      <c r="A1745">
        <v>10425</v>
      </c>
      <c r="B1745">
        <v>31</v>
      </c>
      <c r="C1745" s="3">
        <v>33.24</v>
      </c>
      <c r="D1745">
        <v>5</v>
      </c>
      <c r="E1745" s="3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 s="3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  <c r="Z1745" s="3">
        <f>Table1[[#This Row],[QUANTITYORDERED]]*Table1[[#This Row],[PRICEEACH]]</f>
        <v>1030.44</v>
      </c>
    </row>
    <row r="1746" spans="1:26" hidden="1" x14ac:dyDescent="0.35">
      <c r="A1746">
        <v>10106</v>
      </c>
      <c r="B1746">
        <v>49</v>
      </c>
      <c r="C1746" s="3">
        <v>74.680000000000007</v>
      </c>
      <c r="D1746">
        <v>13</v>
      </c>
      <c r="E1746" s="3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 s="3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  <c r="Z1746" s="3">
        <f>Table1[[#This Row],[QUANTITYORDERED]]*Table1[[#This Row],[PRICEEACH]]</f>
        <v>3659.32</v>
      </c>
    </row>
    <row r="1747" spans="1:26" hidden="1" x14ac:dyDescent="0.35">
      <c r="A1747">
        <v>10119</v>
      </c>
      <c r="B1747">
        <v>41</v>
      </c>
      <c r="C1747" s="3">
        <v>59.6</v>
      </c>
      <c r="D1747">
        <v>4</v>
      </c>
      <c r="E1747" s="3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 s="3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  <c r="Z1747" s="3">
        <f>Table1[[#This Row],[QUANTITYORDERED]]*Table1[[#This Row],[PRICEEACH]]</f>
        <v>2443.6</v>
      </c>
    </row>
    <row r="1748" spans="1:26" hidden="1" x14ac:dyDescent="0.35">
      <c r="A1748">
        <v>10131</v>
      </c>
      <c r="B1748">
        <v>35</v>
      </c>
      <c r="C1748" s="3">
        <v>67.14</v>
      </c>
      <c r="D1748">
        <v>5</v>
      </c>
      <c r="E1748" s="3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 s="3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  <c r="Z1748" s="3">
        <f>Table1[[#This Row],[QUANTITYORDERED]]*Table1[[#This Row],[PRICEEACH]]</f>
        <v>2349.9</v>
      </c>
    </row>
    <row r="1749" spans="1:26" hidden="1" x14ac:dyDescent="0.35">
      <c r="A1749">
        <v>10143</v>
      </c>
      <c r="B1749">
        <v>27</v>
      </c>
      <c r="C1749" s="3">
        <v>60.97</v>
      </c>
      <c r="D1749">
        <v>8</v>
      </c>
      <c r="E1749" s="3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 s="3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  <c r="Z1749" s="3">
        <f>Table1[[#This Row],[QUANTITYORDERED]]*Table1[[#This Row],[PRICEEACH]]</f>
        <v>1646.19</v>
      </c>
    </row>
    <row r="1750" spans="1:26" hidden="1" x14ac:dyDescent="0.35">
      <c r="A1750">
        <v>10155</v>
      </c>
      <c r="B1750">
        <v>23</v>
      </c>
      <c r="C1750" s="3">
        <v>72.62</v>
      </c>
      <c r="D1750">
        <v>6</v>
      </c>
      <c r="E1750" s="3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 s="3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  <c r="Z1750" s="3">
        <f>Table1[[#This Row],[QUANTITYORDERED]]*Table1[[#This Row],[PRICEEACH]]</f>
        <v>1670.2600000000002</v>
      </c>
    </row>
    <row r="1751" spans="1:26" hidden="1" x14ac:dyDescent="0.35">
      <c r="A1751">
        <v>10167</v>
      </c>
      <c r="B1751">
        <v>21</v>
      </c>
      <c r="C1751" s="3">
        <v>69.88</v>
      </c>
      <c r="D1751">
        <v>2</v>
      </c>
      <c r="E1751" s="3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 s="3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  <c r="Z1751" s="3">
        <f>Table1[[#This Row],[QUANTITYORDERED]]*Table1[[#This Row],[PRICEEACH]]</f>
        <v>1467.48</v>
      </c>
    </row>
    <row r="1752" spans="1:26" hidden="1" x14ac:dyDescent="0.35">
      <c r="A1752">
        <v>10178</v>
      </c>
      <c r="B1752">
        <v>34</v>
      </c>
      <c r="C1752" s="3">
        <v>80.84</v>
      </c>
      <c r="D1752">
        <v>5</v>
      </c>
      <c r="E1752" s="3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 s="3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  <c r="Z1752" s="3">
        <f>Table1[[#This Row],[QUANTITYORDERED]]*Table1[[#This Row],[PRICEEACH]]</f>
        <v>2748.56</v>
      </c>
    </row>
    <row r="1753" spans="1:26" hidden="1" x14ac:dyDescent="0.35">
      <c r="A1753">
        <v>10186</v>
      </c>
      <c r="B1753">
        <v>22</v>
      </c>
      <c r="C1753" s="3">
        <v>69.2</v>
      </c>
      <c r="D1753">
        <v>2</v>
      </c>
      <c r="E1753" s="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 s="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  <c r="Z1753" s="3">
        <f>Table1[[#This Row],[QUANTITYORDERED]]*Table1[[#This Row],[PRICEEACH]]</f>
        <v>1522.4</v>
      </c>
    </row>
    <row r="1754" spans="1:26" hidden="1" x14ac:dyDescent="0.35">
      <c r="A1754">
        <v>10198</v>
      </c>
      <c r="B1754">
        <v>48</v>
      </c>
      <c r="C1754" s="3">
        <v>67.819999999999993</v>
      </c>
      <c r="D1754">
        <v>5</v>
      </c>
      <c r="E1754" s="3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 s="3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  <c r="Z1754" s="3">
        <f>Table1[[#This Row],[QUANTITYORDERED]]*Table1[[#This Row],[PRICEEACH]]</f>
        <v>3255.3599999999997</v>
      </c>
    </row>
    <row r="1755" spans="1:26" hidden="1" x14ac:dyDescent="0.35">
      <c r="A1755">
        <v>10209</v>
      </c>
      <c r="B1755">
        <v>43</v>
      </c>
      <c r="C1755" s="3">
        <v>82.21</v>
      </c>
      <c r="D1755">
        <v>1</v>
      </c>
      <c r="E1755" s="3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 s="3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  <c r="Z1755" s="3">
        <f>Table1[[#This Row],[QUANTITYORDERED]]*Table1[[#This Row],[PRICEEACH]]</f>
        <v>3535.0299999999997</v>
      </c>
    </row>
    <row r="1756" spans="1:26" hidden="1" x14ac:dyDescent="0.35">
      <c r="A1756">
        <v>10222</v>
      </c>
      <c r="B1756">
        <v>32</v>
      </c>
      <c r="C1756" s="3">
        <v>81.53</v>
      </c>
      <c r="D1756">
        <v>5</v>
      </c>
      <c r="E1756" s="3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 s="3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  <c r="Z1756" s="3">
        <f>Table1[[#This Row],[QUANTITYORDERED]]*Table1[[#This Row],[PRICEEACH]]</f>
        <v>2608.96</v>
      </c>
    </row>
    <row r="1757" spans="1:26" hidden="1" x14ac:dyDescent="0.35">
      <c r="A1757">
        <v>10249</v>
      </c>
      <c r="B1757">
        <v>20</v>
      </c>
      <c r="C1757" s="3">
        <v>67.819999999999993</v>
      </c>
      <c r="D1757">
        <v>1</v>
      </c>
      <c r="E1757" s="3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 s="3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  <c r="Z1757" s="3">
        <f>Table1[[#This Row],[QUANTITYORDERED]]*Table1[[#This Row],[PRICEEACH]]</f>
        <v>1356.3999999999999</v>
      </c>
    </row>
    <row r="1758" spans="1:26" hidden="1" x14ac:dyDescent="0.35">
      <c r="A1758">
        <v>10262</v>
      </c>
      <c r="B1758">
        <v>24</v>
      </c>
      <c r="C1758" s="3">
        <v>67.14</v>
      </c>
      <c r="D1758">
        <v>10</v>
      </c>
      <c r="E1758" s="3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 s="3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  <c r="Z1758" s="3">
        <f>Table1[[#This Row],[QUANTITYORDERED]]*Table1[[#This Row],[PRICEEACH]]</f>
        <v>1611.3600000000001</v>
      </c>
    </row>
    <row r="1759" spans="1:26" hidden="1" x14ac:dyDescent="0.35">
      <c r="A1759">
        <v>10274</v>
      </c>
      <c r="B1759">
        <v>40</v>
      </c>
      <c r="C1759" s="3">
        <v>65.08</v>
      </c>
      <c r="D1759">
        <v>2</v>
      </c>
      <c r="E1759" s="3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 s="3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  <c r="Z1759" s="3">
        <f>Table1[[#This Row],[QUANTITYORDERED]]*Table1[[#This Row],[PRICEEACH]]</f>
        <v>2603.1999999999998</v>
      </c>
    </row>
    <row r="1760" spans="1:26" hidden="1" x14ac:dyDescent="0.35">
      <c r="A1760">
        <v>10284</v>
      </c>
      <c r="B1760">
        <v>30</v>
      </c>
      <c r="C1760" s="3">
        <v>73.989999999999995</v>
      </c>
      <c r="D1760">
        <v>12</v>
      </c>
      <c r="E1760" s="3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 s="3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  <c r="Z1760" s="3">
        <f>Table1[[#This Row],[QUANTITYORDERED]]*Table1[[#This Row],[PRICEEACH]]</f>
        <v>2219.6999999999998</v>
      </c>
    </row>
    <row r="1761" spans="1:26" hidden="1" x14ac:dyDescent="0.35">
      <c r="A1761">
        <v>10296</v>
      </c>
      <c r="B1761">
        <v>21</v>
      </c>
      <c r="C1761" s="3">
        <v>71.25</v>
      </c>
      <c r="D1761">
        <v>8</v>
      </c>
      <c r="E1761" s="3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 s="3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  <c r="Z1761" s="3">
        <f>Table1[[#This Row],[QUANTITYORDERED]]*Table1[[#This Row],[PRICEEACH]]</f>
        <v>1496.25</v>
      </c>
    </row>
    <row r="1762" spans="1:26" hidden="1" x14ac:dyDescent="0.35">
      <c r="A1762">
        <v>10307</v>
      </c>
      <c r="B1762">
        <v>25</v>
      </c>
      <c r="C1762" s="3">
        <v>75.36</v>
      </c>
      <c r="D1762">
        <v>2</v>
      </c>
      <c r="E1762" s="3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 s="3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  <c r="Z1762" s="3">
        <f>Table1[[#This Row],[QUANTITYORDERED]]*Table1[[#This Row],[PRICEEACH]]</f>
        <v>1884</v>
      </c>
    </row>
    <row r="1763" spans="1:26" hidden="1" x14ac:dyDescent="0.35">
      <c r="A1763">
        <v>10316</v>
      </c>
      <c r="B1763">
        <v>34</v>
      </c>
      <c r="C1763" s="3">
        <v>63.71</v>
      </c>
      <c r="D1763">
        <v>10</v>
      </c>
      <c r="E1763" s="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 s="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  <c r="Z1763" s="3">
        <f>Table1[[#This Row],[QUANTITYORDERED]]*Table1[[#This Row],[PRICEEACH]]</f>
        <v>2166.14</v>
      </c>
    </row>
    <row r="1764" spans="1:26" hidden="1" x14ac:dyDescent="0.35">
      <c r="A1764">
        <v>10328</v>
      </c>
      <c r="B1764">
        <v>48</v>
      </c>
      <c r="C1764" s="3">
        <v>58.92</v>
      </c>
      <c r="D1764">
        <v>1</v>
      </c>
      <c r="E1764" s="3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 s="3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  <c r="Z1764" s="3">
        <f>Table1[[#This Row],[QUANTITYORDERED]]*Table1[[#This Row],[PRICEEACH]]</f>
        <v>2828.16</v>
      </c>
    </row>
    <row r="1765" spans="1:26" hidden="1" x14ac:dyDescent="0.35">
      <c r="A1765">
        <v>10339</v>
      </c>
      <c r="B1765">
        <v>55</v>
      </c>
      <c r="C1765" s="3">
        <v>100</v>
      </c>
      <c r="D1765">
        <v>12</v>
      </c>
      <c r="E1765" s="3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 s="3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  <c r="Z1765" s="3">
        <f>Table1[[#This Row],[QUANTITYORDERED]]*Table1[[#This Row],[PRICEEACH]]</f>
        <v>5500</v>
      </c>
    </row>
    <row r="1766" spans="1:26" hidden="1" x14ac:dyDescent="0.35">
      <c r="A1766">
        <v>10351</v>
      </c>
      <c r="B1766">
        <v>25</v>
      </c>
      <c r="C1766" s="3">
        <v>74.680000000000007</v>
      </c>
      <c r="D1766">
        <v>5</v>
      </c>
      <c r="E1766" s="3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 s="3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  <c r="Z1766" s="3">
        <f>Table1[[#This Row],[QUANTITYORDERED]]*Table1[[#This Row],[PRICEEACH]]</f>
        <v>1867.0000000000002</v>
      </c>
    </row>
    <row r="1767" spans="1:26" hidden="1" x14ac:dyDescent="0.35">
      <c r="A1767">
        <v>10373</v>
      </c>
      <c r="B1767">
        <v>38</v>
      </c>
      <c r="C1767" s="3">
        <v>70.44</v>
      </c>
      <c r="D1767">
        <v>7</v>
      </c>
      <c r="E1767" s="3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 s="3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  <c r="Z1767" s="3">
        <f>Table1[[#This Row],[QUANTITYORDERED]]*Table1[[#This Row],[PRICEEACH]]</f>
        <v>2676.72</v>
      </c>
    </row>
    <row r="1768" spans="1:26" hidden="1" x14ac:dyDescent="0.35">
      <c r="A1768">
        <v>10386</v>
      </c>
      <c r="B1768">
        <v>39</v>
      </c>
      <c r="C1768" s="3">
        <v>55.96</v>
      </c>
      <c r="D1768">
        <v>1</v>
      </c>
      <c r="E1768" s="3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 s="3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  <c r="Z1768" s="3">
        <f>Table1[[#This Row],[QUANTITYORDERED]]*Table1[[#This Row],[PRICEEACH]]</f>
        <v>2182.44</v>
      </c>
    </row>
    <row r="1769" spans="1:26" hidden="1" x14ac:dyDescent="0.35">
      <c r="A1769">
        <v>10398</v>
      </c>
      <c r="B1769">
        <v>28</v>
      </c>
      <c r="C1769" s="3">
        <v>57.55</v>
      </c>
      <c r="D1769">
        <v>3</v>
      </c>
      <c r="E1769" s="3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 s="3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  <c r="Z1769" s="3">
        <f>Table1[[#This Row],[QUANTITYORDERED]]*Table1[[#This Row],[PRICEEACH]]</f>
        <v>1611.3999999999999</v>
      </c>
    </row>
    <row r="1770" spans="1:26" hidden="1" x14ac:dyDescent="0.35">
      <c r="A1770">
        <v>10400</v>
      </c>
      <c r="B1770">
        <v>24</v>
      </c>
      <c r="C1770" s="3">
        <v>61.66</v>
      </c>
      <c r="D1770">
        <v>2</v>
      </c>
      <c r="E1770" s="3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 s="3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  <c r="Z1770" s="3">
        <f>Table1[[#This Row],[QUANTITYORDERED]]*Table1[[#This Row],[PRICEEACH]]</f>
        <v>1479.84</v>
      </c>
    </row>
    <row r="1771" spans="1:26" hidden="1" x14ac:dyDescent="0.35">
      <c r="A1771">
        <v>10415</v>
      </c>
      <c r="B1771">
        <v>21</v>
      </c>
      <c r="C1771" s="3">
        <v>67.819999999999993</v>
      </c>
      <c r="D1771">
        <v>1</v>
      </c>
      <c r="E1771" s="3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 s="3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  <c r="Z1771" s="3">
        <f>Table1[[#This Row],[QUANTITYORDERED]]*Table1[[#This Row],[PRICEEACH]]</f>
        <v>1424.2199999999998</v>
      </c>
    </row>
    <row r="1772" spans="1:26" x14ac:dyDescent="0.35">
      <c r="A1772">
        <v>10110</v>
      </c>
      <c r="B1772">
        <v>46</v>
      </c>
      <c r="C1772" s="3">
        <v>100</v>
      </c>
      <c r="D1772">
        <v>10</v>
      </c>
      <c r="E1772" s="3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 s="3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  <c r="Z1772" s="3">
        <f>Table1[[#This Row],[QUANTITYORDERED]]*Table1[[#This Row],[PRICEEACH]]</f>
        <v>4600</v>
      </c>
    </row>
    <row r="1773" spans="1:26" x14ac:dyDescent="0.35">
      <c r="A1773">
        <v>10124</v>
      </c>
      <c r="B1773">
        <v>25</v>
      </c>
      <c r="C1773" s="3">
        <v>93.95</v>
      </c>
      <c r="D1773">
        <v>9</v>
      </c>
      <c r="E1773" s="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 s="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  <c r="Z1773" s="3">
        <f>Table1[[#This Row],[QUANTITYORDERED]]*Table1[[#This Row],[PRICEEACH]]</f>
        <v>2348.75</v>
      </c>
    </row>
    <row r="1774" spans="1:26" x14ac:dyDescent="0.35">
      <c r="A1774">
        <v>10148</v>
      </c>
      <c r="B1774">
        <v>34</v>
      </c>
      <c r="C1774" s="3">
        <v>100</v>
      </c>
      <c r="D1774">
        <v>3</v>
      </c>
      <c r="E1774" s="3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 s="3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  <c r="Z1774" s="3">
        <f>Table1[[#This Row],[QUANTITYORDERED]]*Table1[[#This Row],[PRICEEACH]]</f>
        <v>3400</v>
      </c>
    </row>
    <row r="1775" spans="1:26" x14ac:dyDescent="0.35">
      <c r="A1775">
        <v>10161</v>
      </c>
      <c r="B1775">
        <v>25</v>
      </c>
      <c r="C1775" s="3">
        <v>100</v>
      </c>
      <c r="D1775">
        <v>2</v>
      </c>
      <c r="E1775" s="3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 s="3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  <c r="Z1775" s="3">
        <f>Table1[[#This Row],[QUANTITYORDERED]]*Table1[[#This Row],[PRICEEACH]]</f>
        <v>2500</v>
      </c>
    </row>
    <row r="1776" spans="1:26" x14ac:dyDescent="0.35">
      <c r="A1776">
        <v>10173</v>
      </c>
      <c r="B1776">
        <v>23</v>
      </c>
      <c r="C1776" s="3">
        <v>100</v>
      </c>
      <c r="D1776">
        <v>16</v>
      </c>
      <c r="E1776" s="3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 s="3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  <c r="Z1776" s="3">
        <f>Table1[[#This Row],[QUANTITYORDERED]]*Table1[[#This Row],[PRICEEACH]]</f>
        <v>2300</v>
      </c>
    </row>
    <row r="1777" spans="1:26" x14ac:dyDescent="0.35">
      <c r="A1777">
        <v>10182</v>
      </c>
      <c r="B1777">
        <v>20</v>
      </c>
      <c r="C1777" s="3">
        <v>100</v>
      </c>
      <c r="D1777">
        <v>13</v>
      </c>
      <c r="E1777" s="3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 s="3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  <c r="Z1777" s="3">
        <f>Table1[[#This Row],[QUANTITYORDERED]]*Table1[[#This Row],[PRICEEACH]]</f>
        <v>2000</v>
      </c>
    </row>
    <row r="1778" spans="1:26" x14ac:dyDescent="0.35">
      <c r="A1778">
        <v>10192</v>
      </c>
      <c r="B1778">
        <v>23</v>
      </c>
      <c r="C1778" s="3">
        <v>100</v>
      </c>
      <c r="D1778">
        <v>1</v>
      </c>
      <c r="E1778" s="3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 s="3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  <c r="Z1778" s="3">
        <f>Table1[[#This Row],[QUANTITYORDERED]]*Table1[[#This Row],[PRICEEACH]]</f>
        <v>2300</v>
      </c>
    </row>
    <row r="1779" spans="1:26" x14ac:dyDescent="0.35">
      <c r="A1779">
        <v>10204</v>
      </c>
      <c r="B1779">
        <v>42</v>
      </c>
      <c r="C1779" s="3">
        <v>100</v>
      </c>
      <c r="D1779">
        <v>7</v>
      </c>
      <c r="E1779" s="3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 s="3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  <c r="Z1779" s="3">
        <f>Table1[[#This Row],[QUANTITYORDERED]]*Table1[[#This Row],[PRICEEACH]]</f>
        <v>4200</v>
      </c>
    </row>
    <row r="1780" spans="1:26" x14ac:dyDescent="0.35">
      <c r="A1780">
        <v>10213</v>
      </c>
      <c r="B1780">
        <v>27</v>
      </c>
      <c r="C1780" s="3">
        <v>100</v>
      </c>
      <c r="D1780">
        <v>3</v>
      </c>
      <c r="E1780" s="3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 s="3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  <c r="Z1780" s="3">
        <f>Table1[[#This Row],[QUANTITYORDERED]]*Table1[[#This Row],[PRICEEACH]]</f>
        <v>2700</v>
      </c>
    </row>
    <row r="1781" spans="1:26" x14ac:dyDescent="0.35">
      <c r="A1781">
        <v>10227</v>
      </c>
      <c r="B1781">
        <v>33</v>
      </c>
      <c r="C1781" s="3">
        <v>100</v>
      </c>
      <c r="D1781">
        <v>13</v>
      </c>
      <c r="E1781" s="3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 s="3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  <c r="Z1781" s="3">
        <f>Table1[[#This Row],[QUANTITYORDERED]]*Table1[[#This Row],[PRICEEACH]]</f>
        <v>3300</v>
      </c>
    </row>
    <row r="1782" spans="1:26" x14ac:dyDescent="0.35">
      <c r="A1782">
        <v>10241</v>
      </c>
      <c r="B1782">
        <v>28</v>
      </c>
      <c r="C1782" s="3">
        <v>98.65</v>
      </c>
      <c r="D1782">
        <v>5</v>
      </c>
      <c r="E1782" s="3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 s="3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  <c r="Z1782" s="3">
        <f>Table1[[#This Row],[QUANTITYORDERED]]*Table1[[#This Row],[PRICEEACH]]</f>
        <v>2762.2000000000003</v>
      </c>
    </row>
    <row r="1783" spans="1:26" x14ac:dyDescent="0.35">
      <c r="A1783">
        <v>10267</v>
      </c>
      <c r="B1783">
        <v>43</v>
      </c>
      <c r="C1783" s="3">
        <v>100</v>
      </c>
      <c r="D1783">
        <v>2</v>
      </c>
      <c r="E1783" s="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 s="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  <c r="Z1783" s="3">
        <f>Table1[[#This Row],[QUANTITYORDERED]]*Table1[[#This Row],[PRICEEACH]]</f>
        <v>4300</v>
      </c>
    </row>
    <row r="1784" spans="1:26" x14ac:dyDescent="0.35">
      <c r="A1784">
        <v>10279</v>
      </c>
      <c r="B1784">
        <v>48</v>
      </c>
      <c r="C1784" s="3">
        <v>100</v>
      </c>
      <c r="D1784">
        <v>2</v>
      </c>
      <c r="E1784" s="3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 s="3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  <c r="Z1784" s="3">
        <f>Table1[[#This Row],[QUANTITYORDERED]]*Table1[[#This Row],[PRICEEACH]]</f>
        <v>4800</v>
      </c>
    </row>
    <row r="1785" spans="1:26" x14ac:dyDescent="0.35">
      <c r="A1785">
        <v>10288</v>
      </c>
      <c r="B1785">
        <v>48</v>
      </c>
      <c r="C1785" s="3">
        <v>100</v>
      </c>
      <c r="D1785">
        <v>8</v>
      </c>
      <c r="E1785" s="3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 s="3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  <c r="Z1785" s="3">
        <f>Table1[[#This Row],[QUANTITYORDERED]]*Table1[[#This Row],[PRICEEACH]]</f>
        <v>4800</v>
      </c>
    </row>
    <row r="1786" spans="1:26" x14ac:dyDescent="0.35">
      <c r="A1786">
        <v>10302</v>
      </c>
      <c r="B1786">
        <v>45</v>
      </c>
      <c r="C1786" s="3">
        <v>100</v>
      </c>
      <c r="D1786">
        <v>4</v>
      </c>
      <c r="E1786" s="3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 s="3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  <c r="Z1786" s="3">
        <f>Table1[[#This Row],[QUANTITYORDERED]]*Table1[[#This Row],[PRICEEACH]]</f>
        <v>4500</v>
      </c>
    </row>
    <row r="1787" spans="1:26" x14ac:dyDescent="0.35">
      <c r="A1787">
        <v>10311</v>
      </c>
      <c r="B1787">
        <v>43</v>
      </c>
      <c r="C1787" s="3">
        <v>100</v>
      </c>
      <c r="D1787">
        <v>3</v>
      </c>
      <c r="E1787" s="3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 s="3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  <c r="Z1787" s="3">
        <f>Table1[[#This Row],[QUANTITYORDERED]]*Table1[[#This Row],[PRICEEACH]]</f>
        <v>4300</v>
      </c>
    </row>
    <row r="1788" spans="1:26" x14ac:dyDescent="0.35">
      <c r="A1788">
        <v>10332</v>
      </c>
      <c r="B1788">
        <v>44</v>
      </c>
      <c r="C1788" s="3">
        <v>42.26</v>
      </c>
      <c r="D1788">
        <v>11</v>
      </c>
      <c r="E1788" s="3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 s="3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  <c r="Z1788" s="3">
        <f>Table1[[#This Row],[QUANTITYORDERED]]*Table1[[#This Row],[PRICEEACH]]</f>
        <v>1859.4399999999998</v>
      </c>
    </row>
    <row r="1789" spans="1:26" x14ac:dyDescent="0.35">
      <c r="A1789">
        <v>10346</v>
      </c>
      <c r="B1789">
        <v>24</v>
      </c>
      <c r="C1789" s="3">
        <v>87.24</v>
      </c>
      <c r="D1789">
        <v>5</v>
      </c>
      <c r="E1789" s="3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 s="3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  <c r="Z1789" s="3">
        <f>Table1[[#This Row],[QUANTITYORDERED]]*Table1[[#This Row],[PRICEEACH]]</f>
        <v>2093.7599999999998</v>
      </c>
    </row>
    <row r="1790" spans="1:26" x14ac:dyDescent="0.35">
      <c r="A1790">
        <v>10368</v>
      </c>
      <c r="B1790">
        <v>31</v>
      </c>
      <c r="C1790" s="3">
        <v>100</v>
      </c>
      <c r="D1790">
        <v>5</v>
      </c>
      <c r="E1790" s="3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 s="3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  <c r="Z1790" s="3">
        <f>Table1[[#This Row],[QUANTITYORDERED]]*Table1[[#This Row],[PRICEEACH]]</f>
        <v>3100</v>
      </c>
    </row>
    <row r="1791" spans="1:26" x14ac:dyDescent="0.35">
      <c r="A1791">
        <v>10380</v>
      </c>
      <c r="B1791">
        <v>44</v>
      </c>
      <c r="C1791" s="3">
        <v>36.29</v>
      </c>
      <c r="D1791">
        <v>7</v>
      </c>
      <c r="E1791" s="3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 s="3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  <c r="Z1791" s="3">
        <f>Table1[[#This Row],[QUANTITYORDERED]]*Table1[[#This Row],[PRICEEACH]]</f>
        <v>1596.76</v>
      </c>
    </row>
    <row r="1792" spans="1:26" x14ac:dyDescent="0.35">
      <c r="A1792">
        <v>10407</v>
      </c>
      <c r="B1792">
        <v>59</v>
      </c>
      <c r="C1792" s="3">
        <v>98.65</v>
      </c>
      <c r="D1792">
        <v>5</v>
      </c>
      <c r="E1792" s="3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 s="3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  <c r="Z1792" s="3">
        <f>Table1[[#This Row],[QUANTITYORDERED]]*Table1[[#This Row],[PRICEEACH]]</f>
        <v>5820.35</v>
      </c>
    </row>
    <row r="1793" spans="1:26" x14ac:dyDescent="0.35">
      <c r="A1793">
        <v>10420</v>
      </c>
      <c r="B1793">
        <v>55</v>
      </c>
      <c r="C1793" s="3">
        <v>96.3</v>
      </c>
      <c r="D1793">
        <v>8</v>
      </c>
      <c r="E1793" s="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 s="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  <c r="Z1793" s="3">
        <f>Table1[[#This Row],[QUANTITYORDERED]]*Table1[[#This Row],[PRICEEACH]]</f>
        <v>5296.5</v>
      </c>
    </row>
    <row r="1794" spans="1:26" x14ac:dyDescent="0.35">
      <c r="A1794">
        <v>10109</v>
      </c>
      <c r="B1794">
        <v>29</v>
      </c>
      <c r="C1794" s="3">
        <v>32.1</v>
      </c>
      <c r="D1794">
        <v>6</v>
      </c>
      <c r="E1794" s="3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 s="3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  <c r="Z1794" s="3">
        <f>Table1[[#This Row],[QUANTITYORDERED]]*Table1[[#This Row],[PRICEEACH]]</f>
        <v>930.90000000000009</v>
      </c>
    </row>
    <row r="1795" spans="1:26" x14ac:dyDescent="0.35">
      <c r="A1795">
        <v>10122</v>
      </c>
      <c r="B1795">
        <v>39</v>
      </c>
      <c r="C1795" s="3">
        <v>30.96</v>
      </c>
      <c r="D1795">
        <v>4</v>
      </c>
      <c r="E1795" s="3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 s="3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  <c r="Z1795" s="3">
        <f>Table1[[#This Row],[QUANTITYORDERED]]*Table1[[#This Row],[PRICEEACH]]</f>
        <v>1207.44</v>
      </c>
    </row>
    <row r="1796" spans="1:26" x14ac:dyDescent="0.35">
      <c r="A1796">
        <v>10135</v>
      </c>
      <c r="B1796">
        <v>20</v>
      </c>
      <c r="C1796" s="3">
        <v>35.869999999999997</v>
      </c>
      <c r="D1796">
        <v>1</v>
      </c>
      <c r="E1796" s="3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 s="3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  <c r="Z1796" s="3">
        <f>Table1[[#This Row],[QUANTITYORDERED]]*Table1[[#This Row],[PRICEEACH]]</f>
        <v>717.4</v>
      </c>
    </row>
    <row r="1797" spans="1:26" x14ac:dyDescent="0.35">
      <c r="A1797">
        <v>10147</v>
      </c>
      <c r="B1797">
        <v>25</v>
      </c>
      <c r="C1797" s="3">
        <v>42.67</v>
      </c>
      <c r="D1797">
        <v>1</v>
      </c>
      <c r="E1797" s="3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 s="3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  <c r="Z1797" s="3">
        <f>Table1[[#This Row],[QUANTITYORDERED]]*Table1[[#This Row],[PRICEEACH]]</f>
        <v>1066.75</v>
      </c>
    </row>
    <row r="1798" spans="1:26" x14ac:dyDescent="0.35">
      <c r="A1798">
        <v>10160</v>
      </c>
      <c r="B1798">
        <v>42</v>
      </c>
      <c r="C1798" s="3">
        <v>37</v>
      </c>
      <c r="D1798">
        <v>2</v>
      </c>
      <c r="E1798" s="3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 s="3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  <c r="Z1798" s="3">
        <f>Table1[[#This Row],[QUANTITYORDERED]]*Table1[[#This Row],[PRICEEACH]]</f>
        <v>1554</v>
      </c>
    </row>
    <row r="1799" spans="1:26" x14ac:dyDescent="0.35">
      <c r="A1799">
        <v>10171</v>
      </c>
      <c r="B1799">
        <v>36</v>
      </c>
      <c r="C1799" s="3">
        <v>35.49</v>
      </c>
      <c r="D1799">
        <v>4</v>
      </c>
      <c r="E1799" s="3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 s="3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  <c r="Z1799" s="3">
        <f>Table1[[#This Row],[QUANTITYORDERED]]*Table1[[#This Row],[PRICEEACH]]</f>
        <v>1277.6400000000001</v>
      </c>
    </row>
    <row r="1800" spans="1:26" x14ac:dyDescent="0.35">
      <c r="A1800">
        <v>10181</v>
      </c>
      <c r="B1800">
        <v>37</v>
      </c>
      <c r="C1800" s="3">
        <v>42.67</v>
      </c>
      <c r="D1800">
        <v>8</v>
      </c>
      <c r="E1800" s="3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 s="3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  <c r="Z1800" s="3">
        <f>Table1[[#This Row],[QUANTITYORDERED]]*Table1[[#This Row],[PRICEEACH]]</f>
        <v>1578.79</v>
      </c>
    </row>
    <row r="1801" spans="1:26" x14ac:dyDescent="0.35">
      <c r="A1801">
        <v>10192</v>
      </c>
      <c r="B1801">
        <v>30</v>
      </c>
      <c r="C1801" s="3">
        <v>30.59</v>
      </c>
      <c r="D1801">
        <v>13</v>
      </c>
      <c r="E1801" s="3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 s="3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  <c r="Z1801" s="3">
        <f>Table1[[#This Row],[QUANTITYORDERED]]*Table1[[#This Row],[PRICEEACH]]</f>
        <v>917.7</v>
      </c>
    </row>
    <row r="1802" spans="1:26" x14ac:dyDescent="0.35">
      <c r="A1802">
        <v>10203</v>
      </c>
      <c r="B1802">
        <v>21</v>
      </c>
      <c r="C1802" s="3">
        <v>37</v>
      </c>
      <c r="D1802">
        <v>2</v>
      </c>
      <c r="E1802" s="3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 s="3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  <c r="Z1802" s="3">
        <f>Table1[[#This Row],[QUANTITYORDERED]]*Table1[[#This Row],[PRICEEACH]]</f>
        <v>777</v>
      </c>
    </row>
    <row r="1803" spans="1:26" x14ac:dyDescent="0.35">
      <c r="A1803">
        <v>10212</v>
      </c>
      <c r="B1803">
        <v>34</v>
      </c>
      <c r="C1803" s="3">
        <v>43.42</v>
      </c>
      <c r="D1803">
        <v>12</v>
      </c>
      <c r="E1803" s="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 s="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  <c r="Z1803" s="3">
        <f>Table1[[#This Row],[QUANTITYORDERED]]*Table1[[#This Row],[PRICEEACH]]</f>
        <v>1476.28</v>
      </c>
    </row>
    <row r="1804" spans="1:26" x14ac:dyDescent="0.35">
      <c r="A1804">
        <v>10225</v>
      </c>
      <c r="B1804">
        <v>42</v>
      </c>
      <c r="C1804" s="3">
        <v>36.630000000000003</v>
      </c>
      <c r="D1804">
        <v>3</v>
      </c>
      <c r="E1804" s="3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 s="3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  <c r="Z1804" s="3">
        <f>Table1[[#This Row],[QUANTITYORDERED]]*Table1[[#This Row],[PRICEEACH]]</f>
        <v>1538.46</v>
      </c>
    </row>
    <row r="1805" spans="1:26" x14ac:dyDescent="0.35">
      <c r="A1805">
        <v>10239</v>
      </c>
      <c r="B1805">
        <v>20</v>
      </c>
      <c r="C1805" s="3">
        <v>44.56</v>
      </c>
      <c r="D1805">
        <v>2</v>
      </c>
      <c r="E1805" s="3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 s="3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  <c r="Z1805" s="3">
        <f>Table1[[#This Row],[QUANTITYORDERED]]*Table1[[#This Row],[PRICEEACH]]</f>
        <v>891.2</v>
      </c>
    </row>
    <row r="1806" spans="1:26" x14ac:dyDescent="0.35">
      <c r="A1806">
        <v>10253</v>
      </c>
      <c r="B1806">
        <v>40</v>
      </c>
      <c r="C1806" s="3">
        <v>42.67</v>
      </c>
      <c r="D1806">
        <v>7</v>
      </c>
      <c r="E1806" s="3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 s="3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  <c r="Z1806" s="3">
        <f>Table1[[#This Row],[QUANTITYORDERED]]*Table1[[#This Row],[PRICEEACH]]</f>
        <v>1706.8000000000002</v>
      </c>
    </row>
    <row r="1807" spans="1:26" x14ac:dyDescent="0.35">
      <c r="A1807">
        <v>10266</v>
      </c>
      <c r="B1807">
        <v>34</v>
      </c>
      <c r="C1807" s="3">
        <v>40.4</v>
      </c>
      <c r="D1807">
        <v>8</v>
      </c>
      <c r="E1807" s="3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 s="3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  <c r="Z1807" s="3">
        <f>Table1[[#This Row],[QUANTITYORDERED]]*Table1[[#This Row],[PRICEEACH]]</f>
        <v>1373.6</v>
      </c>
    </row>
    <row r="1808" spans="1:26" x14ac:dyDescent="0.35">
      <c r="A1808">
        <v>10278</v>
      </c>
      <c r="B1808">
        <v>31</v>
      </c>
      <c r="C1808" s="3">
        <v>38.89</v>
      </c>
      <c r="D1808">
        <v>8</v>
      </c>
      <c r="E1808" s="3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 s="3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  <c r="Z1808" s="3">
        <f>Table1[[#This Row],[QUANTITYORDERED]]*Table1[[#This Row],[PRICEEACH]]</f>
        <v>1205.5899999999999</v>
      </c>
    </row>
    <row r="1809" spans="1:26" x14ac:dyDescent="0.35">
      <c r="A1809">
        <v>10287</v>
      </c>
      <c r="B1809">
        <v>36</v>
      </c>
      <c r="C1809" s="3">
        <v>39.65</v>
      </c>
      <c r="D1809">
        <v>6</v>
      </c>
      <c r="E1809" s="3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 s="3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  <c r="Z1809" s="3">
        <f>Table1[[#This Row],[QUANTITYORDERED]]*Table1[[#This Row],[PRICEEACH]]</f>
        <v>1427.3999999999999</v>
      </c>
    </row>
    <row r="1810" spans="1:26" x14ac:dyDescent="0.35">
      <c r="A1810">
        <v>10301</v>
      </c>
      <c r="B1810">
        <v>48</v>
      </c>
      <c r="C1810" s="3">
        <v>34.36</v>
      </c>
      <c r="D1810">
        <v>10</v>
      </c>
      <c r="E1810" s="3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 s="3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  <c r="Z1810" s="3">
        <f>Table1[[#This Row],[QUANTITYORDERED]]*Table1[[#This Row],[PRICEEACH]]</f>
        <v>1649.28</v>
      </c>
    </row>
    <row r="1811" spans="1:26" x14ac:dyDescent="0.35">
      <c r="A1811">
        <v>10310</v>
      </c>
      <c r="B1811">
        <v>33</v>
      </c>
      <c r="C1811" s="3">
        <v>41.91</v>
      </c>
      <c r="D1811">
        <v>4</v>
      </c>
      <c r="E1811" s="3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 s="3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  <c r="Z1811" s="3">
        <f>Table1[[#This Row],[QUANTITYORDERED]]*Table1[[#This Row],[PRICEEACH]]</f>
        <v>1383.03</v>
      </c>
    </row>
    <row r="1812" spans="1:26" x14ac:dyDescent="0.35">
      <c r="A1812">
        <v>10321</v>
      </c>
      <c r="B1812">
        <v>37</v>
      </c>
      <c r="C1812" s="3">
        <v>33.229999999999997</v>
      </c>
      <c r="D1812">
        <v>12</v>
      </c>
      <c r="E1812" s="3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 s="3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  <c r="Z1812" s="3">
        <f>Table1[[#This Row],[QUANTITYORDERED]]*Table1[[#This Row],[PRICEEACH]]</f>
        <v>1229.51</v>
      </c>
    </row>
    <row r="1813" spans="1:26" x14ac:dyDescent="0.35">
      <c r="A1813">
        <v>10331</v>
      </c>
      <c r="B1813">
        <v>27</v>
      </c>
      <c r="C1813" s="3">
        <v>42.24</v>
      </c>
      <c r="D1813">
        <v>13</v>
      </c>
      <c r="E1813" s="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 s="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  <c r="Z1813" s="3">
        <f>Table1[[#This Row],[QUANTITYORDERED]]*Table1[[#This Row],[PRICEEACH]]</f>
        <v>1140.48</v>
      </c>
    </row>
    <row r="1814" spans="1:26" x14ac:dyDescent="0.35">
      <c r="A1814">
        <v>10342</v>
      </c>
      <c r="B1814">
        <v>39</v>
      </c>
      <c r="C1814" s="3">
        <v>40.4</v>
      </c>
      <c r="D1814">
        <v>9</v>
      </c>
      <c r="E1814" s="3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 s="3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  <c r="Z1814" s="3">
        <f>Table1[[#This Row],[QUANTITYORDERED]]*Table1[[#This Row],[PRICEEACH]]</f>
        <v>1575.6</v>
      </c>
    </row>
    <row r="1815" spans="1:26" x14ac:dyDescent="0.35">
      <c r="A1815">
        <v>10355</v>
      </c>
      <c r="B1815">
        <v>36</v>
      </c>
      <c r="C1815" s="3">
        <v>38.520000000000003</v>
      </c>
      <c r="D1815">
        <v>4</v>
      </c>
      <c r="E1815" s="3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 s="3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  <c r="Z1815" s="3">
        <f>Table1[[#This Row],[QUANTITYORDERED]]*Table1[[#This Row],[PRICEEACH]]</f>
        <v>1386.72</v>
      </c>
    </row>
    <row r="1816" spans="1:26" x14ac:dyDescent="0.35">
      <c r="A1816">
        <v>10367</v>
      </c>
      <c r="B1816">
        <v>36</v>
      </c>
      <c r="C1816" s="3">
        <v>100</v>
      </c>
      <c r="D1816">
        <v>2</v>
      </c>
      <c r="E1816" s="3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 s="3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  <c r="Z1816" s="3">
        <f>Table1[[#This Row],[QUANTITYORDERED]]*Table1[[#This Row],[PRICEEACH]]</f>
        <v>3600</v>
      </c>
    </row>
    <row r="1817" spans="1:26" x14ac:dyDescent="0.35">
      <c r="A1817">
        <v>10378</v>
      </c>
      <c r="B1817">
        <v>41</v>
      </c>
      <c r="C1817" s="3">
        <v>100</v>
      </c>
      <c r="D1817">
        <v>7</v>
      </c>
      <c r="E1817" s="3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 s="3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  <c r="Z1817" s="3">
        <f>Table1[[#This Row],[QUANTITYORDERED]]*Table1[[#This Row],[PRICEEACH]]</f>
        <v>4100</v>
      </c>
    </row>
    <row r="1818" spans="1:26" x14ac:dyDescent="0.35">
      <c r="A1818">
        <v>10390</v>
      </c>
      <c r="B1818">
        <v>37</v>
      </c>
      <c r="C1818" s="3">
        <v>100</v>
      </c>
      <c r="D1818">
        <v>5</v>
      </c>
      <c r="E1818" s="3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 s="3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  <c r="Z1818" s="3">
        <f>Table1[[#This Row],[QUANTITYORDERED]]*Table1[[#This Row],[PRICEEACH]]</f>
        <v>3700</v>
      </c>
    </row>
    <row r="1819" spans="1:26" x14ac:dyDescent="0.35">
      <c r="A1819">
        <v>10405</v>
      </c>
      <c r="B1819">
        <v>47</v>
      </c>
      <c r="C1819" s="3">
        <v>44.56</v>
      </c>
      <c r="D1819">
        <v>2</v>
      </c>
      <c r="E1819" s="3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 s="3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  <c r="Z1819" s="3">
        <f>Table1[[#This Row],[QUANTITYORDERED]]*Table1[[#This Row],[PRICEEACH]]</f>
        <v>2094.3200000000002</v>
      </c>
    </row>
    <row r="1820" spans="1:26" x14ac:dyDescent="0.35">
      <c r="A1820">
        <v>10419</v>
      </c>
      <c r="B1820">
        <v>15</v>
      </c>
      <c r="C1820" s="3">
        <v>42.67</v>
      </c>
      <c r="D1820">
        <v>7</v>
      </c>
      <c r="E1820" s="3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 s="3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  <c r="Z1820" s="3">
        <f>Table1[[#This Row],[QUANTITYORDERED]]*Table1[[#This Row],[PRICEEACH]]</f>
        <v>640.05000000000007</v>
      </c>
    </row>
    <row r="1821" spans="1:26" hidden="1" x14ac:dyDescent="0.35">
      <c r="A1821">
        <v>10105</v>
      </c>
      <c r="B1821">
        <v>44</v>
      </c>
      <c r="C1821" s="3">
        <v>72.58</v>
      </c>
      <c r="D1821">
        <v>4</v>
      </c>
      <c r="E1821" s="3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 s="3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  <c r="Z1821" s="3">
        <f>Table1[[#This Row],[QUANTITYORDERED]]*Table1[[#This Row],[PRICEEACH]]</f>
        <v>3193.52</v>
      </c>
    </row>
    <row r="1822" spans="1:26" hidden="1" x14ac:dyDescent="0.35">
      <c r="A1822">
        <v>10119</v>
      </c>
      <c r="B1822">
        <v>35</v>
      </c>
      <c r="C1822" s="3">
        <v>87.62</v>
      </c>
      <c r="D1822">
        <v>13</v>
      </c>
      <c r="E1822" s="3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 s="3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  <c r="Z1822" s="3">
        <f>Table1[[#This Row],[QUANTITYORDERED]]*Table1[[#This Row],[PRICEEACH]]</f>
        <v>3066.7000000000003</v>
      </c>
    </row>
    <row r="1823" spans="1:26" hidden="1" x14ac:dyDescent="0.35">
      <c r="A1823">
        <v>10129</v>
      </c>
      <c r="B1823">
        <v>41</v>
      </c>
      <c r="C1823" s="3">
        <v>94.71</v>
      </c>
      <c r="D1823">
        <v>4</v>
      </c>
      <c r="E1823" s="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 s="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  <c r="Z1823" s="3">
        <f>Table1[[#This Row],[QUANTITYORDERED]]*Table1[[#This Row],[PRICEEACH]]</f>
        <v>3883.1099999999997</v>
      </c>
    </row>
    <row r="1824" spans="1:26" hidden="1" x14ac:dyDescent="0.35">
      <c r="A1824">
        <v>10142</v>
      </c>
      <c r="B1824">
        <v>49</v>
      </c>
      <c r="C1824" s="3">
        <v>98.25</v>
      </c>
      <c r="D1824">
        <v>1</v>
      </c>
      <c r="E1824" s="3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 s="3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  <c r="Z1824" s="3">
        <f>Table1[[#This Row],[QUANTITYORDERED]]*Table1[[#This Row],[PRICEEACH]]</f>
        <v>4814.25</v>
      </c>
    </row>
    <row r="1825" spans="1:26" hidden="1" x14ac:dyDescent="0.35">
      <c r="A1825">
        <v>10154</v>
      </c>
      <c r="B1825">
        <v>31</v>
      </c>
      <c r="C1825" s="3">
        <v>91.17</v>
      </c>
      <c r="D1825">
        <v>2</v>
      </c>
      <c r="E1825" s="3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 s="3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  <c r="Z1825" s="3">
        <f>Table1[[#This Row],[QUANTITYORDERED]]*Table1[[#This Row],[PRICEEACH]]</f>
        <v>2826.27</v>
      </c>
    </row>
    <row r="1826" spans="1:26" hidden="1" x14ac:dyDescent="0.35">
      <c r="A1826">
        <v>10167</v>
      </c>
      <c r="B1826">
        <v>20</v>
      </c>
      <c r="C1826" s="3">
        <v>79.66</v>
      </c>
      <c r="D1826">
        <v>11</v>
      </c>
      <c r="E1826" s="3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 s="3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  <c r="Z1826" s="3">
        <f>Table1[[#This Row],[QUANTITYORDERED]]*Table1[[#This Row],[PRICEEACH]]</f>
        <v>1593.1999999999998</v>
      </c>
    </row>
    <row r="1827" spans="1:26" hidden="1" x14ac:dyDescent="0.35">
      <c r="A1827">
        <v>10177</v>
      </c>
      <c r="B1827">
        <v>45</v>
      </c>
      <c r="C1827" s="3">
        <v>72.58</v>
      </c>
      <c r="D1827">
        <v>2</v>
      </c>
      <c r="E1827" s="3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 s="3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  <c r="Z1827" s="3">
        <f>Table1[[#This Row],[QUANTITYORDERED]]*Table1[[#This Row],[PRICEEACH]]</f>
        <v>3266.1</v>
      </c>
    </row>
    <row r="1828" spans="1:26" hidden="1" x14ac:dyDescent="0.35">
      <c r="A1828">
        <v>10185</v>
      </c>
      <c r="B1828">
        <v>33</v>
      </c>
      <c r="C1828" s="3">
        <v>74.349999999999994</v>
      </c>
      <c r="D1828">
        <v>2</v>
      </c>
      <c r="E1828" s="3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 s="3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  <c r="Z1828" s="3">
        <f>Table1[[#This Row],[QUANTITYORDERED]]*Table1[[#This Row],[PRICEEACH]]</f>
        <v>2453.5499999999997</v>
      </c>
    </row>
    <row r="1829" spans="1:26" hidden="1" x14ac:dyDescent="0.35">
      <c r="A1829">
        <v>10197</v>
      </c>
      <c r="B1829">
        <v>47</v>
      </c>
      <c r="C1829" s="3">
        <v>83.2</v>
      </c>
      <c r="D1829">
        <v>8</v>
      </c>
      <c r="E1829" s="3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 s="3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  <c r="Z1829" s="3">
        <f>Table1[[#This Row],[QUANTITYORDERED]]*Table1[[#This Row],[PRICEEACH]]</f>
        <v>3910.4</v>
      </c>
    </row>
    <row r="1830" spans="1:26" hidden="1" x14ac:dyDescent="0.35">
      <c r="A1830">
        <v>10208</v>
      </c>
      <c r="B1830">
        <v>20</v>
      </c>
      <c r="C1830" s="3">
        <v>89.4</v>
      </c>
      <c r="D1830">
        <v>2</v>
      </c>
      <c r="E1830" s="3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 s="3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  <c r="Z1830" s="3">
        <f>Table1[[#This Row],[QUANTITYORDERED]]*Table1[[#This Row],[PRICEEACH]]</f>
        <v>1788</v>
      </c>
    </row>
    <row r="1831" spans="1:26" hidden="1" x14ac:dyDescent="0.35">
      <c r="A1831">
        <v>10222</v>
      </c>
      <c r="B1831">
        <v>47</v>
      </c>
      <c r="C1831" s="3">
        <v>70.81</v>
      </c>
      <c r="D1831">
        <v>14</v>
      </c>
      <c r="E1831" s="3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 s="3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  <c r="Z1831" s="3">
        <f>Table1[[#This Row],[QUANTITYORDERED]]*Table1[[#This Row],[PRICEEACH]]</f>
        <v>3328.07</v>
      </c>
    </row>
    <row r="1832" spans="1:26" hidden="1" x14ac:dyDescent="0.35">
      <c r="A1832">
        <v>10233</v>
      </c>
      <c r="B1832">
        <v>40</v>
      </c>
      <c r="C1832" s="3">
        <v>94.71</v>
      </c>
      <c r="D1832">
        <v>2</v>
      </c>
      <c r="E1832" s="3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 s="3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  <c r="Z1832" s="3">
        <f>Table1[[#This Row],[QUANTITYORDERED]]*Table1[[#This Row],[PRICEEACH]]</f>
        <v>3788.3999999999996</v>
      </c>
    </row>
    <row r="1833" spans="1:26" hidden="1" x14ac:dyDescent="0.35">
      <c r="A1833">
        <v>10248</v>
      </c>
      <c r="B1833">
        <v>30</v>
      </c>
      <c r="C1833" s="3">
        <v>100</v>
      </c>
      <c r="D1833">
        <v>5</v>
      </c>
      <c r="E1833" s="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 s="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  <c r="Z1833" s="3">
        <f>Table1[[#This Row],[QUANTITYORDERED]]*Table1[[#This Row],[PRICEEACH]]</f>
        <v>3000</v>
      </c>
    </row>
    <row r="1834" spans="1:26" hidden="1" x14ac:dyDescent="0.35">
      <c r="A1834">
        <v>10261</v>
      </c>
      <c r="B1834">
        <v>22</v>
      </c>
      <c r="C1834" s="3">
        <v>91.17</v>
      </c>
      <c r="D1834">
        <v>3</v>
      </c>
      <c r="E1834" s="3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 s="3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  <c r="Z1834" s="3">
        <f>Table1[[#This Row],[QUANTITYORDERED]]*Table1[[#This Row],[PRICEEACH]]</f>
        <v>2005.74</v>
      </c>
    </row>
    <row r="1835" spans="1:26" hidden="1" x14ac:dyDescent="0.35">
      <c r="A1835">
        <v>10273</v>
      </c>
      <c r="B1835">
        <v>27</v>
      </c>
      <c r="C1835" s="3">
        <v>100</v>
      </c>
      <c r="D1835">
        <v>6</v>
      </c>
      <c r="E1835" s="3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 s="3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  <c r="Z1835" s="3">
        <f>Table1[[#This Row],[QUANTITYORDERED]]*Table1[[#This Row],[PRICEEACH]]</f>
        <v>2700</v>
      </c>
    </row>
    <row r="1836" spans="1:26" hidden="1" x14ac:dyDescent="0.35">
      <c r="A1836">
        <v>10283</v>
      </c>
      <c r="B1836">
        <v>34</v>
      </c>
      <c r="C1836" s="3">
        <v>92.94</v>
      </c>
      <c r="D1836">
        <v>8</v>
      </c>
      <c r="E1836" s="3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 s="3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  <c r="Z1836" s="3">
        <f>Table1[[#This Row],[QUANTITYORDERED]]*Table1[[#This Row],[PRICEEACH]]</f>
        <v>3159.96</v>
      </c>
    </row>
    <row r="1837" spans="1:26" hidden="1" x14ac:dyDescent="0.35">
      <c r="A1837">
        <v>10295</v>
      </c>
      <c r="B1837">
        <v>46</v>
      </c>
      <c r="C1837" s="3">
        <v>84.97</v>
      </c>
      <c r="D1837">
        <v>3</v>
      </c>
      <c r="E1837" s="3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 s="3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  <c r="Z1837" s="3">
        <f>Table1[[#This Row],[QUANTITYORDERED]]*Table1[[#This Row],[PRICEEACH]]</f>
        <v>3908.62</v>
      </c>
    </row>
    <row r="1838" spans="1:26" hidden="1" x14ac:dyDescent="0.35">
      <c r="A1838">
        <v>10306</v>
      </c>
      <c r="B1838">
        <v>31</v>
      </c>
      <c r="C1838" s="3">
        <v>84.08</v>
      </c>
      <c r="D1838">
        <v>2</v>
      </c>
      <c r="E1838" s="3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 s="3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  <c r="Z1838" s="3">
        <f>Table1[[#This Row],[QUANTITYORDERED]]*Table1[[#This Row],[PRICEEACH]]</f>
        <v>2606.48</v>
      </c>
    </row>
    <row r="1839" spans="1:26" hidden="1" x14ac:dyDescent="0.35">
      <c r="A1839">
        <v>10315</v>
      </c>
      <c r="B1839">
        <v>24</v>
      </c>
      <c r="C1839" s="3">
        <v>86.74</v>
      </c>
      <c r="D1839">
        <v>1</v>
      </c>
      <c r="E1839" s="3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 s="3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  <c r="Z1839" s="3">
        <f>Table1[[#This Row],[QUANTITYORDERED]]*Table1[[#This Row],[PRICEEACH]]</f>
        <v>2081.7599999999998</v>
      </c>
    </row>
    <row r="1840" spans="1:26" hidden="1" x14ac:dyDescent="0.35">
      <c r="A1840">
        <v>10326</v>
      </c>
      <c r="B1840">
        <v>41</v>
      </c>
      <c r="C1840" s="3">
        <v>85.85</v>
      </c>
      <c r="D1840">
        <v>3</v>
      </c>
      <c r="E1840" s="3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 s="3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  <c r="Z1840" s="3">
        <f>Table1[[#This Row],[QUANTITYORDERED]]*Table1[[#This Row],[PRICEEACH]]</f>
        <v>3519.85</v>
      </c>
    </row>
    <row r="1841" spans="1:26" hidden="1" x14ac:dyDescent="0.35">
      <c r="A1841">
        <v>10339</v>
      </c>
      <c r="B1841">
        <v>55</v>
      </c>
      <c r="C1841" s="3">
        <v>100</v>
      </c>
      <c r="D1841">
        <v>13</v>
      </c>
      <c r="E1841" s="3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 s="3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  <c r="Z1841" s="3">
        <f>Table1[[#This Row],[QUANTITYORDERED]]*Table1[[#This Row],[PRICEEACH]]</f>
        <v>5500</v>
      </c>
    </row>
    <row r="1842" spans="1:26" hidden="1" x14ac:dyDescent="0.35">
      <c r="A1842">
        <v>10350</v>
      </c>
      <c r="B1842">
        <v>30</v>
      </c>
      <c r="C1842" s="3">
        <v>100</v>
      </c>
      <c r="D1842">
        <v>9</v>
      </c>
      <c r="E1842" s="3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 s="3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  <c r="Z1842" s="3">
        <f>Table1[[#This Row],[QUANTITYORDERED]]*Table1[[#This Row],[PRICEEACH]]</f>
        <v>3000</v>
      </c>
    </row>
    <row r="1843" spans="1:26" hidden="1" x14ac:dyDescent="0.35">
      <c r="A1843">
        <v>10373</v>
      </c>
      <c r="B1843">
        <v>33</v>
      </c>
      <c r="C1843" s="3">
        <v>57.32</v>
      </c>
      <c r="D1843">
        <v>12</v>
      </c>
      <c r="E1843" s="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 s="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  <c r="Z1843" s="3">
        <f>Table1[[#This Row],[QUANTITYORDERED]]*Table1[[#This Row],[PRICEEACH]]</f>
        <v>1891.56</v>
      </c>
    </row>
    <row r="1844" spans="1:26" hidden="1" x14ac:dyDescent="0.35">
      <c r="A1844">
        <v>10384</v>
      </c>
      <c r="B1844">
        <v>43</v>
      </c>
      <c r="C1844" s="3">
        <v>97.87</v>
      </c>
      <c r="D1844">
        <v>2</v>
      </c>
      <c r="E1844" s="3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 s="3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  <c r="Z1844" s="3">
        <f>Table1[[#This Row],[QUANTITYORDERED]]*Table1[[#This Row],[PRICEEACH]]</f>
        <v>4208.41</v>
      </c>
    </row>
    <row r="1845" spans="1:26" hidden="1" x14ac:dyDescent="0.35">
      <c r="A1845">
        <v>10396</v>
      </c>
      <c r="B1845">
        <v>27</v>
      </c>
      <c r="C1845" s="3">
        <v>83.2</v>
      </c>
      <c r="D1845">
        <v>7</v>
      </c>
      <c r="E1845" s="3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 s="3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  <c r="Z1845" s="3">
        <f>Table1[[#This Row],[QUANTITYORDERED]]*Table1[[#This Row],[PRICEEACH]]</f>
        <v>2246.4</v>
      </c>
    </row>
    <row r="1846" spans="1:26" hidden="1" x14ac:dyDescent="0.35">
      <c r="A1846">
        <v>10414</v>
      </c>
      <c r="B1846">
        <v>60</v>
      </c>
      <c r="C1846" s="3">
        <v>100</v>
      </c>
      <c r="D1846">
        <v>5</v>
      </c>
      <c r="E1846" s="3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 s="3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  <c r="Z1846" s="3">
        <f>Table1[[#This Row],[QUANTITYORDERED]]*Table1[[#This Row],[PRICEEACH]]</f>
        <v>6000</v>
      </c>
    </row>
    <row r="1847" spans="1:26" x14ac:dyDescent="0.35">
      <c r="A1847">
        <v>10110</v>
      </c>
      <c r="B1847">
        <v>27</v>
      </c>
      <c r="C1847" s="3">
        <v>73.62</v>
      </c>
      <c r="D1847">
        <v>12</v>
      </c>
      <c r="E1847" s="3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 s="3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  <c r="Z1847" s="3">
        <f>Table1[[#This Row],[QUANTITYORDERED]]*Table1[[#This Row],[PRICEEACH]]</f>
        <v>1987.7400000000002</v>
      </c>
    </row>
    <row r="1848" spans="1:26" x14ac:dyDescent="0.35">
      <c r="A1848">
        <v>10124</v>
      </c>
      <c r="B1848">
        <v>49</v>
      </c>
      <c r="C1848" s="3">
        <v>83.04</v>
      </c>
      <c r="D1848">
        <v>11</v>
      </c>
      <c r="E1848" s="3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 s="3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  <c r="Z1848" s="3">
        <f>Table1[[#This Row],[QUANTITYORDERED]]*Table1[[#This Row],[PRICEEACH]]</f>
        <v>4068.9600000000005</v>
      </c>
    </row>
    <row r="1849" spans="1:26" x14ac:dyDescent="0.35">
      <c r="A1849">
        <v>10148</v>
      </c>
      <c r="B1849">
        <v>31</v>
      </c>
      <c r="C1849" s="3">
        <v>73.62</v>
      </c>
      <c r="D1849">
        <v>5</v>
      </c>
      <c r="E1849" s="3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 s="3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  <c r="Z1849" s="3">
        <f>Table1[[#This Row],[QUANTITYORDERED]]*Table1[[#This Row],[PRICEEACH]]</f>
        <v>2282.2200000000003</v>
      </c>
    </row>
    <row r="1850" spans="1:26" x14ac:dyDescent="0.35">
      <c r="A1850">
        <v>10161</v>
      </c>
      <c r="B1850">
        <v>20</v>
      </c>
      <c r="C1850" s="3">
        <v>77.05</v>
      </c>
      <c r="D1850">
        <v>4</v>
      </c>
      <c r="E1850" s="3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 s="3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  <c r="Z1850" s="3">
        <f>Table1[[#This Row],[QUANTITYORDERED]]*Table1[[#This Row],[PRICEEACH]]</f>
        <v>1541</v>
      </c>
    </row>
    <row r="1851" spans="1:26" x14ac:dyDescent="0.35">
      <c r="A1851">
        <v>10172</v>
      </c>
      <c r="B1851">
        <v>24</v>
      </c>
      <c r="C1851" s="3">
        <v>81.33</v>
      </c>
      <c r="D1851">
        <v>2</v>
      </c>
      <c r="E1851" s="3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 s="3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  <c r="Z1851" s="3">
        <f>Table1[[#This Row],[QUANTITYORDERED]]*Table1[[#This Row],[PRICEEACH]]</f>
        <v>1951.92</v>
      </c>
    </row>
    <row r="1852" spans="1:26" x14ac:dyDescent="0.35">
      <c r="A1852">
        <v>10182</v>
      </c>
      <c r="B1852">
        <v>33</v>
      </c>
      <c r="C1852" s="3">
        <v>94.17</v>
      </c>
      <c r="D1852">
        <v>15</v>
      </c>
      <c r="E1852" s="3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 s="3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  <c r="Z1852" s="3">
        <f>Table1[[#This Row],[QUANTITYORDERED]]*Table1[[#This Row],[PRICEEACH]]</f>
        <v>3107.61</v>
      </c>
    </row>
    <row r="1853" spans="1:26" x14ac:dyDescent="0.35">
      <c r="A1853">
        <v>10192</v>
      </c>
      <c r="B1853">
        <v>32</v>
      </c>
      <c r="C1853" s="3">
        <v>72.77</v>
      </c>
      <c r="D1853">
        <v>3</v>
      </c>
      <c r="E1853" s="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 s="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  <c r="Z1853" s="3">
        <f>Table1[[#This Row],[QUANTITYORDERED]]*Table1[[#This Row],[PRICEEACH]]</f>
        <v>2328.64</v>
      </c>
    </row>
    <row r="1854" spans="1:26" x14ac:dyDescent="0.35">
      <c r="A1854">
        <v>10204</v>
      </c>
      <c r="B1854">
        <v>40</v>
      </c>
      <c r="C1854" s="3">
        <v>79.62</v>
      </c>
      <c r="D1854">
        <v>9</v>
      </c>
      <c r="E1854" s="3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 s="3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  <c r="Z1854" s="3">
        <f>Table1[[#This Row],[QUANTITYORDERED]]*Table1[[#This Row],[PRICEEACH]]</f>
        <v>3184.8</v>
      </c>
    </row>
    <row r="1855" spans="1:26" x14ac:dyDescent="0.35">
      <c r="A1855">
        <v>10212</v>
      </c>
      <c r="B1855">
        <v>27</v>
      </c>
      <c r="C1855" s="3">
        <v>79.62</v>
      </c>
      <c r="D1855">
        <v>2</v>
      </c>
      <c r="E1855" s="3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 s="3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  <c r="Z1855" s="3">
        <f>Table1[[#This Row],[QUANTITYORDERED]]*Table1[[#This Row],[PRICEEACH]]</f>
        <v>2149.7400000000002</v>
      </c>
    </row>
    <row r="1856" spans="1:26" x14ac:dyDescent="0.35">
      <c r="A1856">
        <v>10227</v>
      </c>
      <c r="B1856">
        <v>40</v>
      </c>
      <c r="C1856" s="3">
        <v>79.62</v>
      </c>
      <c r="D1856">
        <v>15</v>
      </c>
      <c r="E1856" s="3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 s="3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  <c r="Z1856" s="3">
        <f>Table1[[#This Row],[QUANTITYORDERED]]*Table1[[#This Row],[PRICEEACH]]</f>
        <v>3184.8</v>
      </c>
    </row>
    <row r="1857" spans="1:26" x14ac:dyDescent="0.35">
      <c r="A1857">
        <v>10241</v>
      </c>
      <c r="B1857">
        <v>26</v>
      </c>
      <c r="C1857" s="3">
        <v>81.33</v>
      </c>
      <c r="D1857">
        <v>7</v>
      </c>
      <c r="E1857" s="3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 s="3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  <c r="Z1857" s="3">
        <f>Table1[[#This Row],[QUANTITYORDERED]]*Table1[[#This Row],[PRICEEACH]]</f>
        <v>2114.58</v>
      </c>
    </row>
    <row r="1858" spans="1:26" x14ac:dyDescent="0.35">
      <c r="A1858">
        <v>10267</v>
      </c>
      <c r="B1858">
        <v>44</v>
      </c>
      <c r="C1858" s="3">
        <v>96.74</v>
      </c>
      <c r="D1858">
        <v>4</v>
      </c>
      <c r="E1858" s="3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 s="3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  <c r="Z1858" s="3">
        <f>Table1[[#This Row],[QUANTITYORDERED]]*Table1[[#This Row],[PRICEEACH]]</f>
        <v>4256.5599999999995</v>
      </c>
    </row>
    <row r="1859" spans="1:26" x14ac:dyDescent="0.35">
      <c r="A1859">
        <v>10279</v>
      </c>
      <c r="B1859">
        <v>33</v>
      </c>
      <c r="C1859" s="3">
        <v>71.06</v>
      </c>
      <c r="D1859">
        <v>4</v>
      </c>
      <c r="E1859" s="3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 s="3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  <c r="Z1859" s="3">
        <f>Table1[[#This Row],[QUANTITYORDERED]]*Table1[[#This Row],[PRICEEACH]]</f>
        <v>2344.98</v>
      </c>
    </row>
    <row r="1860" spans="1:26" x14ac:dyDescent="0.35">
      <c r="A1860">
        <v>10288</v>
      </c>
      <c r="B1860">
        <v>34</v>
      </c>
      <c r="C1860" s="3">
        <v>68.489999999999995</v>
      </c>
      <c r="D1860">
        <v>10</v>
      </c>
      <c r="E1860" s="3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 s="3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  <c r="Z1860" s="3">
        <f>Table1[[#This Row],[QUANTITYORDERED]]*Table1[[#This Row],[PRICEEACH]]</f>
        <v>2328.66</v>
      </c>
    </row>
    <row r="1861" spans="1:26" x14ac:dyDescent="0.35">
      <c r="A1861">
        <v>10302</v>
      </c>
      <c r="B1861">
        <v>48</v>
      </c>
      <c r="C1861" s="3">
        <v>74.48</v>
      </c>
      <c r="D1861">
        <v>6</v>
      </c>
      <c r="E1861" s="3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 s="3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  <c r="Z1861" s="3">
        <f>Table1[[#This Row],[QUANTITYORDERED]]*Table1[[#This Row],[PRICEEACH]]</f>
        <v>3575.04</v>
      </c>
    </row>
    <row r="1862" spans="1:26" x14ac:dyDescent="0.35">
      <c r="A1862">
        <v>10311</v>
      </c>
      <c r="B1862">
        <v>25</v>
      </c>
      <c r="C1862" s="3">
        <v>83.04</v>
      </c>
      <c r="D1862">
        <v>5</v>
      </c>
      <c r="E1862" s="3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 s="3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  <c r="Z1862" s="3">
        <f>Table1[[#This Row],[QUANTITYORDERED]]*Table1[[#This Row],[PRICEEACH]]</f>
        <v>2076</v>
      </c>
    </row>
    <row r="1863" spans="1:26" x14ac:dyDescent="0.35">
      <c r="A1863">
        <v>10321</v>
      </c>
      <c r="B1863">
        <v>39</v>
      </c>
      <c r="C1863" s="3">
        <v>84.75</v>
      </c>
      <c r="D1863">
        <v>2</v>
      </c>
      <c r="E1863" s="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 s="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  <c r="Z1863" s="3">
        <f>Table1[[#This Row],[QUANTITYORDERED]]*Table1[[#This Row],[PRICEEACH]]</f>
        <v>3305.25</v>
      </c>
    </row>
    <row r="1864" spans="1:26" x14ac:dyDescent="0.35">
      <c r="A1864">
        <v>10332</v>
      </c>
      <c r="B1864">
        <v>45</v>
      </c>
      <c r="C1864" s="3">
        <v>34.19</v>
      </c>
      <c r="D1864">
        <v>12</v>
      </c>
      <c r="E1864" s="3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 s="3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  <c r="Z1864" s="3">
        <f>Table1[[#This Row],[QUANTITYORDERED]]*Table1[[#This Row],[PRICEEACH]]</f>
        <v>1538.55</v>
      </c>
    </row>
    <row r="1865" spans="1:26" x14ac:dyDescent="0.35">
      <c r="A1865">
        <v>10346</v>
      </c>
      <c r="B1865">
        <v>24</v>
      </c>
      <c r="C1865" s="3">
        <v>100</v>
      </c>
      <c r="D1865">
        <v>2</v>
      </c>
      <c r="E1865" s="3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 s="3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  <c r="Z1865" s="3">
        <f>Table1[[#This Row],[QUANTITYORDERED]]*Table1[[#This Row],[PRICEEACH]]</f>
        <v>2400</v>
      </c>
    </row>
    <row r="1866" spans="1:26" x14ac:dyDescent="0.35">
      <c r="A1866">
        <v>10368</v>
      </c>
      <c r="B1866">
        <v>46</v>
      </c>
      <c r="C1866" s="3">
        <v>79.62</v>
      </c>
      <c r="D1866">
        <v>1</v>
      </c>
      <c r="E1866" s="3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 s="3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  <c r="Z1866" s="3">
        <f>Table1[[#This Row],[QUANTITYORDERED]]*Table1[[#This Row],[PRICEEACH]]</f>
        <v>3662.5200000000004</v>
      </c>
    </row>
    <row r="1867" spans="1:26" x14ac:dyDescent="0.35">
      <c r="A1867">
        <v>10380</v>
      </c>
      <c r="B1867">
        <v>44</v>
      </c>
      <c r="C1867" s="3">
        <v>79.06</v>
      </c>
      <c r="D1867">
        <v>9</v>
      </c>
      <c r="E1867" s="3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 s="3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  <c r="Z1867" s="3">
        <f>Table1[[#This Row],[QUANTITYORDERED]]*Table1[[#This Row],[PRICEEACH]]</f>
        <v>3478.6400000000003</v>
      </c>
    </row>
    <row r="1868" spans="1:26" x14ac:dyDescent="0.35">
      <c r="A1868">
        <v>10407</v>
      </c>
      <c r="B1868">
        <v>13</v>
      </c>
      <c r="C1868" s="3">
        <v>81.33</v>
      </c>
      <c r="D1868">
        <v>7</v>
      </c>
      <c r="E1868" s="3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 s="3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  <c r="Z1868" s="3">
        <f>Table1[[#This Row],[QUANTITYORDERED]]*Table1[[#This Row],[PRICEEACH]]</f>
        <v>1057.29</v>
      </c>
    </row>
    <row r="1869" spans="1:26" x14ac:dyDescent="0.35">
      <c r="A1869">
        <v>10420</v>
      </c>
      <c r="B1869">
        <v>35</v>
      </c>
      <c r="C1869" s="3">
        <v>96.74</v>
      </c>
      <c r="D1869">
        <v>10</v>
      </c>
      <c r="E1869" s="3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 s="3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  <c r="Z1869" s="3">
        <f>Table1[[#This Row],[QUANTITYORDERED]]*Table1[[#This Row],[PRICEEACH]]</f>
        <v>3385.8999999999996</v>
      </c>
    </row>
    <row r="1870" spans="1:26" x14ac:dyDescent="0.35">
      <c r="A1870">
        <v>10108</v>
      </c>
      <c r="B1870">
        <v>30</v>
      </c>
      <c r="C1870" s="3">
        <v>63.07</v>
      </c>
      <c r="D1870">
        <v>5</v>
      </c>
      <c r="E1870" s="3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 s="3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  <c r="Z1870" s="3">
        <f>Table1[[#This Row],[QUANTITYORDERED]]*Table1[[#This Row],[PRICEEACH]]</f>
        <v>1892.1</v>
      </c>
    </row>
    <row r="1871" spans="1:26" x14ac:dyDescent="0.35">
      <c r="A1871">
        <v>10122</v>
      </c>
      <c r="B1871">
        <v>34</v>
      </c>
      <c r="C1871" s="3">
        <v>50.21</v>
      </c>
      <c r="D1871">
        <v>9</v>
      </c>
      <c r="E1871" s="3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 s="3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  <c r="Z1871" s="3">
        <f>Table1[[#This Row],[QUANTITYORDERED]]*Table1[[#This Row],[PRICEEACH]]</f>
        <v>1707.14</v>
      </c>
    </row>
    <row r="1872" spans="1:26" x14ac:dyDescent="0.35">
      <c r="A1872">
        <v>10135</v>
      </c>
      <c r="B1872">
        <v>27</v>
      </c>
      <c r="C1872" s="3">
        <v>66.13</v>
      </c>
      <c r="D1872">
        <v>6</v>
      </c>
      <c r="E1872" s="3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 s="3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  <c r="Z1872" s="3">
        <f>Table1[[#This Row],[QUANTITYORDERED]]*Table1[[#This Row],[PRICEEACH]]</f>
        <v>1785.5099999999998</v>
      </c>
    </row>
    <row r="1873" spans="1:26" x14ac:dyDescent="0.35">
      <c r="A1873">
        <v>10147</v>
      </c>
      <c r="B1873">
        <v>30</v>
      </c>
      <c r="C1873" s="3">
        <v>68.58</v>
      </c>
      <c r="D1873">
        <v>6</v>
      </c>
      <c r="E1873" s="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 s="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  <c r="Z1873" s="3">
        <f>Table1[[#This Row],[QUANTITYORDERED]]*Table1[[#This Row],[PRICEEACH]]</f>
        <v>2057.4</v>
      </c>
    </row>
    <row r="1874" spans="1:26" x14ac:dyDescent="0.35">
      <c r="A1874">
        <v>10159</v>
      </c>
      <c r="B1874">
        <v>50</v>
      </c>
      <c r="C1874" s="3">
        <v>69.8</v>
      </c>
      <c r="D1874">
        <v>1</v>
      </c>
      <c r="E1874" s="3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 s="3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  <c r="Z1874" s="3">
        <f>Table1[[#This Row],[QUANTITYORDERED]]*Table1[[#This Row],[PRICEEACH]]</f>
        <v>3490</v>
      </c>
    </row>
    <row r="1875" spans="1:26" x14ac:dyDescent="0.35">
      <c r="A1875">
        <v>10169</v>
      </c>
      <c r="B1875">
        <v>34</v>
      </c>
      <c r="C1875" s="3">
        <v>50.21</v>
      </c>
      <c r="D1875">
        <v>1</v>
      </c>
      <c r="E1875" s="3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 s="3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  <c r="Z1875" s="3">
        <f>Table1[[#This Row],[QUANTITYORDERED]]*Table1[[#This Row],[PRICEEACH]]</f>
        <v>1707.14</v>
      </c>
    </row>
    <row r="1876" spans="1:26" x14ac:dyDescent="0.35">
      <c r="A1876">
        <v>10181</v>
      </c>
      <c r="B1876">
        <v>23</v>
      </c>
      <c r="C1876" s="3">
        <v>65.52</v>
      </c>
      <c r="D1876">
        <v>13</v>
      </c>
      <c r="E1876" s="3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 s="3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  <c r="Z1876" s="3">
        <f>Table1[[#This Row],[QUANTITYORDERED]]*Table1[[#This Row],[PRICEEACH]]</f>
        <v>1506.9599999999998</v>
      </c>
    </row>
    <row r="1877" spans="1:26" x14ac:dyDescent="0.35">
      <c r="A1877">
        <v>10191</v>
      </c>
      <c r="B1877">
        <v>48</v>
      </c>
      <c r="C1877" s="3">
        <v>60.01</v>
      </c>
      <c r="D1877">
        <v>2</v>
      </c>
      <c r="E1877" s="3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 s="3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  <c r="Z1877" s="3">
        <f>Table1[[#This Row],[QUANTITYORDERED]]*Table1[[#This Row],[PRICEEACH]]</f>
        <v>2880.48</v>
      </c>
    </row>
    <row r="1878" spans="1:26" x14ac:dyDescent="0.35">
      <c r="A1878">
        <v>10203</v>
      </c>
      <c r="B1878">
        <v>34</v>
      </c>
      <c r="C1878" s="3">
        <v>64.900000000000006</v>
      </c>
      <c r="D1878">
        <v>7</v>
      </c>
      <c r="E1878" s="3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 s="3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  <c r="Z1878" s="3">
        <f>Table1[[#This Row],[QUANTITYORDERED]]*Table1[[#This Row],[PRICEEACH]]</f>
        <v>2206.6000000000004</v>
      </c>
    </row>
    <row r="1879" spans="1:26" x14ac:dyDescent="0.35">
      <c r="A1879">
        <v>10211</v>
      </c>
      <c r="B1879">
        <v>48</v>
      </c>
      <c r="C1879" s="3">
        <v>48.98</v>
      </c>
      <c r="D1879">
        <v>1</v>
      </c>
      <c r="E1879" s="3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 s="3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  <c r="Z1879" s="3">
        <f>Table1[[#This Row],[QUANTITYORDERED]]*Table1[[#This Row],[PRICEEACH]]</f>
        <v>2351.04</v>
      </c>
    </row>
    <row r="1880" spans="1:26" x14ac:dyDescent="0.35">
      <c r="A1880">
        <v>10225</v>
      </c>
      <c r="B1880">
        <v>24</v>
      </c>
      <c r="C1880" s="3">
        <v>50.21</v>
      </c>
      <c r="D1880">
        <v>8</v>
      </c>
      <c r="E1880" s="3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 s="3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  <c r="Z1880" s="3">
        <f>Table1[[#This Row],[QUANTITYORDERED]]*Table1[[#This Row],[PRICEEACH]]</f>
        <v>1205.04</v>
      </c>
    </row>
    <row r="1881" spans="1:26" x14ac:dyDescent="0.35">
      <c r="A1881">
        <v>10238</v>
      </c>
      <c r="B1881">
        <v>47</v>
      </c>
      <c r="C1881" s="3">
        <v>62.45</v>
      </c>
      <c r="D1881">
        <v>2</v>
      </c>
      <c r="E1881" s="3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 s="3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  <c r="Z1881" s="3">
        <f>Table1[[#This Row],[QUANTITYORDERED]]*Table1[[#This Row],[PRICEEACH]]</f>
        <v>2935.15</v>
      </c>
    </row>
    <row r="1882" spans="1:26" x14ac:dyDescent="0.35">
      <c r="A1882">
        <v>10253</v>
      </c>
      <c r="B1882">
        <v>24</v>
      </c>
      <c r="C1882" s="3">
        <v>52.66</v>
      </c>
      <c r="D1882">
        <v>12</v>
      </c>
      <c r="E1882" s="3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 s="3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  <c r="Z1882" s="3">
        <f>Table1[[#This Row],[QUANTITYORDERED]]*Table1[[#This Row],[PRICEEACH]]</f>
        <v>1263.8399999999999</v>
      </c>
    </row>
    <row r="1883" spans="1:26" x14ac:dyDescent="0.35">
      <c r="A1883">
        <v>10266</v>
      </c>
      <c r="B1883">
        <v>47</v>
      </c>
      <c r="C1883" s="3">
        <v>62.45</v>
      </c>
      <c r="D1883">
        <v>13</v>
      </c>
      <c r="E1883" s="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 s="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  <c r="Z1883" s="3">
        <f>Table1[[#This Row],[QUANTITYORDERED]]*Table1[[#This Row],[PRICEEACH]]</f>
        <v>2935.15</v>
      </c>
    </row>
    <row r="1884" spans="1:26" x14ac:dyDescent="0.35">
      <c r="A1884">
        <v>10276</v>
      </c>
      <c r="B1884">
        <v>20</v>
      </c>
      <c r="C1884" s="3">
        <v>61.23</v>
      </c>
      <c r="D1884">
        <v>2</v>
      </c>
      <c r="E1884" s="3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 s="3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  <c r="Z1884" s="3">
        <f>Table1[[#This Row],[QUANTITYORDERED]]*Table1[[#This Row],[PRICEEACH]]</f>
        <v>1224.5999999999999</v>
      </c>
    </row>
    <row r="1885" spans="1:26" x14ac:dyDescent="0.35">
      <c r="A1885">
        <v>10287</v>
      </c>
      <c r="B1885">
        <v>20</v>
      </c>
      <c r="C1885" s="3">
        <v>67.97</v>
      </c>
      <c r="D1885">
        <v>11</v>
      </c>
      <c r="E1885" s="3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 s="3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  <c r="Z1885" s="3">
        <f>Table1[[#This Row],[QUANTITYORDERED]]*Table1[[#This Row],[PRICEEACH]]</f>
        <v>1359.4</v>
      </c>
    </row>
    <row r="1886" spans="1:26" x14ac:dyDescent="0.35">
      <c r="A1886">
        <v>10300</v>
      </c>
      <c r="B1886">
        <v>31</v>
      </c>
      <c r="C1886" s="3">
        <v>58.78</v>
      </c>
      <c r="D1886">
        <v>4</v>
      </c>
      <c r="E1886" s="3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 s="3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  <c r="Z1886" s="3">
        <f>Table1[[#This Row],[QUANTITYORDERED]]*Table1[[#This Row],[PRICEEACH]]</f>
        <v>1822.18</v>
      </c>
    </row>
    <row r="1887" spans="1:26" x14ac:dyDescent="0.35">
      <c r="A1887">
        <v>10310</v>
      </c>
      <c r="B1887">
        <v>38</v>
      </c>
      <c r="C1887" s="3">
        <v>56.94</v>
      </c>
      <c r="D1887">
        <v>9</v>
      </c>
      <c r="E1887" s="3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 s="3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  <c r="Z1887" s="3">
        <f>Table1[[#This Row],[QUANTITYORDERED]]*Table1[[#This Row],[PRICEEACH]]</f>
        <v>2163.7199999999998</v>
      </c>
    </row>
    <row r="1888" spans="1:26" x14ac:dyDescent="0.35">
      <c r="A1888">
        <v>10320</v>
      </c>
      <c r="B1888">
        <v>26</v>
      </c>
      <c r="C1888" s="3">
        <v>61.23</v>
      </c>
      <c r="D1888">
        <v>2</v>
      </c>
      <c r="E1888" s="3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 s="3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  <c r="Z1888" s="3">
        <f>Table1[[#This Row],[QUANTITYORDERED]]*Table1[[#This Row],[PRICEEACH]]</f>
        <v>1591.98</v>
      </c>
    </row>
    <row r="1889" spans="1:26" x14ac:dyDescent="0.35">
      <c r="A1889">
        <v>10331</v>
      </c>
      <c r="B1889">
        <v>25</v>
      </c>
      <c r="C1889" s="3">
        <v>100</v>
      </c>
      <c r="D1889">
        <v>9</v>
      </c>
      <c r="E1889" s="3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 s="3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  <c r="Z1889" s="3">
        <f>Table1[[#This Row],[QUANTITYORDERED]]*Table1[[#This Row],[PRICEEACH]]</f>
        <v>2500</v>
      </c>
    </row>
    <row r="1890" spans="1:26" x14ac:dyDescent="0.35">
      <c r="A1890">
        <v>10342</v>
      </c>
      <c r="B1890">
        <v>48</v>
      </c>
      <c r="C1890" s="3">
        <v>62.45</v>
      </c>
      <c r="D1890">
        <v>10</v>
      </c>
      <c r="E1890" s="3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 s="3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  <c r="Z1890" s="3">
        <f>Table1[[#This Row],[QUANTITYORDERED]]*Table1[[#This Row],[PRICEEACH]]</f>
        <v>2997.6000000000004</v>
      </c>
    </row>
    <row r="1891" spans="1:26" x14ac:dyDescent="0.35">
      <c r="A1891">
        <v>10355</v>
      </c>
      <c r="B1891">
        <v>44</v>
      </c>
      <c r="C1891" s="3">
        <v>62.45</v>
      </c>
      <c r="D1891">
        <v>6</v>
      </c>
      <c r="E1891" s="3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 s="3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  <c r="Z1891" s="3">
        <f>Table1[[#This Row],[QUANTITYORDERED]]*Table1[[#This Row],[PRICEEACH]]</f>
        <v>2747.8</v>
      </c>
    </row>
    <row r="1892" spans="1:26" x14ac:dyDescent="0.35">
      <c r="A1892">
        <v>10363</v>
      </c>
      <c r="B1892">
        <v>21</v>
      </c>
      <c r="C1892" s="3">
        <v>100</v>
      </c>
      <c r="D1892">
        <v>15</v>
      </c>
      <c r="E1892" s="3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 s="3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  <c r="Z1892" s="3">
        <f>Table1[[#This Row],[QUANTITYORDERED]]*Table1[[#This Row],[PRICEEACH]]</f>
        <v>2100</v>
      </c>
    </row>
    <row r="1893" spans="1:26" x14ac:dyDescent="0.35">
      <c r="A1893">
        <v>10378</v>
      </c>
      <c r="B1893">
        <v>46</v>
      </c>
      <c r="C1893" s="3">
        <v>41.54</v>
      </c>
      <c r="D1893">
        <v>6</v>
      </c>
      <c r="E1893" s="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 s="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  <c r="Z1893" s="3">
        <f>Table1[[#This Row],[QUANTITYORDERED]]*Table1[[#This Row],[PRICEEACH]]</f>
        <v>1910.84</v>
      </c>
    </row>
    <row r="1894" spans="1:26" x14ac:dyDescent="0.35">
      <c r="A1894">
        <v>10390</v>
      </c>
      <c r="B1894">
        <v>46</v>
      </c>
      <c r="C1894" s="3">
        <v>52.84</v>
      </c>
      <c r="D1894">
        <v>6</v>
      </c>
      <c r="E1894" s="3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 s="3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  <c r="Z1894" s="3">
        <f>Table1[[#This Row],[QUANTITYORDERED]]*Table1[[#This Row],[PRICEEACH]]</f>
        <v>2430.6400000000003</v>
      </c>
    </row>
    <row r="1895" spans="1:26" x14ac:dyDescent="0.35">
      <c r="A1895">
        <v>10419</v>
      </c>
      <c r="B1895">
        <v>55</v>
      </c>
      <c r="C1895" s="3">
        <v>52.66</v>
      </c>
      <c r="D1895">
        <v>12</v>
      </c>
      <c r="E1895" s="3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 s="3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  <c r="Z1895" s="3">
        <f>Table1[[#This Row],[QUANTITYORDERED]]*Table1[[#This Row],[PRICEEACH]]</f>
        <v>2896.2999999999997</v>
      </c>
    </row>
    <row r="1896" spans="1:26" hidden="1" x14ac:dyDescent="0.35">
      <c r="A1896">
        <v>10106</v>
      </c>
      <c r="B1896">
        <v>31</v>
      </c>
      <c r="C1896" s="3">
        <v>52.6</v>
      </c>
      <c r="D1896">
        <v>14</v>
      </c>
      <c r="E1896" s="3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 s="3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  <c r="Z1896" s="3">
        <f>Table1[[#This Row],[QUANTITYORDERED]]*Table1[[#This Row],[PRICEEACH]]</f>
        <v>1630.6000000000001</v>
      </c>
    </row>
    <row r="1897" spans="1:26" hidden="1" x14ac:dyDescent="0.35">
      <c r="A1897">
        <v>10119</v>
      </c>
      <c r="B1897">
        <v>20</v>
      </c>
      <c r="C1897" s="3">
        <v>72.98</v>
      </c>
      <c r="D1897">
        <v>5</v>
      </c>
      <c r="E1897" s="3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 s="3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  <c r="Z1897" s="3">
        <f>Table1[[#This Row],[QUANTITYORDERED]]*Table1[[#This Row],[PRICEEACH]]</f>
        <v>1459.6000000000001</v>
      </c>
    </row>
    <row r="1898" spans="1:26" hidden="1" x14ac:dyDescent="0.35">
      <c r="A1898">
        <v>10131</v>
      </c>
      <c r="B1898">
        <v>29</v>
      </c>
      <c r="C1898" s="3">
        <v>59.18</v>
      </c>
      <c r="D1898">
        <v>6</v>
      </c>
      <c r="E1898" s="3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 s="3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  <c r="Z1898" s="3">
        <f>Table1[[#This Row],[QUANTITYORDERED]]*Table1[[#This Row],[PRICEEACH]]</f>
        <v>1716.22</v>
      </c>
    </row>
    <row r="1899" spans="1:26" hidden="1" x14ac:dyDescent="0.35">
      <c r="A1899">
        <v>10143</v>
      </c>
      <c r="B1899">
        <v>33</v>
      </c>
      <c r="C1899" s="3">
        <v>77.59</v>
      </c>
      <c r="D1899">
        <v>9</v>
      </c>
      <c r="E1899" s="3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 s="3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  <c r="Z1899" s="3">
        <f>Table1[[#This Row],[QUANTITYORDERED]]*Table1[[#This Row],[PRICEEACH]]</f>
        <v>2560.4700000000003</v>
      </c>
    </row>
    <row r="1900" spans="1:26" hidden="1" x14ac:dyDescent="0.35">
      <c r="A1900">
        <v>10155</v>
      </c>
      <c r="B1900">
        <v>34</v>
      </c>
      <c r="C1900" s="3">
        <v>55.89</v>
      </c>
      <c r="D1900">
        <v>7</v>
      </c>
      <c r="E1900" s="3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 s="3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  <c r="Z1900" s="3">
        <f>Table1[[#This Row],[QUANTITYORDERED]]*Table1[[#This Row],[PRICEEACH]]</f>
        <v>1900.26</v>
      </c>
    </row>
    <row r="1901" spans="1:26" hidden="1" x14ac:dyDescent="0.35">
      <c r="A1901">
        <v>10167</v>
      </c>
      <c r="B1901">
        <v>32</v>
      </c>
      <c r="C1901" s="3">
        <v>63.12</v>
      </c>
      <c r="D1901">
        <v>3</v>
      </c>
      <c r="E1901" s="3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 s="3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  <c r="Z1901" s="3">
        <f>Table1[[#This Row],[QUANTITYORDERED]]*Table1[[#This Row],[PRICEEACH]]</f>
        <v>2019.84</v>
      </c>
    </row>
    <row r="1902" spans="1:26" hidden="1" x14ac:dyDescent="0.35">
      <c r="A1902">
        <v>10178</v>
      </c>
      <c r="B1902">
        <v>27</v>
      </c>
      <c r="C1902" s="3">
        <v>73.64</v>
      </c>
      <c r="D1902">
        <v>6</v>
      </c>
      <c r="E1902" s="3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 s="3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  <c r="Z1902" s="3">
        <f>Table1[[#This Row],[QUANTITYORDERED]]*Table1[[#This Row],[PRICEEACH]]</f>
        <v>1988.28</v>
      </c>
    </row>
    <row r="1903" spans="1:26" hidden="1" x14ac:dyDescent="0.35">
      <c r="A1903">
        <v>10186</v>
      </c>
      <c r="B1903">
        <v>21</v>
      </c>
      <c r="C1903" s="3">
        <v>69.040000000000006</v>
      </c>
      <c r="D1903">
        <v>3</v>
      </c>
      <c r="E1903" s="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 s="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  <c r="Z1903" s="3">
        <f>Table1[[#This Row],[QUANTITYORDERED]]*Table1[[#This Row],[PRICEEACH]]</f>
        <v>1449.8400000000001</v>
      </c>
    </row>
    <row r="1904" spans="1:26" hidden="1" x14ac:dyDescent="0.35">
      <c r="A1904">
        <v>10198</v>
      </c>
      <c r="B1904">
        <v>27</v>
      </c>
      <c r="C1904" s="3">
        <v>71.67</v>
      </c>
      <c r="D1904">
        <v>6</v>
      </c>
      <c r="E1904" s="3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 s="3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  <c r="Z1904" s="3">
        <f>Table1[[#This Row],[QUANTITYORDERED]]*Table1[[#This Row],[PRICEEACH]]</f>
        <v>1935.0900000000001</v>
      </c>
    </row>
    <row r="1905" spans="1:26" hidden="1" x14ac:dyDescent="0.35">
      <c r="A1905">
        <v>10209</v>
      </c>
      <c r="B1905">
        <v>36</v>
      </c>
      <c r="C1905" s="3">
        <v>77.59</v>
      </c>
      <c r="D1905">
        <v>2</v>
      </c>
      <c r="E1905" s="3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 s="3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  <c r="Z1905" s="3">
        <f>Table1[[#This Row],[QUANTITYORDERED]]*Table1[[#This Row],[PRICEEACH]]</f>
        <v>2793.2400000000002</v>
      </c>
    </row>
    <row r="1906" spans="1:26" hidden="1" x14ac:dyDescent="0.35">
      <c r="A1906">
        <v>10222</v>
      </c>
      <c r="B1906">
        <v>43</v>
      </c>
      <c r="C1906" s="3">
        <v>70.349999999999994</v>
      </c>
      <c r="D1906">
        <v>6</v>
      </c>
      <c r="E1906" s="3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 s="3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  <c r="Z1906" s="3">
        <f>Table1[[#This Row],[QUANTITYORDERED]]*Table1[[#This Row],[PRICEEACH]]</f>
        <v>3025.0499999999997</v>
      </c>
    </row>
    <row r="1907" spans="1:26" hidden="1" x14ac:dyDescent="0.35">
      <c r="A1907">
        <v>10249</v>
      </c>
      <c r="B1907">
        <v>25</v>
      </c>
      <c r="C1907" s="3">
        <v>69.7</v>
      </c>
      <c r="D1907">
        <v>2</v>
      </c>
      <c r="E1907" s="3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 s="3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  <c r="Z1907" s="3">
        <f>Table1[[#This Row],[QUANTITYORDERED]]*Table1[[#This Row],[PRICEEACH]]</f>
        <v>1742.5</v>
      </c>
    </row>
    <row r="1908" spans="1:26" hidden="1" x14ac:dyDescent="0.35">
      <c r="A1908">
        <v>10262</v>
      </c>
      <c r="B1908">
        <v>46</v>
      </c>
      <c r="C1908" s="3">
        <v>70.349999999999994</v>
      </c>
      <c r="D1908">
        <v>11</v>
      </c>
      <c r="E1908" s="3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 s="3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  <c r="Z1908" s="3">
        <f>Table1[[#This Row],[QUANTITYORDERED]]*Table1[[#This Row],[PRICEEACH]]</f>
        <v>3236.1</v>
      </c>
    </row>
    <row r="1909" spans="1:26" hidden="1" x14ac:dyDescent="0.35">
      <c r="A1909">
        <v>10274</v>
      </c>
      <c r="B1909">
        <v>24</v>
      </c>
      <c r="C1909" s="3">
        <v>72.33</v>
      </c>
      <c r="D1909">
        <v>3</v>
      </c>
      <c r="E1909" s="3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 s="3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  <c r="Z1909" s="3">
        <f>Table1[[#This Row],[QUANTITYORDERED]]*Table1[[#This Row],[PRICEEACH]]</f>
        <v>1735.92</v>
      </c>
    </row>
    <row r="1910" spans="1:26" hidden="1" x14ac:dyDescent="0.35">
      <c r="A1910">
        <v>10284</v>
      </c>
      <c r="B1910">
        <v>39</v>
      </c>
      <c r="C1910" s="3">
        <v>71.67</v>
      </c>
      <c r="D1910">
        <v>13</v>
      </c>
      <c r="E1910" s="3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 s="3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  <c r="Z1910" s="3">
        <f>Table1[[#This Row],[QUANTITYORDERED]]*Table1[[#This Row],[PRICEEACH]]</f>
        <v>2795.13</v>
      </c>
    </row>
    <row r="1911" spans="1:26" hidden="1" x14ac:dyDescent="0.35">
      <c r="A1911">
        <v>10296</v>
      </c>
      <c r="B1911">
        <v>31</v>
      </c>
      <c r="C1911" s="3">
        <v>53.92</v>
      </c>
      <c r="D1911">
        <v>9</v>
      </c>
      <c r="E1911" s="3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 s="3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  <c r="Z1911" s="3">
        <f>Table1[[#This Row],[QUANTITYORDERED]]*Table1[[#This Row],[PRICEEACH]]</f>
        <v>1671.52</v>
      </c>
    </row>
    <row r="1912" spans="1:26" hidden="1" x14ac:dyDescent="0.35">
      <c r="A1912">
        <v>10307</v>
      </c>
      <c r="B1912">
        <v>22</v>
      </c>
      <c r="C1912" s="3">
        <v>71.67</v>
      </c>
      <c r="D1912">
        <v>3</v>
      </c>
      <c r="E1912" s="3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 s="3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  <c r="Z1912" s="3">
        <f>Table1[[#This Row],[QUANTITYORDERED]]*Table1[[#This Row],[PRICEEACH]]</f>
        <v>1576.74</v>
      </c>
    </row>
    <row r="1913" spans="1:26" hidden="1" x14ac:dyDescent="0.35">
      <c r="A1913">
        <v>10316</v>
      </c>
      <c r="B1913">
        <v>47</v>
      </c>
      <c r="C1913" s="3">
        <v>76.930000000000007</v>
      </c>
      <c r="D1913">
        <v>11</v>
      </c>
      <c r="E1913" s="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 s="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  <c r="Z1913" s="3">
        <f>Table1[[#This Row],[QUANTITYORDERED]]*Table1[[#This Row],[PRICEEACH]]</f>
        <v>3615.7100000000005</v>
      </c>
    </row>
    <row r="1914" spans="1:26" hidden="1" x14ac:dyDescent="0.35">
      <c r="A1914">
        <v>10328</v>
      </c>
      <c r="B1914">
        <v>20</v>
      </c>
      <c r="C1914" s="3">
        <v>72.98</v>
      </c>
      <c r="D1914">
        <v>2</v>
      </c>
      <c r="E1914" s="3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 s="3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  <c r="Z1914" s="3">
        <f>Table1[[#This Row],[QUANTITYORDERED]]*Table1[[#This Row],[PRICEEACH]]</f>
        <v>1459.6000000000001</v>
      </c>
    </row>
    <row r="1915" spans="1:26" hidden="1" x14ac:dyDescent="0.35">
      <c r="A1915">
        <v>10339</v>
      </c>
      <c r="B1915">
        <v>29</v>
      </c>
      <c r="C1915" s="3">
        <v>99.69</v>
      </c>
      <c r="D1915">
        <v>14</v>
      </c>
      <c r="E1915" s="3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 s="3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  <c r="Z1915" s="3">
        <f>Table1[[#This Row],[QUANTITYORDERED]]*Table1[[#This Row],[PRICEEACH]]</f>
        <v>2891.0099999999998</v>
      </c>
    </row>
    <row r="1916" spans="1:26" hidden="1" x14ac:dyDescent="0.35">
      <c r="A1916">
        <v>10351</v>
      </c>
      <c r="B1916">
        <v>38</v>
      </c>
      <c r="C1916" s="3">
        <v>68.38</v>
      </c>
      <c r="D1916">
        <v>4</v>
      </c>
      <c r="E1916" s="3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 s="3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  <c r="Z1916" s="3">
        <f>Table1[[#This Row],[QUANTITYORDERED]]*Table1[[#This Row],[PRICEEACH]]</f>
        <v>2598.4399999999996</v>
      </c>
    </row>
    <row r="1917" spans="1:26" hidden="1" x14ac:dyDescent="0.35">
      <c r="A1917">
        <v>10361</v>
      </c>
      <c r="B1917">
        <v>34</v>
      </c>
      <c r="C1917" s="3">
        <v>100</v>
      </c>
      <c r="D1917">
        <v>6</v>
      </c>
      <c r="E1917" s="3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 s="3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  <c r="Z1917" s="3">
        <f>Table1[[#This Row],[QUANTITYORDERED]]*Table1[[#This Row],[PRICEEACH]]</f>
        <v>3400</v>
      </c>
    </row>
    <row r="1918" spans="1:26" hidden="1" x14ac:dyDescent="0.35">
      <c r="A1918">
        <v>10373</v>
      </c>
      <c r="B1918">
        <v>46</v>
      </c>
      <c r="C1918" s="3">
        <v>66</v>
      </c>
      <c r="D1918">
        <v>11</v>
      </c>
      <c r="E1918" s="3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 s="3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  <c r="Z1918" s="3">
        <f>Table1[[#This Row],[QUANTITYORDERED]]*Table1[[#This Row],[PRICEEACH]]</f>
        <v>3036</v>
      </c>
    </row>
    <row r="1919" spans="1:26" hidden="1" x14ac:dyDescent="0.35">
      <c r="A1919">
        <v>10386</v>
      </c>
      <c r="B1919">
        <v>35</v>
      </c>
      <c r="C1919" s="3">
        <v>63.76</v>
      </c>
      <c r="D1919">
        <v>9</v>
      </c>
      <c r="E1919" s="3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 s="3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  <c r="Z1919" s="3">
        <f>Table1[[#This Row],[QUANTITYORDERED]]*Table1[[#This Row],[PRICEEACH]]</f>
        <v>2231.6</v>
      </c>
    </row>
    <row r="1920" spans="1:26" hidden="1" x14ac:dyDescent="0.35">
      <c r="A1920">
        <v>10398</v>
      </c>
      <c r="B1920">
        <v>34</v>
      </c>
      <c r="C1920" s="3">
        <v>71.67</v>
      </c>
      <c r="D1920">
        <v>13</v>
      </c>
      <c r="E1920" s="3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 s="3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  <c r="Z1920" s="3">
        <f>Table1[[#This Row],[QUANTITYORDERED]]*Table1[[#This Row],[PRICEEACH]]</f>
        <v>2436.7800000000002</v>
      </c>
    </row>
    <row r="1921" spans="1:26" hidden="1" x14ac:dyDescent="0.35">
      <c r="A1921">
        <v>10400</v>
      </c>
      <c r="B1921">
        <v>38</v>
      </c>
      <c r="C1921" s="3">
        <v>57.2</v>
      </c>
      <c r="D1921">
        <v>3</v>
      </c>
      <c r="E1921" s="3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 s="3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  <c r="Z1921" s="3">
        <f>Table1[[#This Row],[QUANTITYORDERED]]*Table1[[#This Row],[PRICEEACH]]</f>
        <v>2173.6</v>
      </c>
    </row>
    <row r="1922" spans="1:26" hidden="1" x14ac:dyDescent="0.35">
      <c r="A1922">
        <v>10415</v>
      </c>
      <c r="B1922">
        <v>18</v>
      </c>
      <c r="C1922" s="3">
        <v>69.7</v>
      </c>
      <c r="D1922">
        <v>2</v>
      </c>
      <c r="E1922" s="3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 s="3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  <c r="Z1922" s="3">
        <f>Table1[[#This Row],[QUANTITYORDERED]]*Table1[[#This Row],[PRICEEACH]]</f>
        <v>1254.6000000000001</v>
      </c>
    </row>
    <row r="1923" spans="1:26" x14ac:dyDescent="0.35">
      <c r="A1923">
        <v>10110</v>
      </c>
      <c r="B1923">
        <v>37</v>
      </c>
      <c r="C1923" s="3">
        <v>100</v>
      </c>
      <c r="D1923">
        <v>14</v>
      </c>
      <c r="E1923" s="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 s="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  <c r="Z1923" s="3">
        <f>Table1[[#This Row],[QUANTITYORDERED]]*Table1[[#This Row],[PRICEEACH]]</f>
        <v>3700</v>
      </c>
    </row>
    <row r="1924" spans="1:26" x14ac:dyDescent="0.35">
      <c r="A1924">
        <v>10124</v>
      </c>
      <c r="B1924">
        <v>43</v>
      </c>
      <c r="C1924" s="3">
        <v>100</v>
      </c>
      <c r="D1924">
        <v>13</v>
      </c>
      <c r="E1924" s="3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 s="3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  <c r="Z1924" s="3">
        <f>Table1[[#This Row],[QUANTITYORDERED]]*Table1[[#This Row],[PRICEEACH]]</f>
        <v>4300</v>
      </c>
    </row>
    <row r="1925" spans="1:26" x14ac:dyDescent="0.35">
      <c r="A1925">
        <v>10148</v>
      </c>
      <c r="B1925">
        <v>27</v>
      </c>
      <c r="C1925" s="3">
        <v>100</v>
      </c>
      <c r="D1925">
        <v>7</v>
      </c>
      <c r="E1925" s="3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 s="3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  <c r="Z1925" s="3">
        <f>Table1[[#This Row],[QUANTITYORDERED]]*Table1[[#This Row],[PRICEEACH]]</f>
        <v>2700</v>
      </c>
    </row>
    <row r="1926" spans="1:26" x14ac:dyDescent="0.35">
      <c r="A1926">
        <v>10161</v>
      </c>
      <c r="B1926">
        <v>30</v>
      </c>
      <c r="C1926" s="3">
        <v>100</v>
      </c>
      <c r="D1926">
        <v>6</v>
      </c>
      <c r="E1926" s="3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 s="3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  <c r="Z1926" s="3">
        <f>Table1[[#This Row],[QUANTITYORDERED]]*Table1[[#This Row],[PRICEEACH]]</f>
        <v>3000</v>
      </c>
    </row>
    <row r="1927" spans="1:26" x14ac:dyDescent="0.35">
      <c r="A1927">
        <v>10172</v>
      </c>
      <c r="B1927">
        <v>22</v>
      </c>
      <c r="C1927" s="3">
        <v>98.51</v>
      </c>
      <c r="D1927">
        <v>4</v>
      </c>
      <c r="E1927" s="3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 s="3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  <c r="Z1927" s="3">
        <f>Table1[[#This Row],[QUANTITYORDERED]]*Table1[[#This Row],[PRICEEACH]]</f>
        <v>2167.2200000000003</v>
      </c>
    </row>
    <row r="1928" spans="1:26" x14ac:dyDescent="0.35">
      <c r="A1928">
        <v>10182</v>
      </c>
      <c r="B1928">
        <v>49</v>
      </c>
      <c r="C1928" s="3">
        <v>100</v>
      </c>
      <c r="D1928">
        <v>17</v>
      </c>
      <c r="E1928" s="3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 s="3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  <c r="Z1928" s="3">
        <f>Table1[[#This Row],[QUANTITYORDERED]]*Table1[[#This Row],[PRICEEACH]]</f>
        <v>4900</v>
      </c>
    </row>
    <row r="1929" spans="1:26" x14ac:dyDescent="0.35">
      <c r="A1929">
        <v>10192</v>
      </c>
      <c r="B1929">
        <v>46</v>
      </c>
      <c r="C1929" s="3">
        <v>100</v>
      </c>
      <c r="D1929">
        <v>5</v>
      </c>
      <c r="E1929" s="3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 s="3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  <c r="Z1929" s="3">
        <f>Table1[[#This Row],[QUANTITYORDERED]]*Table1[[#This Row],[PRICEEACH]]</f>
        <v>4600</v>
      </c>
    </row>
    <row r="1930" spans="1:26" x14ac:dyDescent="0.35">
      <c r="A1930">
        <v>10204</v>
      </c>
      <c r="B1930">
        <v>48</v>
      </c>
      <c r="C1930" s="3">
        <v>91.02</v>
      </c>
      <c r="D1930">
        <v>11</v>
      </c>
      <c r="E1930" s="3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 s="3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  <c r="Z1930" s="3">
        <f>Table1[[#This Row],[QUANTITYORDERED]]*Table1[[#This Row],[PRICEEACH]]</f>
        <v>4368.96</v>
      </c>
    </row>
    <row r="1931" spans="1:26" x14ac:dyDescent="0.35">
      <c r="A1931">
        <v>10212</v>
      </c>
      <c r="B1931">
        <v>46</v>
      </c>
      <c r="C1931" s="3">
        <v>87.81</v>
      </c>
      <c r="D1931">
        <v>4</v>
      </c>
      <c r="E1931" s="3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 s="3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  <c r="Z1931" s="3">
        <f>Table1[[#This Row],[QUANTITYORDERED]]*Table1[[#This Row],[PRICEEACH]]</f>
        <v>4039.26</v>
      </c>
    </row>
    <row r="1932" spans="1:26" x14ac:dyDescent="0.35">
      <c r="A1932">
        <v>10226</v>
      </c>
      <c r="B1932">
        <v>48</v>
      </c>
      <c r="C1932" s="3">
        <v>92.09</v>
      </c>
      <c r="D1932">
        <v>2</v>
      </c>
      <c r="E1932" s="3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 s="3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  <c r="Z1932" s="3">
        <f>Table1[[#This Row],[QUANTITYORDERED]]*Table1[[#This Row],[PRICEEACH]]</f>
        <v>4420.32</v>
      </c>
    </row>
    <row r="1933" spans="1:26" x14ac:dyDescent="0.35">
      <c r="A1933">
        <v>10241</v>
      </c>
      <c r="B1933">
        <v>27</v>
      </c>
      <c r="C1933" s="3">
        <v>86.73</v>
      </c>
      <c r="D1933">
        <v>9</v>
      </c>
      <c r="E1933" s="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 s="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  <c r="Z1933" s="3">
        <f>Table1[[#This Row],[QUANTITYORDERED]]*Table1[[#This Row],[PRICEEACH]]</f>
        <v>2341.71</v>
      </c>
    </row>
    <row r="1934" spans="1:26" x14ac:dyDescent="0.35">
      <c r="A1934">
        <v>10267</v>
      </c>
      <c r="B1934">
        <v>43</v>
      </c>
      <c r="C1934" s="3">
        <v>100</v>
      </c>
      <c r="D1934">
        <v>6</v>
      </c>
      <c r="E1934" s="3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 s="3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  <c r="Z1934" s="3">
        <f>Table1[[#This Row],[QUANTITYORDERED]]*Table1[[#This Row],[PRICEEACH]]</f>
        <v>4300</v>
      </c>
    </row>
    <row r="1935" spans="1:26" x14ac:dyDescent="0.35">
      <c r="A1935">
        <v>10279</v>
      </c>
      <c r="B1935">
        <v>48</v>
      </c>
      <c r="C1935" s="3">
        <v>100</v>
      </c>
      <c r="D1935">
        <v>6</v>
      </c>
      <c r="E1935" s="3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 s="3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  <c r="Z1935" s="3">
        <f>Table1[[#This Row],[QUANTITYORDERED]]*Table1[[#This Row],[PRICEEACH]]</f>
        <v>4800</v>
      </c>
    </row>
    <row r="1936" spans="1:26" x14ac:dyDescent="0.35">
      <c r="A1936">
        <v>10288</v>
      </c>
      <c r="B1936">
        <v>41</v>
      </c>
      <c r="C1936" s="3">
        <v>100</v>
      </c>
      <c r="D1936">
        <v>12</v>
      </c>
      <c r="E1936" s="3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 s="3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  <c r="Z1936" s="3">
        <f>Table1[[#This Row],[QUANTITYORDERED]]*Table1[[#This Row],[PRICEEACH]]</f>
        <v>4100</v>
      </c>
    </row>
    <row r="1937" spans="1:26" x14ac:dyDescent="0.35">
      <c r="A1937">
        <v>10301</v>
      </c>
      <c r="B1937">
        <v>22</v>
      </c>
      <c r="C1937" s="3">
        <v>96.37</v>
      </c>
      <c r="D1937">
        <v>2</v>
      </c>
      <c r="E1937" s="3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 s="3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  <c r="Z1937" s="3">
        <f>Table1[[#This Row],[QUANTITYORDERED]]*Table1[[#This Row],[PRICEEACH]]</f>
        <v>2120.1400000000003</v>
      </c>
    </row>
    <row r="1938" spans="1:26" x14ac:dyDescent="0.35">
      <c r="A1938">
        <v>10311</v>
      </c>
      <c r="B1938">
        <v>46</v>
      </c>
      <c r="C1938" s="3">
        <v>92.09</v>
      </c>
      <c r="D1938">
        <v>7</v>
      </c>
      <c r="E1938" s="3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 s="3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  <c r="Z1938" s="3">
        <f>Table1[[#This Row],[QUANTITYORDERED]]*Table1[[#This Row],[PRICEEACH]]</f>
        <v>4236.1400000000003</v>
      </c>
    </row>
    <row r="1939" spans="1:26" x14ac:dyDescent="0.35">
      <c r="A1939">
        <v>10321</v>
      </c>
      <c r="B1939">
        <v>21</v>
      </c>
      <c r="C1939" s="3">
        <v>89.95</v>
      </c>
      <c r="D1939">
        <v>4</v>
      </c>
      <c r="E1939" s="3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 s="3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  <c r="Z1939" s="3">
        <f>Table1[[#This Row],[QUANTITYORDERED]]*Table1[[#This Row],[PRICEEACH]]</f>
        <v>1888.95</v>
      </c>
    </row>
    <row r="1940" spans="1:26" x14ac:dyDescent="0.35">
      <c r="A1940">
        <v>10332</v>
      </c>
      <c r="B1940">
        <v>31</v>
      </c>
      <c r="C1940" s="3">
        <v>37.18</v>
      </c>
      <c r="D1940">
        <v>13</v>
      </c>
      <c r="E1940" s="3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 s="3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  <c r="Z1940" s="3">
        <f>Table1[[#This Row],[QUANTITYORDERED]]*Table1[[#This Row],[PRICEEACH]]</f>
        <v>1152.58</v>
      </c>
    </row>
    <row r="1941" spans="1:26" x14ac:dyDescent="0.35">
      <c r="A1941">
        <v>10346</v>
      </c>
      <c r="B1941">
        <v>26</v>
      </c>
      <c r="C1941" s="3">
        <v>95.88</v>
      </c>
      <c r="D1941">
        <v>6</v>
      </c>
      <c r="E1941" s="3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 s="3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  <c r="Z1941" s="3">
        <f>Table1[[#This Row],[QUANTITYORDERED]]*Table1[[#This Row],[PRICEEACH]]</f>
        <v>2492.88</v>
      </c>
    </row>
    <row r="1942" spans="1:26" x14ac:dyDescent="0.35">
      <c r="A1942">
        <v>10368</v>
      </c>
      <c r="B1942">
        <v>20</v>
      </c>
      <c r="C1942" s="3">
        <v>99.58</v>
      </c>
      <c r="D1942">
        <v>4</v>
      </c>
      <c r="E1942" s="3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 s="3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  <c r="Z1942" s="3">
        <f>Table1[[#This Row],[QUANTITYORDERED]]*Table1[[#This Row],[PRICEEACH]]</f>
        <v>1991.6</v>
      </c>
    </row>
    <row r="1943" spans="1:26" x14ac:dyDescent="0.35">
      <c r="A1943">
        <v>10380</v>
      </c>
      <c r="B1943">
        <v>34</v>
      </c>
      <c r="C1943" s="3">
        <v>100</v>
      </c>
      <c r="D1943">
        <v>11</v>
      </c>
      <c r="E1943" s="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 s="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  <c r="Z1943" s="3">
        <f>Table1[[#This Row],[QUANTITYORDERED]]*Table1[[#This Row],[PRICEEACH]]</f>
        <v>3400</v>
      </c>
    </row>
    <row r="1944" spans="1:26" x14ac:dyDescent="0.35">
      <c r="A1944">
        <v>10407</v>
      </c>
      <c r="B1944">
        <v>43</v>
      </c>
      <c r="C1944" s="3">
        <v>86.73</v>
      </c>
      <c r="D1944">
        <v>9</v>
      </c>
      <c r="E1944" s="3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 s="3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  <c r="Z1944" s="3">
        <f>Table1[[#This Row],[QUANTITYORDERED]]*Table1[[#This Row],[PRICEEACH]]</f>
        <v>3729.3900000000003</v>
      </c>
    </row>
    <row r="1945" spans="1:26" x14ac:dyDescent="0.35">
      <c r="A1945">
        <v>10420</v>
      </c>
      <c r="B1945">
        <v>26</v>
      </c>
      <c r="C1945" s="3">
        <v>100</v>
      </c>
      <c r="D1945">
        <v>12</v>
      </c>
      <c r="E1945" s="3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 s="3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  <c r="Z1945" s="3">
        <f>Table1[[#This Row],[QUANTITYORDERED]]*Table1[[#This Row],[PRICEEACH]]</f>
        <v>2600</v>
      </c>
    </row>
    <row r="1946" spans="1:26" hidden="1" x14ac:dyDescent="0.35">
      <c r="A1946">
        <v>10105</v>
      </c>
      <c r="B1946">
        <v>50</v>
      </c>
      <c r="C1946" s="3">
        <v>79.67</v>
      </c>
      <c r="D1946">
        <v>1</v>
      </c>
      <c r="E1946" s="3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 s="3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  <c r="Z1946" s="3">
        <f>Table1[[#This Row],[QUANTITYORDERED]]*Table1[[#This Row],[PRICEEACH]]</f>
        <v>3983.5</v>
      </c>
    </row>
    <row r="1947" spans="1:26" hidden="1" x14ac:dyDescent="0.35">
      <c r="A1947">
        <v>10119</v>
      </c>
      <c r="B1947">
        <v>35</v>
      </c>
      <c r="C1947" s="3">
        <v>90.57</v>
      </c>
      <c r="D1947">
        <v>10</v>
      </c>
      <c r="E1947" s="3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 s="3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  <c r="Z1947" s="3">
        <f>Table1[[#This Row],[QUANTITYORDERED]]*Table1[[#This Row],[PRICEEACH]]</f>
        <v>3169.95</v>
      </c>
    </row>
    <row r="1948" spans="1:26" hidden="1" x14ac:dyDescent="0.35">
      <c r="A1948">
        <v>10129</v>
      </c>
      <c r="B1948">
        <v>50</v>
      </c>
      <c r="C1948" s="3">
        <v>77.989999999999995</v>
      </c>
      <c r="D1948">
        <v>1</v>
      </c>
      <c r="E1948" s="3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 s="3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  <c r="Z1948" s="3">
        <f>Table1[[#This Row],[QUANTITYORDERED]]*Table1[[#This Row],[PRICEEACH]]</f>
        <v>3899.4999999999995</v>
      </c>
    </row>
    <row r="1949" spans="1:26" hidden="1" x14ac:dyDescent="0.35">
      <c r="A1949">
        <v>10143</v>
      </c>
      <c r="B1949">
        <v>23</v>
      </c>
      <c r="C1949" s="3">
        <v>80.510000000000005</v>
      </c>
      <c r="D1949">
        <v>14</v>
      </c>
      <c r="E1949" s="3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 s="3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  <c r="Z1949" s="3">
        <f>Table1[[#This Row],[QUANTITYORDERED]]*Table1[[#This Row],[PRICEEACH]]</f>
        <v>1851.73</v>
      </c>
    </row>
    <row r="1950" spans="1:26" hidden="1" x14ac:dyDescent="0.35">
      <c r="A1950">
        <v>10155</v>
      </c>
      <c r="B1950">
        <v>37</v>
      </c>
      <c r="C1950" s="3">
        <v>67.930000000000007</v>
      </c>
      <c r="D1950">
        <v>12</v>
      </c>
      <c r="E1950" s="3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 s="3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  <c r="Z1950" s="3">
        <f>Table1[[#This Row],[QUANTITYORDERED]]*Table1[[#This Row],[PRICEEACH]]</f>
        <v>2513.4100000000003</v>
      </c>
    </row>
    <row r="1951" spans="1:26" hidden="1" x14ac:dyDescent="0.35">
      <c r="A1951">
        <v>10167</v>
      </c>
      <c r="B1951">
        <v>29</v>
      </c>
      <c r="C1951" s="3">
        <v>83.86</v>
      </c>
      <c r="D1951">
        <v>8</v>
      </c>
      <c r="E1951" s="3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 s="3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  <c r="Z1951" s="3">
        <f>Table1[[#This Row],[QUANTITYORDERED]]*Table1[[#This Row],[PRICEEACH]]</f>
        <v>2431.94</v>
      </c>
    </row>
    <row r="1952" spans="1:26" hidden="1" x14ac:dyDescent="0.35">
      <c r="A1952">
        <v>10178</v>
      </c>
      <c r="B1952">
        <v>21</v>
      </c>
      <c r="C1952" s="3">
        <v>72.12</v>
      </c>
      <c r="D1952">
        <v>11</v>
      </c>
      <c r="E1952" s="3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 s="3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  <c r="Z1952" s="3">
        <f>Table1[[#This Row],[QUANTITYORDERED]]*Table1[[#This Row],[PRICEEACH]]</f>
        <v>1514.52</v>
      </c>
    </row>
    <row r="1953" spans="1:26" hidden="1" x14ac:dyDescent="0.35">
      <c r="A1953">
        <v>10186</v>
      </c>
      <c r="B1953">
        <v>36</v>
      </c>
      <c r="C1953" s="3">
        <v>85.54</v>
      </c>
      <c r="D1953">
        <v>8</v>
      </c>
      <c r="E1953" s="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 s="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  <c r="Z1953" s="3">
        <f>Table1[[#This Row],[QUANTITYORDERED]]*Table1[[#This Row],[PRICEEACH]]</f>
        <v>3079.44</v>
      </c>
    </row>
    <row r="1954" spans="1:26" hidden="1" x14ac:dyDescent="0.35">
      <c r="A1954">
        <v>10197</v>
      </c>
      <c r="B1954">
        <v>22</v>
      </c>
      <c r="C1954" s="3">
        <v>86.38</v>
      </c>
      <c r="D1954">
        <v>5</v>
      </c>
      <c r="E1954" s="3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 s="3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  <c r="Z1954" s="3">
        <f>Table1[[#This Row],[QUANTITYORDERED]]*Table1[[#This Row],[PRICEEACH]]</f>
        <v>1900.36</v>
      </c>
    </row>
    <row r="1955" spans="1:26" hidden="1" x14ac:dyDescent="0.35">
      <c r="A1955">
        <v>10209</v>
      </c>
      <c r="B1955">
        <v>22</v>
      </c>
      <c r="C1955" s="3">
        <v>89.73</v>
      </c>
      <c r="D1955">
        <v>7</v>
      </c>
      <c r="E1955" s="3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 s="3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  <c r="Z1955" s="3">
        <f>Table1[[#This Row],[QUANTITYORDERED]]*Table1[[#This Row],[PRICEEACH]]</f>
        <v>1974.0600000000002</v>
      </c>
    </row>
    <row r="1956" spans="1:26" hidden="1" x14ac:dyDescent="0.35">
      <c r="A1956">
        <v>10222</v>
      </c>
      <c r="B1956">
        <v>46</v>
      </c>
      <c r="C1956" s="3">
        <v>80.510000000000005</v>
      </c>
      <c r="D1956">
        <v>11</v>
      </c>
      <c r="E1956" s="3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 s="3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  <c r="Z1956" s="3">
        <f>Table1[[#This Row],[QUANTITYORDERED]]*Table1[[#This Row],[PRICEEACH]]</f>
        <v>3703.46</v>
      </c>
    </row>
    <row r="1957" spans="1:26" hidden="1" x14ac:dyDescent="0.35">
      <c r="A1957">
        <v>10248</v>
      </c>
      <c r="B1957">
        <v>23</v>
      </c>
      <c r="C1957" s="3">
        <v>76.31</v>
      </c>
      <c r="D1957">
        <v>2</v>
      </c>
      <c r="E1957" s="3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 s="3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  <c r="Z1957" s="3">
        <f>Table1[[#This Row],[QUANTITYORDERED]]*Table1[[#This Row],[PRICEEACH]]</f>
        <v>1755.13</v>
      </c>
    </row>
    <row r="1958" spans="1:26" hidden="1" x14ac:dyDescent="0.35">
      <c r="A1958">
        <v>10262</v>
      </c>
      <c r="B1958">
        <v>49</v>
      </c>
      <c r="C1958" s="3">
        <v>87.21</v>
      </c>
      <c r="D1958">
        <v>16</v>
      </c>
      <c r="E1958" s="3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 s="3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  <c r="Z1958" s="3">
        <f>Table1[[#This Row],[QUANTITYORDERED]]*Table1[[#This Row],[PRICEEACH]]</f>
        <v>4273.29</v>
      </c>
    </row>
    <row r="1959" spans="1:26" hidden="1" x14ac:dyDescent="0.35">
      <c r="A1959">
        <v>10273</v>
      </c>
      <c r="B1959">
        <v>48</v>
      </c>
      <c r="C1959" s="3">
        <v>83.02</v>
      </c>
      <c r="D1959">
        <v>3</v>
      </c>
      <c r="E1959" s="3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 s="3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  <c r="Z1959" s="3">
        <f>Table1[[#This Row],[QUANTITYORDERED]]*Table1[[#This Row],[PRICEEACH]]</f>
        <v>3984.96</v>
      </c>
    </row>
    <row r="1960" spans="1:26" hidden="1" x14ac:dyDescent="0.35">
      <c r="A1960">
        <v>10283</v>
      </c>
      <c r="B1960">
        <v>33</v>
      </c>
      <c r="C1960" s="3">
        <v>72.959999999999994</v>
      </c>
      <c r="D1960">
        <v>5</v>
      </c>
      <c r="E1960" s="3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 s="3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  <c r="Z1960" s="3">
        <f>Table1[[#This Row],[QUANTITYORDERED]]*Table1[[#This Row],[PRICEEACH]]</f>
        <v>2407.6799999999998</v>
      </c>
    </row>
    <row r="1961" spans="1:26" hidden="1" x14ac:dyDescent="0.35">
      <c r="A1961">
        <v>10296</v>
      </c>
      <c r="B1961">
        <v>22</v>
      </c>
      <c r="C1961" s="3">
        <v>77.150000000000006</v>
      </c>
      <c r="D1961">
        <v>14</v>
      </c>
      <c r="E1961" s="3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 s="3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  <c r="Z1961" s="3">
        <f>Table1[[#This Row],[QUANTITYORDERED]]*Table1[[#This Row],[PRICEEACH]]</f>
        <v>1697.3000000000002</v>
      </c>
    </row>
    <row r="1962" spans="1:26" hidden="1" x14ac:dyDescent="0.35">
      <c r="A1962">
        <v>10307</v>
      </c>
      <c r="B1962">
        <v>22</v>
      </c>
      <c r="C1962" s="3">
        <v>91.41</v>
      </c>
      <c r="D1962">
        <v>8</v>
      </c>
      <c r="E1962" s="3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 s="3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  <c r="Z1962" s="3">
        <f>Table1[[#This Row],[QUANTITYORDERED]]*Table1[[#This Row],[PRICEEACH]]</f>
        <v>2011.02</v>
      </c>
    </row>
    <row r="1963" spans="1:26" hidden="1" x14ac:dyDescent="0.35">
      <c r="A1963">
        <v>10316</v>
      </c>
      <c r="B1963">
        <v>25</v>
      </c>
      <c r="C1963" s="3">
        <v>92.25</v>
      </c>
      <c r="D1963">
        <v>16</v>
      </c>
      <c r="E1963" s="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 s="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  <c r="Z1963" s="3">
        <f>Table1[[#This Row],[QUANTITYORDERED]]*Table1[[#This Row],[PRICEEACH]]</f>
        <v>2306.25</v>
      </c>
    </row>
    <row r="1964" spans="1:26" hidden="1" x14ac:dyDescent="0.35">
      <c r="A1964">
        <v>10326</v>
      </c>
      <c r="B1964">
        <v>20</v>
      </c>
      <c r="C1964" s="3">
        <v>92.25</v>
      </c>
      <c r="D1964">
        <v>2</v>
      </c>
      <c r="E1964" s="3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 s="3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  <c r="Z1964" s="3">
        <f>Table1[[#This Row],[QUANTITYORDERED]]*Table1[[#This Row],[PRICEEACH]]</f>
        <v>1845</v>
      </c>
    </row>
    <row r="1965" spans="1:26" hidden="1" x14ac:dyDescent="0.35">
      <c r="A1965">
        <v>10339</v>
      </c>
      <c r="B1965">
        <v>42</v>
      </c>
      <c r="C1965" s="3">
        <v>59.36</v>
      </c>
      <c r="D1965">
        <v>16</v>
      </c>
      <c r="E1965" s="3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 s="3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  <c r="Z1965" s="3">
        <f>Table1[[#This Row],[QUANTITYORDERED]]*Table1[[#This Row],[PRICEEACH]]</f>
        <v>2493.12</v>
      </c>
    </row>
    <row r="1966" spans="1:26" hidden="1" x14ac:dyDescent="0.35">
      <c r="A1966">
        <v>10350</v>
      </c>
      <c r="B1966">
        <v>25</v>
      </c>
      <c r="C1966" s="3">
        <v>60.34</v>
      </c>
      <c r="D1966">
        <v>10</v>
      </c>
      <c r="E1966" s="3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 s="3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  <c r="Z1966" s="3">
        <f>Table1[[#This Row],[QUANTITYORDERED]]*Table1[[#This Row],[PRICEEACH]]</f>
        <v>1508.5</v>
      </c>
    </row>
    <row r="1967" spans="1:26" hidden="1" x14ac:dyDescent="0.35">
      <c r="A1967">
        <v>10373</v>
      </c>
      <c r="B1967">
        <v>23</v>
      </c>
      <c r="C1967" s="3">
        <v>100</v>
      </c>
      <c r="D1967">
        <v>10</v>
      </c>
      <c r="E1967" s="3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 s="3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  <c r="Z1967" s="3">
        <f>Table1[[#This Row],[QUANTITYORDERED]]*Table1[[#This Row],[PRICEEACH]]</f>
        <v>2300</v>
      </c>
    </row>
    <row r="1968" spans="1:26" hidden="1" x14ac:dyDescent="0.35">
      <c r="A1968">
        <v>10385</v>
      </c>
      <c r="B1968">
        <v>37</v>
      </c>
      <c r="C1968" s="3">
        <v>85.54</v>
      </c>
      <c r="D1968">
        <v>2</v>
      </c>
      <c r="E1968" s="3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 s="3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  <c r="Z1968" s="3">
        <f>Table1[[#This Row],[QUANTITYORDERED]]*Table1[[#This Row],[PRICEEACH]]</f>
        <v>3164.98</v>
      </c>
    </row>
    <row r="1969" spans="1:26" hidden="1" x14ac:dyDescent="0.35">
      <c r="A1969">
        <v>10396</v>
      </c>
      <c r="B1969">
        <v>37</v>
      </c>
      <c r="C1969" s="3">
        <v>90.57</v>
      </c>
      <c r="D1969">
        <v>8</v>
      </c>
      <c r="E1969" s="3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 s="3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  <c r="Z1969" s="3">
        <f>Table1[[#This Row],[QUANTITYORDERED]]*Table1[[#This Row],[PRICEEACH]]</f>
        <v>3351.0899999999997</v>
      </c>
    </row>
    <row r="1970" spans="1:26" hidden="1" x14ac:dyDescent="0.35">
      <c r="A1970">
        <v>10400</v>
      </c>
      <c r="B1970">
        <v>42</v>
      </c>
      <c r="C1970" s="3">
        <v>72.959999999999994</v>
      </c>
      <c r="D1970">
        <v>8</v>
      </c>
      <c r="E1970" s="3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 s="3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  <c r="Z1970" s="3">
        <f>Table1[[#This Row],[QUANTITYORDERED]]*Table1[[#This Row],[PRICEEACH]]</f>
        <v>3064.3199999999997</v>
      </c>
    </row>
    <row r="1971" spans="1:26" hidden="1" x14ac:dyDescent="0.35">
      <c r="A1971">
        <v>10414</v>
      </c>
      <c r="B1971">
        <v>51</v>
      </c>
      <c r="C1971" s="3">
        <v>76.31</v>
      </c>
      <c r="D1971">
        <v>2</v>
      </c>
      <c r="E1971" s="3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 s="3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  <c r="Z1971" s="3">
        <f>Table1[[#This Row],[QUANTITYORDERED]]*Table1[[#This Row],[PRICEEACH]]</f>
        <v>3891.81</v>
      </c>
    </row>
    <row r="1972" spans="1:26" x14ac:dyDescent="0.35">
      <c r="A1972">
        <v>10108</v>
      </c>
      <c r="B1972">
        <v>40</v>
      </c>
      <c r="C1972" s="3">
        <v>100</v>
      </c>
      <c r="D1972">
        <v>1</v>
      </c>
      <c r="E1972" s="3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 s="3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  <c r="Z1972" s="3">
        <f>Table1[[#This Row],[QUANTITYORDERED]]*Table1[[#This Row],[PRICEEACH]]</f>
        <v>4000</v>
      </c>
    </row>
    <row r="1973" spans="1:26" x14ac:dyDescent="0.35">
      <c r="A1973">
        <v>10122</v>
      </c>
      <c r="B1973">
        <v>43</v>
      </c>
      <c r="C1973" s="3">
        <v>100</v>
      </c>
      <c r="D1973">
        <v>5</v>
      </c>
      <c r="E1973" s="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 s="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  <c r="Z1973" s="3">
        <f>Table1[[#This Row],[QUANTITYORDERED]]*Table1[[#This Row],[PRICEEACH]]</f>
        <v>4300</v>
      </c>
    </row>
    <row r="1974" spans="1:26" x14ac:dyDescent="0.35">
      <c r="A1974">
        <v>10135</v>
      </c>
      <c r="B1974">
        <v>47</v>
      </c>
      <c r="C1974" s="3">
        <v>100</v>
      </c>
      <c r="D1974">
        <v>2</v>
      </c>
      <c r="E1974" s="3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 s="3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  <c r="Z1974" s="3">
        <f>Table1[[#This Row],[QUANTITYORDERED]]*Table1[[#This Row],[PRICEEACH]]</f>
        <v>4700</v>
      </c>
    </row>
    <row r="1975" spans="1:26" x14ac:dyDescent="0.35">
      <c r="A1975">
        <v>10147</v>
      </c>
      <c r="B1975">
        <v>23</v>
      </c>
      <c r="C1975" s="3">
        <v>100</v>
      </c>
      <c r="D1975">
        <v>2</v>
      </c>
      <c r="E1975" s="3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 s="3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  <c r="Z1975" s="3">
        <f>Table1[[#This Row],[QUANTITYORDERED]]*Table1[[#This Row],[PRICEEACH]]</f>
        <v>2300</v>
      </c>
    </row>
    <row r="1976" spans="1:26" x14ac:dyDescent="0.35">
      <c r="A1976">
        <v>10160</v>
      </c>
      <c r="B1976">
        <v>35</v>
      </c>
      <c r="C1976" s="3">
        <v>100</v>
      </c>
      <c r="D1976">
        <v>3</v>
      </c>
      <c r="E1976" s="3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 s="3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  <c r="Z1976" s="3">
        <f>Table1[[#This Row],[QUANTITYORDERED]]*Table1[[#This Row],[PRICEEACH]]</f>
        <v>3500</v>
      </c>
    </row>
    <row r="1977" spans="1:26" x14ac:dyDescent="0.35">
      <c r="A1977">
        <v>10170</v>
      </c>
      <c r="B1977">
        <v>34</v>
      </c>
      <c r="C1977" s="3">
        <v>100</v>
      </c>
      <c r="D1977">
        <v>1</v>
      </c>
      <c r="E1977" s="3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 s="3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  <c r="Z1977" s="3">
        <f>Table1[[#This Row],[QUANTITYORDERED]]*Table1[[#This Row],[PRICEEACH]]</f>
        <v>3400</v>
      </c>
    </row>
    <row r="1978" spans="1:26" x14ac:dyDescent="0.35">
      <c r="A1978">
        <v>10181</v>
      </c>
      <c r="B1978">
        <v>25</v>
      </c>
      <c r="C1978" s="3">
        <v>100</v>
      </c>
      <c r="D1978">
        <v>9</v>
      </c>
      <c r="E1978" s="3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 s="3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  <c r="Z1978" s="3">
        <f>Table1[[#This Row],[QUANTITYORDERED]]*Table1[[#This Row],[PRICEEACH]]</f>
        <v>2500</v>
      </c>
    </row>
    <row r="1979" spans="1:26" x14ac:dyDescent="0.35">
      <c r="A1979">
        <v>10192</v>
      </c>
      <c r="B1979">
        <v>45</v>
      </c>
      <c r="C1979" s="3">
        <v>100</v>
      </c>
      <c r="D1979">
        <v>14</v>
      </c>
      <c r="E1979" s="3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 s="3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  <c r="Z1979" s="3">
        <f>Table1[[#This Row],[QUANTITYORDERED]]*Table1[[#This Row],[PRICEEACH]]</f>
        <v>4500</v>
      </c>
    </row>
    <row r="1980" spans="1:26" x14ac:dyDescent="0.35">
      <c r="A1980">
        <v>10203</v>
      </c>
      <c r="B1980">
        <v>47</v>
      </c>
      <c r="C1980" s="3">
        <v>100</v>
      </c>
      <c r="D1980">
        <v>3</v>
      </c>
      <c r="E1980" s="3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 s="3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  <c r="Z1980" s="3">
        <f>Table1[[#This Row],[QUANTITYORDERED]]*Table1[[#This Row],[PRICEEACH]]</f>
        <v>4700</v>
      </c>
    </row>
    <row r="1981" spans="1:26" x14ac:dyDescent="0.35">
      <c r="A1981">
        <v>10212</v>
      </c>
      <c r="B1981">
        <v>49</v>
      </c>
      <c r="C1981" s="3">
        <v>100</v>
      </c>
      <c r="D1981">
        <v>13</v>
      </c>
      <c r="E1981" s="3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 s="3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  <c r="Z1981" s="3">
        <f>Table1[[#This Row],[QUANTITYORDERED]]*Table1[[#This Row],[PRICEEACH]]</f>
        <v>4900</v>
      </c>
    </row>
    <row r="1982" spans="1:26" x14ac:dyDescent="0.35">
      <c r="A1982">
        <v>10225</v>
      </c>
      <c r="B1982">
        <v>40</v>
      </c>
      <c r="C1982" s="3">
        <v>100</v>
      </c>
      <c r="D1982">
        <v>4</v>
      </c>
      <c r="E1982" s="3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 s="3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  <c r="Z1982" s="3">
        <f>Table1[[#This Row],[QUANTITYORDERED]]*Table1[[#This Row],[PRICEEACH]]</f>
        <v>4000</v>
      </c>
    </row>
    <row r="1983" spans="1:26" x14ac:dyDescent="0.35">
      <c r="A1983">
        <v>10239</v>
      </c>
      <c r="B1983">
        <v>29</v>
      </c>
      <c r="C1983" s="3">
        <v>100</v>
      </c>
      <c r="D1983">
        <v>3</v>
      </c>
      <c r="E1983" s="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 s="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  <c r="Z1983" s="3">
        <f>Table1[[#This Row],[QUANTITYORDERED]]*Table1[[#This Row],[PRICEEACH]]</f>
        <v>2900</v>
      </c>
    </row>
    <row r="1984" spans="1:26" x14ac:dyDescent="0.35">
      <c r="A1984">
        <v>10253</v>
      </c>
      <c r="B1984">
        <v>39</v>
      </c>
      <c r="C1984" s="3">
        <v>100</v>
      </c>
      <c r="D1984">
        <v>8</v>
      </c>
      <c r="E1984" s="3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 s="3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  <c r="Z1984" s="3">
        <f>Table1[[#This Row],[QUANTITYORDERED]]*Table1[[#This Row],[PRICEEACH]]</f>
        <v>3900</v>
      </c>
    </row>
    <row r="1985" spans="1:26" x14ac:dyDescent="0.35">
      <c r="A1985">
        <v>10266</v>
      </c>
      <c r="B1985">
        <v>24</v>
      </c>
      <c r="C1985" s="3">
        <v>100</v>
      </c>
      <c r="D1985">
        <v>9</v>
      </c>
      <c r="E1985" s="3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 s="3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  <c r="Z1985" s="3">
        <f>Table1[[#This Row],[QUANTITYORDERED]]*Table1[[#This Row],[PRICEEACH]]</f>
        <v>2400</v>
      </c>
    </row>
    <row r="1986" spans="1:26" x14ac:dyDescent="0.35">
      <c r="A1986">
        <v>10278</v>
      </c>
      <c r="B1986">
        <v>25</v>
      </c>
      <c r="C1986" s="3">
        <v>100</v>
      </c>
      <c r="D1986">
        <v>9</v>
      </c>
      <c r="E1986" s="3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 s="3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  <c r="Z1986" s="3">
        <f>Table1[[#This Row],[QUANTITYORDERED]]*Table1[[#This Row],[PRICEEACH]]</f>
        <v>2500</v>
      </c>
    </row>
    <row r="1987" spans="1:26" x14ac:dyDescent="0.35">
      <c r="A1987">
        <v>10287</v>
      </c>
      <c r="B1987">
        <v>36</v>
      </c>
      <c r="C1987" s="3">
        <v>100</v>
      </c>
      <c r="D1987">
        <v>7</v>
      </c>
      <c r="E1987" s="3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 s="3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  <c r="Z1987" s="3">
        <f>Table1[[#This Row],[QUANTITYORDERED]]*Table1[[#This Row],[PRICEEACH]]</f>
        <v>3600</v>
      </c>
    </row>
    <row r="1988" spans="1:26" x14ac:dyDescent="0.35">
      <c r="A1988">
        <v>10301</v>
      </c>
      <c r="B1988">
        <v>50</v>
      </c>
      <c r="C1988" s="3">
        <v>100</v>
      </c>
      <c r="D1988">
        <v>11</v>
      </c>
      <c r="E1988" s="3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 s="3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  <c r="Z1988" s="3">
        <f>Table1[[#This Row],[QUANTITYORDERED]]*Table1[[#This Row],[PRICEEACH]]</f>
        <v>5000</v>
      </c>
    </row>
    <row r="1989" spans="1:26" x14ac:dyDescent="0.35">
      <c r="A1989">
        <v>10310</v>
      </c>
      <c r="B1989">
        <v>45</v>
      </c>
      <c r="C1989" s="3">
        <v>100</v>
      </c>
      <c r="D1989">
        <v>5</v>
      </c>
      <c r="E1989" s="3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 s="3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  <c r="Z1989" s="3">
        <f>Table1[[#This Row],[QUANTITYORDERED]]*Table1[[#This Row],[PRICEEACH]]</f>
        <v>4500</v>
      </c>
    </row>
    <row r="1990" spans="1:26" x14ac:dyDescent="0.35">
      <c r="A1990">
        <v>10321</v>
      </c>
      <c r="B1990">
        <v>26</v>
      </c>
      <c r="C1990" s="3">
        <v>100</v>
      </c>
      <c r="D1990">
        <v>13</v>
      </c>
      <c r="E1990" s="3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 s="3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  <c r="Z1990" s="3">
        <f>Table1[[#This Row],[QUANTITYORDERED]]*Table1[[#This Row],[PRICEEACH]]</f>
        <v>2600</v>
      </c>
    </row>
    <row r="1991" spans="1:26" x14ac:dyDescent="0.35">
      <c r="A1991">
        <v>10331</v>
      </c>
      <c r="B1991">
        <v>21</v>
      </c>
      <c r="C1991" s="3">
        <v>100</v>
      </c>
      <c r="D1991">
        <v>1</v>
      </c>
      <c r="E1991" s="3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 s="3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  <c r="Z1991" s="3">
        <f>Table1[[#This Row],[QUANTITYORDERED]]*Table1[[#This Row],[PRICEEACH]]</f>
        <v>2100</v>
      </c>
    </row>
    <row r="1992" spans="1:26" x14ac:dyDescent="0.35">
      <c r="A1992">
        <v>10342</v>
      </c>
      <c r="B1992">
        <v>42</v>
      </c>
      <c r="C1992" s="3">
        <v>100</v>
      </c>
      <c r="D1992">
        <v>6</v>
      </c>
      <c r="E1992" s="3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 s="3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  <c r="Z1992" s="3">
        <f>Table1[[#This Row],[QUANTITYORDERED]]*Table1[[#This Row],[PRICEEACH]]</f>
        <v>4200</v>
      </c>
    </row>
    <row r="1993" spans="1:26" x14ac:dyDescent="0.35">
      <c r="A1993">
        <v>10355</v>
      </c>
      <c r="B1993">
        <v>32</v>
      </c>
      <c r="C1993" s="3">
        <v>100</v>
      </c>
      <c r="D1993">
        <v>8</v>
      </c>
      <c r="E1993" s="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 s="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  <c r="Z1993" s="3">
        <f>Table1[[#This Row],[QUANTITYORDERED]]*Table1[[#This Row],[PRICEEACH]]</f>
        <v>3200</v>
      </c>
    </row>
    <row r="1994" spans="1:26" x14ac:dyDescent="0.35">
      <c r="A1994">
        <v>10363</v>
      </c>
      <c r="B1994">
        <v>31</v>
      </c>
      <c r="C1994" s="3">
        <v>94.58</v>
      </c>
      <c r="D1994">
        <v>1</v>
      </c>
      <c r="E1994" s="3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 s="3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  <c r="Z1994" s="3">
        <f>Table1[[#This Row],[QUANTITYORDERED]]*Table1[[#This Row],[PRICEEACH]]</f>
        <v>2931.98</v>
      </c>
    </row>
    <row r="1995" spans="1:26" x14ac:dyDescent="0.35">
      <c r="A1995">
        <v>10378</v>
      </c>
      <c r="B1995">
        <v>33</v>
      </c>
      <c r="C1995" s="3">
        <v>53.27</v>
      </c>
      <c r="D1995">
        <v>3</v>
      </c>
      <c r="E1995" s="3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 s="3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  <c r="Z1995" s="3">
        <f>Table1[[#This Row],[QUANTITYORDERED]]*Table1[[#This Row],[PRICEEACH]]</f>
        <v>1757.91</v>
      </c>
    </row>
    <row r="1996" spans="1:26" x14ac:dyDescent="0.35">
      <c r="A1996">
        <v>10390</v>
      </c>
      <c r="B1996">
        <v>45</v>
      </c>
      <c r="C1996" s="3">
        <v>100</v>
      </c>
      <c r="D1996">
        <v>8</v>
      </c>
      <c r="E1996" s="3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 s="3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  <c r="Z1996" s="3">
        <f>Table1[[#This Row],[QUANTITYORDERED]]*Table1[[#This Row],[PRICEEACH]]</f>
        <v>4500</v>
      </c>
    </row>
    <row r="1997" spans="1:26" x14ac:dyDescent="0.35">
      <c r="A1997">
        <v>10405</v>
      </c>
      <c r="B1997">
        <v>76</v>
      </c>
      <c r="C1997" s="3">
        <v>100</v>
      </c>
      <c r="D1997">
        <v>3</v>
      </c>
      <c r="E1997" s="3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 s="3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  <c r="Z1997" s="3">
        <f>Table1[[#This Row],[QUANTITYORDERED]]*Table1[[#This Row],[PRICEEACH]]</f>
        <v>7600</v>
      </c>
    </row>
    <row r="1998" spans="1:26" x14ac:dyDescent="0.35">
      <c r="A1998">
        <v>10419</v>
      </c>
      <c r="B1998">
        <v>70</v>
      </c>
      <c r="C1998" s="3">
        <v>100</v>
      </c>
      <c r="D1998">
        <v>8</v>
      </c>
      <c r="E1998" s="3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 s="3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  <c r="Z1998" s="3">
        <f>Table1[[#This Row],[QUANTITYORDERED]]*Table1[[#This Row],[PRICEEACH]]</f>
        <v>7000</v>
      </c>
    </row>
    <row r="1999" spans="1:26" hidden="1" x14ac:dyDescent="0.35">
      <c r="A1999">
        <v>10106</v>
      </c>
      <c r="B1999">
        <v>50</v>
      </c>
      <c r="C1999" s="3">
        <v>64.83</v>
      </c>
      <c r="D1999">
        <v>11</v>
      </c>
      <c r="E1999" s="3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 s="3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  <c r="Z1999" s="3">
        <f>Table1[[#This Row],[QUANTITYORDERED]]*Table1[[#This Row],[PRICEEACH]]</f>
        <v>3241.5</v>
      </c>
    </row>
    <row r="2000" spans="1:26" hidden="1" x14ac:dyDescent="0.35">
      <c r="A2000">
        <v>10119</v>
      </c>
      <c r="B2000">
        <v>28</v>
      </c>
      <c r="C2000" s="3">
        <v>70.290000000000006</v>
      </c>
      <c r="D2000">
        <v>2</v>
      </c>
      <c r="E2000" s="3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 s="3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  <c r="Z2000" s="3">
        <f>Table1[[#This Row],[QUANTITYORDERED]]*Table1[[#This Row],[PRICEEACH]]</f>
        <v>1968.1200000000001</v>
      </c>
    </row>
    <row r="2001" spans="1:26" hidden="1" x14ac:dyDescent="0.35">
      <c r="A2001">
        <v>10131</v>
      </c>
      <c r="B2001">
        <v>50</v>
      </c>
      <c r="C2001" s="3">
        <v>81.89</v>
      </c>
      <c r="D2001">
        <v>3</v>
      </c>
      <c r="E2001" s="3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 s="3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  <c r="Z2001" s="3">
        <f>Table1[[#This Row],[QUANTITYORDERED]]*Table1[[#This Row],[PRICEEACH]]</f>
        <v>4094.5</v>
      </c>
    </row>
    <row r="2002" spans="1:26" hidden="1" x14ac:dyDescent="0.35">
      <c r="A2002">
        <v>10143</v>
      </c>
      <c r="B2002">
        <v>28</v>
      </c>
      <c r="C2002" s="3">
        <v>66.19</v>
      </c>
      <c r="D2002">
        <v>6</v>
      </c>
      <c r="E2002" s="3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 s="3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  <c r="Z2002" s="3">
        <f>Table1[[#This Row],[QUANTITYORDERED]]*Table1[[#This Row],[PRICEEACH]]</f>
        <v>1853.32</v>
      </c>
    </row>
    <row r="2003" spans="1:26" hidden="1" x14ac:dyDescent="0.35">
      <c r="A2003">
        <v>10155</v>
      </c>
      <c r="B2003">
        <v>44</v>
      </c>
      <c r="C2003" s="3">
        <v>77.11</v>
      </c>
      <c r="D2003">
        <v>4</v>
      </c>
      <c r="E2003" s="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 s="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  <c r="Z2003" s="3">
        <f>Table1[[#This Row],[QUANTITYORDERED]]*Table1[[#This Row],[PRICEEACH]]</f>
        <v>3392.84</v>
      </c>
    </row>
    <row r="2004" spans="1:26" hidden="1" x14ac:dyDescent="0.35">
      <c r="A2004">
        <v>10168</v>
      </c>
      <c r="B2004">
        <v>27</v>
      </c>
      <c r="C2004" s="3">
        <v>73.02</v>
      </c>
      <c r="D2004">
        <v>18</v>
      </c>
      <c r="E2004" s="3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 s="3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  <c r="Z2004" s="3">
        <f>Table1[[#This Row],[QUANTITYORDERED]]*Table1[[#This Row],[PRICEEACH]]</f>
        <v>1971.54</v>
      </c>
    </row>
    <row r="2005" spans="1:26" hidden="1" x14ac:dyDescent="0.35">
      <c r="A2005">
        <v>10178</v>
      </c>
      <c r="B2005">
        <v>30</v>
      </c>
      <c r="C2005" s="3">
        <v>72.33</v>
      </c>
      <c r="D2005">
        <v>3</v>
      </c>
      <c r="E2005" s="3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 s="3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  <c r="Z2005" s="3">
        <f>Table1[[#This Row],[QUANTITYORDERED]]*Table1[[#This Row],[PRICEEACH]]</f>
        <v>2169.9</v>
      </c>
    </row>
    <row r="2006" spans="1:26" hidden="1" x14ac:dyDescent="0.35">
      <c r="A2006">
        <v>10198</v>
      </c>
      <c r="B2006">
        <v>43</v>
      </c>
      <c r="C2006" s="3">
        <v>66.19</v>
      </c>
      <c r="D2006">
        <v>3</v>
      </c>
      <c r="E2006" s="3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 s="3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  <c r="Z2006" s="3">
        <f>Table1[[#This Row],[QUANTITYORDERED]]*Table1[[#This Row],[PRICEEACH]]</f>
        <v>2846.17</v>
      </c>
    </row>
    <row r="2007" spans="1:26" hidden="1" x14ac:dyDescent="0.35">
      <c r="A2007">
        <v>10210</v>
      </c>
      <c r="B2007">
        <v>29</v>
      </c>
      <c r="C2007" s="3">
        <v>69.599999999999994</v>
      </c>
      <c r="D2007">
        <v>16</v>
      </c>
      <c r="E2007" s="3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 s="3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  <c r="Z2007" s="3">
        <f>Table1[[#This Row],[QUANTITYORDERED]]*Table1[[#This Row],[PRICEEACH]]</f>
        <v>2018.3999999999999</v>
      </c>
    </row>
    <row r="2008" spans="1:26" hidden="1" x14ac:dyDescent="0.35">
      <c r="A2008">
        <v>10222</v>
      </c>
      <c r="B2008">
        <v>48</v>
      </c>
      <c r="C2008" s="3">
        <v>56.64</v>
      </c>
      <c r="D2008">
        <v>3</v>
      </c>
      <c r="E2008" s="3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 s="3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  <c r="Z2008" s="3">
        <f>Table1[[#This Row],[QUANTITYORDERED]]*Table1[[#This Row],[PRICEEACH]]</f>
        <v>2718.7200000000003</v>
      </c>
    </row>
    <row r="2009" spans="1:26" hidden="1" x14ac:dyDescent="0.35">
      <c r="A2009">
        <v>10235</v>
      </c>
      <c r="B2009">
        <v>33</v>
      </c>
      <c r="C2009" s="3">
        <v>60.05</v>
      </c>
      <c r="D2009">
        <v>12</v>
      </c>
      <c r="E2009" s="3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 s="3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  <c r="Z2009" s="3">
        <f>Table1[[#This Row],[QUANTITYORDERED]]*Table1[[#This Row],[PRICEEACH]]</f>
        <v>1981.6499999999999</v>
      </c>
    </row>
    <row r="2010" spans="1:26" hidden="1" x14ac:dyDescent="0.35">
      <c r="A2010">
        <v>10250</v>
      </c>
      <c r="B2010">
        <v>40</v>
      </c>
      <c r="C2010" s="3">
        <v>75.06</v>
      </c>
      <c r="D2010">
        <v>13</v>
      </c>
      <c r="E2010" s="3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 s="3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  <c r="Z2010" s="3">
        <f>Table1[[#This Row],[QUANTITYORDERED]]*Table1[[#This Row],[PRICEEACH]]</f>
        <v>3002.4</v>
      </c>
    </row>
    <row r="2011" spans="1:26" hidden="1" x14ac:dyDescent="0.35">
      <c r="A2011">
        <v>10262</v>
      </c>
      <c r="B2011">
        <v>48</v>
      </c>
      <c r="C2011" s="3">
        <v>61.42</v>
      </c>
      <c r="D2011">
        <v>8</v>
      </c>
      <c r="E2011" s="3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 s="3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  <c r="Z2011" s="3">
        <f>Table1[[#This Row],[QUANTITYORDERED]]*Table1[[#This Row],[PRICEEACH]]</f>
        <v>2948.16</v>
      </c>
    </row>
    <row r="2012" spans="1:26" hidden="1" x14ac:dyDescent="0.35">
      <c r="A2012">
        <v>10275</v>
      </c>
      <c r="B2012">
        <v>41</v>
      </c>
      <c r="C2012" s="3">
        <v>81.89</v>
      </c>
      <c r="D2012">
        <v>18</v>
      </c>
      <c r="E2012" s="3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 s="3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  <c r="Z2012" s="3">
        <f>Table1[[#This Row],[QUANTITYORDERED]]*Table1[[#This Row],[PRICEEACH]]</f>
        <v>3357.4900000000002</v>
      </c>
    </row>
    <row r="2013" spans="1:26" hidden="1" x14ac:dyDescent="0.35">
      <c r="A2013">
        <v>10284</v>
      </c>
      <c r="B2013">
        <v>21</v>
      </c>
      <c r="C2013" s="3">
        <v>55.96</v>
      </c>
      <c r="D2013">
        <v>10</v>
      </c>
      <c r="E2013" s="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 s="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  <c r="Z2013" s="3">
        <f>Table1[[#This Row],[QUANTITYORDERED]]*Table1[[#This Row],[PRICEEACH]]</f>
        <v>1175.1600000000001</v>
      </c>
    </row>
    <row r="2014" spans="1:26" hidden="1" x14ac:dyDescent="0.35">
      <c r="A2014">
        <v>10296</v>
      </c>
      <c r="B2014">
        <v>32</v>
      </c>
      <c r="C2014" s="3">
        <v>71.650000000000006</v>
      </c>
      <c r="D2014">
        <v>6</v>
      </c>
      <c r="E2014" s="3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 s="3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  <c r="Z2014" s="3">
        <f>Table1[[#This Row],[QUANTITYORDERED]]*Table1[[#This Row],[PRICEEACH]]</f>
        <v>2292.8000000000002</v>
      </c>
    </row>
    <row r="2015" spans="1:26" hidden="1" x14ac:dyDescent="0.35">
      <c r="A2015">
        <v>10308</v>
      </c>
      <c r="B2015">
        <v>43</v>
      </c>
      <c r="C2015" s="3">
        <v>76.430000000000007</v>
      </c>
      <c r="D2015">
        <v>16</v>
      </c>
      <c r="E2015" s="3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 s="3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  <c r="Z2015" s="3">
        <f>Table1[[#This Row],[QUANTITYORDERED]]*Table1[[#This Row],[PRICEEACH]]</f>
        <v>3286.4900000000002</v>
      </c>
    </row>
    <row r="2016" spans="1:26" hidden="1" x14ac:dyDescent="0.35">
      <c r="A2016">
        <v>10316</v>
      </c>
      <c r="B2016">
        <v>30</v>
      </c>
      <c r="C2016" s="3">
        <v>77.790000000000006</v>
      </c>
      <c r="D2016">
        <v>8</v>
      </c>
      <c r="E2016" s="3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 s="3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  <c r="Z2016" s="3">
        <f>Table1[[#This Row],[QUANTITYORDERED]]*Table1[[#This Row],[PRICEEACH]]</f>
        <v>2333.7000000000003</v>
      </c>
    </row>
    <row r="2017" spans="1:26" hidden="1" x14ac:dyDescent="0.35">
      <c r="A2017">
        <v>10328</v>
      </c>
      <c r="B2017">
        <v>35</v>
      </c>
      <c r="C2017" s="3">
        <v>76.430000000000007</v>
      </c>
      <c r="D2017">
        <v>3</v>
      </c>
      <c r="E2017" s="3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 s="3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  <c r="Z2017" s="3">
        <f>Table1[[#This Row],[QUANTITYORDERED]]*Table1[[#This Row],[PRICEEACH]]</f>
        <v>2675.05</v>
      </c>
    </row>
    <row r="2018" spans="1:26" hidden="1" x14ac:dyDescent="0.35">
      <c r="A2018">
        <v>10339</v>
      </c>
      <c r="B2018">
        <v>45</v>
      </c>
      <c r="C2018" s="3">
        <v>96.92</v>
      </c>
      <c r="D2018">
        <v>11</v>
      </c>
      <c r="E2018" s="3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 s="3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  <c r="Z2018" s="3">
        <f>Table1[[#This Row],[QUANTITYORDERED]]*Table1[[#This Row],[PRICEEACH]]</f>
        <v>4361.3999999999996</v>
      </c>
    </row>
    <row r="2019" spans="1:26" hidden="1" x14ac:dyDescent="0.35">
      <c r="A2019">
        <v>10351</v>
      </c>
      <c r="B2019">
        <v>34</v>
      </c>
      <c r="C2019" s="3">
        <v>59.37</v>
      </c>
      <c r="D2019">
        <v>3</v>
      </c>
      <c r="E2019" s="3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 s="3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  <c r="Z2019" s="3">
        <f>Table1[[#This Row],[QUANTITYORDERED]]*Table1[[#This Row],[PRICEEACH]]</f>
        <v>2018.58</v>
      </c>
    </row>
    <row r="2020" spans="1:26" hidden="1" x14ac:dyDescent="0.35">
      <c r="A2020">
        <v>10361</v>
      </c>
      <c r="B2020">
        <v>26</v>
      </c>
      <c r="C2020" s="3">
        <v>100</v>
      </c>
      <c r="D2020">
        <v>7</v>
      </c>
      <c r="E2020" s="3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 s="3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  <c r="Z2020" s="3">
        <f>Table1[[#This Row],[QUANTITYORDERED]]*Table1[[#This Row],[PRICEEACH]]</f>
        <v>2600</v>
      </c>
    </row>
    <row r="2021" spans="1:26" hidden="1" x14ac:dyDescent="0.35">
      <c r="A2021">
        <v>10373</v>
      </c>
      <c r="B2021">
        <v>39</v>
      </c>
      <c r="C2021" s="3">
        <v>73</v>
      </c>
      <c r="D2021">
        <v>13</v>
      </c>
      <c r="E2021" s="3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 s="3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  <c r="Z2021" s="3">
        <f>Table1[[#This Row],[QUANTITYORDERED]]*Table1[[#This Row],[PRICEEACH]]</f>
        <v>2847</v>
      </c>
    </row>
    <row r="2022" spans="1:26" hidden="1" x14ac:dyDescent="0.35">
      <c r="A2022">
        <v>10386</v>
      </c>
      <c r="B2022">
        <v>41</v>
      </c>
      <c r="C2022" s="3">
        <v>73.319999999999993</v>
      </c>
      <c r="D2022">
        <v>12</v>
      </c>
      <c r="E2022" s="3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 s="3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  <c r="Z2022" s="3">
        <f>Table1[[#This Row],[QUANTITYORDERED]]*Table1[[#This Row],[PRICEEACH]]</f>
        <v>3006.12</v>
      </c>
    </row>
    <row r="2023" spans="1:26" hidden="1" x14ac:dyDescent="0.35">
      <c r="A2023">
        <v>10398</v>
      </c>
      <c r="B2023">
        <v>41</v>
      </c>
      <c r="C2023" s="3">
        <v>68.239999999999995</v>
      </c>
      <c r="D2023">
        <v>2</v>
      </c>
      <c r="E2023" s="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 s="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  <c r="Z2023" s="3">
        <f>Table1[[#This Row],[QUANTITYORDERED]]*Table1[[#This Row],[PRICEEACH]]</f>
        <v>2797.8399999999997</v>
      </c>
    </row>
    <row r="2024" spans="1:26" hidden="1" x14ac:dyDescent="0.35">
      <c r="A2024">
        <v>10401</v>
      </c>
      <c r="B2024">
        <v>64</v>
      </c>
      <c r="C2024" s="3">
        <v>60.05</v>
      </c>
      <c r="D2024">
        <v>12</v>
      </c>
      <c r="E2024" s="3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 s="3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  <c r="Z2024" s="3">
        <f>Table1[[#This Row],[QUANTITYORDERED]]*Table1[[#This Row],[PRICEEACH]]</f>
        <v>3843.2</v>
      </c>
    </row>
    <row r="2025" spans="1:26" hidden="1" x14ac:dyDescent="0.35">
      <c r="A2025">
        <v>10416</v>
      </c>
      <c r="B2025">
        <v>18</v>
      </c>
      <c r="C2025" s="3">
        <v>75.06</v>
      </c>
      <c r="D2025">
        <v>13</v>
      </c>
      <c r="E2025" s="3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 s="3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  <c r="Z2025" s="3">
        <f>Table1[[#This Row],[QUANTITYORDERED]]*Table1[[#This Row],[PRICEEACH]]</f>
        <v>1351.08</v>
      </c>
    </row>
    <row r="2026" spans="1:26" hidden="1" x14ac:dyDescent="0.35">
      <c r="A2026">
        <v>10100</v>
      </c>
      <c r="B2026">
        <v>49</v>
      </c>
      <c r="C2026" s="3">
        <v>34.47</v>
      </c>
      <c r="D2026">
        <v>1</v>
      </c>
      <c r="E2026" s="3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 s="3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  <c r="Z2026" s="3">
        <f>Table1[[#This Row],[QUANTITYORDERED]]*Table1[[#This Row],[PRICEEACH]]</f>
        <v>1689.03</v>
      </c>
    </row>
    <row r="2027" spans="1:26" hidden="1" x14ac:dyDescent="0.35">
      <c r="A2027">
        <v>10110</v>
      </c>
      <c r="B2027">
        <v>48</v>
      </c>
      <c r="C2027" s="3">
        <v>34.47</v>
      </c>
      <c r="D2027">
        <v>5</v>
      </c>
      <c r="E2027" s="3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 s="3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  <c r="Z2027" s="3">
        <f>Table1[[#This Row],[QUANTITYORDERED]]*Table1[[#This Row],[PRICEEACH]]</f>
        <v>1654.56</v>
      </c>
    </row>
    <row r="2028" spans="1:26" hidden="1" x14ac:dyDescent="0.35">
      <c r="A2028">
        <v>10124</v>
      </c>
      <c r="B2028">
        <v>46</v>
      </c>
      <c r="C2028" s="3">
        <v>33.229999999999997</v>
      </c>
      <c r="D2028">
        <v>4</v>
      </c>
      <c r="E2028" s="3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 s="3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  <c r="Z2028" s="3">
        <f>Table1[[#This Row],[QUANTITYORDERED]]*Table1[[#This Row],[PRICEEACH]]</f>
        <v>1528.58</v>
      </c>
    </row>
    <row r="2029" spans="1:26" hidden="1" x14ac:dyDescent="0.35">
      <c r="A2029">
        <v>10149</v>
      </c>
      <c r="B2029">
        <v>26</v>
      </c>
      <c r="C2029" s="3">
        <v>38.979999999999997</v>
      </c>
      <c r="D2029">
        <v>9</v>
      </c>
      <c r="E2029" s="3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 s="3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  <c r="Z2029" s="3">
        <f>Table1[[#This Row],[QUANTITYORDERED]]*Table1[[#This Row],[PRICEEACH]]</f>
        <v>1013.4799999999999</v>
      </c>
    </row>
    <row r="2030" spans="1:26" hidden="1" x14ac:dyDescent="0.35">
      <c r="A2030">
        <v>10162</v>
      </c>
      <c r="B2030">
        <v>37</v>
      </c>
      <c r="C2030" s="3">
        <v>38.979999999999997</v>
      </c>
      <c r="D2030">
        <v>7</v>
      </c>
      <c r="E2030" s="3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 s="3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  <c r="Z2030" s="3">
        <f>Table1[[#This Row],[QUANTITYORDERED]]*Table1[[#This Row],[PRICEEACH]]</f>
        <v>1442.26</v>
      </c>
    </row>
    <row r="2031" spans="1:26" hidden="1" x14ac:dyDescent="0.35">
      <c r="A2031">
        <v>10173</v>
      </c>
      <c r="B2031">
        <v>35</v>
      </c>
      <c r="C2031" s="3">
        <v>33.229999999999997</v>
      </c>
      <c r="D2031">
        <v>11</v>
      </c>
      <c r="E2031" s="3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 s="3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  <c r="Z2031" s="3">
        <f>Table1[[#This Row],[QUANTITYORDERED]]*Table1[[#This Row],[PRICEEACH]]</f>
        <v>1163.05</v>
      </c>
    </row>
    <row r="2032" spans="1:26" hidden="1" x14ac:dyDescent="0.35">
      <c r="A2032">
        <v>10182</v>
      </c>
      <c r="B2032">
        <v>23</v>
      </c>
      <c r="C2032" s="3">
        <v>42.26</v>
      </c>
      <c r="D2032">
        <v>8</v>
      </c>
      <c r="E2032" s="3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 s="3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  <c r="Z2032" s="3">
        <f>Table1[[#This Row],[QUANTITYORDERED]]*Table1[[#This Row],[PRICEEACH]]</f>
        <v>971.9799999999999</v>
      </c>
    </row>
    <row r="2033" spans="1:26" hidden="1" x14ac:dyDescent="0.35">
      <c r="A2033">
        <v>10193</v>
      </c>
      <c r="B2033">
        <v>22</v>
      </c>
      <c r="C2033" s="3">
        <v>41.03</v>
      </c>
      <c r="D2033">
        <v>12</v>
      </c>
      <c r="E2033" s="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 s="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  <c r="Z2033" s="3">
        <f>Table1[[#This Row],[QUANTITYORDERED]]*Table1[[#This Row],[PRICEEACH]]</f>
        <v>902.66000000000008</v>
      </c>
    </row>
    <row r="2034" spans="1:26" hidden="1" x14ac:dyDescent="0.35">
      <c r="A2034">
        <v>10204</v>
      </c>
      <c r="B2034">
        <v>39</v>
      </c>
      <c r="C2034" s="3">
        <v>33.229999999999997</v>
      </c>
      <c r="D2034">
        <v>2</v>
      </c>
      <c r="E2034" s="3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 s="3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  <c r="Z2034" s="3">
        <f>Table1[[#This Row],[QUANTITYORDERED]]*Table1[[#This Row],[PRICEEACH]]</f>
        <v>1295.9699999999998</v>
      </c>
    </row>
    <row r="2035" spans="1:26" hidden="1" x14ac:dyDescent="0.35">
      <c r="A2035">
        <v>10214</v>
      </c>
      <c r="B2035">
        <v>44</v>
      </c>
      <c r="C2035" s="3">
        <v>34.880000000000003</v>
      </c>
      <c r="D2035">
        <v>5</v>
      </c>
      <c r="E2035" s="3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 s="3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  <c r="Z2035" s="3">
        <f>Table1[[#This Row],[QUANTITYORDERED]]*Table1[[#This Row],[PRICEEACH]]</f>
        <v>1534.72</v>
      </c>
    </row>
    <row r="2036" spans="1:26" hidden="1" x14ac:dyDescent="0.35">
      <c r="A2036">
        <v>10227</v>
      </c>
      <c r="B2036">
        <v>27</v>
      </c>
      <c r="C2036" s="3">
        <v>43.9</v>
      </c>
      <c r="D2036">
        <v>8</v>
      </c>
      <c r="E2036" s="3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 s="3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  <c r="Z2036" s="3">
        <f>Table1[[#This Row],[QUANTITYORDERED]]*Table1[[#This Row],[PRICEEACH]]</f>
        <v>1185.3</v>
      </c>
    </row>
    <row r="2037" spans="1:26" hidden="1" x14ac:dyDescent="0.35">
      <c r="A2037">
        <v>10242</v>
      </c>
      <c r="B2037">
        <v>46</v>
      </c>
      <c r="C2037" s="3">
        <v>36.93</v>
      </c>
      <c r="D2037">
        <v>1</v>
      </c>
      <c r="E2037" s="3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 s="3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  <c r="Z2037" s="3">
        <f>Table1[[#This Row],[QUANTITYORDERED]]*Table1[[#This Row],[PRICEEACH]]</f>
        <v>1698.78</v>
      </c>
    </row>
    <row r="2038" spans="1:26" hidden="1" x14ac:dyDescent="0.35">
      <c r="A2038">
        <v>10280</v>
      </c>
      <c r="B2038">
        <v>33</v>
      </c>
      <c r="C2038" s="3">
        <v>41.85</v>
      </c>
      <c r="D2038">
        <v>14</v>
      </c>
      <c r="E2038" s="3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 s="3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  <c r="Z2038" s="3">
        <f>Table1[[#This Row],[QUANTITYORDERED]]*Table1[[#This Row],[PRICEEACH]]</f>
        <v>1381.05</v>
      </c>
    </row>
    <row r="2039" spans="1:26" hidden="1" x14ac:dyDescent="0.35">
      <c r="A2039">
        <v>10288</v>
      </c>
      <c r="B2039">
        <v>33</v>
      </c>
      <c r="C2039" s="3">
        <v>40.619999999999997</v>
      </c>
      <c r="D2039">
        <v>3</v>
      </c>
      <c r="E2039" s="3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 s="3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  <c r="Z2039" s="3">
        <f>Table1[[#This Row],[QUANTITYORDERED]]*Table1[[#This Row],[PRICEEACH]]</f>
        <v>1340.4599999999998</v>
      </c>
    </row>
    <row r="2040" spans="1:26" hidden="1" x14ac:dyDescent="0.35">
      <c r="A2040">
        <v>10303</v>
      </c>
      <c r="B2040">
        <v>24</v>
      </c>
      <c r="C2040" s="3">
        <v>40.21</v>
      </c>
      <c r="D2040">
        <v>1</v>
      </c>
      <c r="E2040" s="3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 s="3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  <c r="Z2040" s="3">
        <f>Table1[[#This Row],[QUANTITYORDERED]]*Table1[[#This Row],[PRICEEACH]]</f>
        <v>965.04</v>
      </c>
    </row>
    <row r="2041" spans="1:26" hidden="1" x14ac:dyDescent="0.35">
      <c r="A2041">
        <v>10312</v>
      </c>
      <c r="B2041">
        <v>31</v>
      </c>
      <c r="C2041" s="3">
        <v>35.29</v>
      </c>
      <c r="D2041">
        <v>15</v>
      </c>
      <c r="E2041" s="3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 s="3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  <c r="Z2041" s="3">
        <f>Table1[[#This Row],[QUANTITYORDERED]]*Table1[[#This Row],[PRICEEACH]]</f>
        <v>1093.99</v>
      </c>
    </row>
    <row r="2042" spans="1:26" hidden="1" x14ac:dyDescent="0.35">
      <c r="A2042">
        <v>10332</v>
      </c>
      <c r="B2042">
        <v>41</v>
      </c>
      <c r="C2042" s="3">
        <v>77.239999999999995</v>
      </c>
      <c r="D2042">
        <v>14</v>
      </c>
      <c r="E2042" s="3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 s="3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  <c r="Z2042" s="3">
        <f>Table1[[#This Row],[QUANTITYORDERED]]*Table1[[#This Row],[PRICEEACH]]</f>
        <v>3166.8399999999997</v>
      </c>
    </row>
    <row r="2043" spans="1:26" hidden="1" x14ac:dyDescent="0.35">
      <c r="A2043">
        <v>10346</v>
      </c>
      <c r="B2043">
        <v>22</v>
      </c>
      <c r="C2043" s="3">
        <v>97.44</v>
      </c>
      <c r="D2043">
        <v>4</v>
      </c>
      <c r="E2043" s="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 s="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  <c r="Z2043" s="3">
        <f>Table1[[#This Row],[QUANTITYORDERED]]*Table1[[#This Row],[PRICEEACH]]</f>
        <v>2143.6799999999998</v>
      </c>
    </row>
    <row r="2044" spans="1:26" hidden="1" x14ac:dyDescent="0.35">
      <c r="A2044">
        <v>10368</v>
      </c>
      <c r="B2044">
        <v>46</v>
      </c>
      <c r="C2044" s="3">
        <v>37.340000000000003</v>
      </c>
      <c r="D2044">
        <v>3</v>
      </c>
      <c r="E2044" s="3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 s="3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  <c r="Z2044" s="3">
        <f>Table1[[#This Row],[QUANTITYORDERED]]*Table1[[#This Row],[PRICEEACH]]</f>
        <v>1717.64</v>
      </c>
    </row>
    <row r="2045" spans="1:26" hidden="1" x14ac:dyDescent="0.35">
      <c r="A2045">
        <v>10380</v>
      </c>
      <c r="B2045">
        <v>43</v>
      </c>
      <c r="C2045" s="3">
        <v>95.03</v>
      </c>
      <c r="D2045">
        <v>12</v>
      </c>
      <c r="E2045" s="3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 s="3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  <c r="Z2045" s="3">
        <f>Table1[[#This Row],[QUANTITYORDERED]]*Table1[[#This Row],[PRICEEACH]]</f>
        <v>4086.29</v>
      </c>
    </row>
    <row r="2046" spans="1:26" hidden="1" x14ac:dyDescent="0.35">
      <c r="A2046">
        <v>10408</v>
      </c>
      <c r="B2046">
        <v>15</v>
      </c>
      <c r="C2046" s="3">
        <v>36.93</v>
      </c>
      <c r="D2046">
        <v>1</v>
      </c>
      <c r="E2046" s="3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 s="3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  <c r="Z2046" s="3">
        <f>Table1[[#This Row],[QUANTITYORDERED]]*Table1[[#This Row],[PRICEEACH]]</f>
        <v>553.95000000000005</v>
      </c>
    </row>
    <row r="2047" spans="1:26" hidden="1" x14ac:dyDescent="0.35">
      <c r="A2047">
        <v>10420</v>
      </c>
      <c r="B2047">
        <v>15</v>
      </c>
      <c r="C2047" s="3">
        <v>43.49</v>
      </c>
      <c r="D2047">
        <v>3</v>
      </c>
      <c r="E2047" s="3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 s="3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  <c r="Z2047" s="3">
        <f>Table1[[#This Row],[QUANTITYORDERED]]*Table1[[#This Row],[PRICEEACH]]</f>
        <v>652.35</v>
      </c>
    </row>
    <row r="2048" spans="1:26" x14ac:dyDescent="0.35">
      <c r="A2048">
        <v>10104</v>
      </c>
      <c r="B2048">
        <v>26</v>
      </c>
      <c r="C2048" s="3">
        <v>100</v>
      </c>
      <c r="D2048">
        <v>5</v>
      </c>
      <c r="E2048" s="3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 s="3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  <c r="Z2048" s="3">
        <f>Table1[[#This Row],[QUANTITYORDERED]]*Table1[[#This Row],[PRICEEACH]]</f>
        <v>2600</v>
      </c>
    </row>
    <row r="2049" spans="1:26" x14ac:dyDescent="0.35">
      <c r="A2049">
        <v>10115</v>
      </c>
      <c r="B2049">
        <v>44</v>
      </c>
      <c r="C2049" s="3">
        <v>100</v>
      </c>
      <c r="D2049">
        <v>1</v>
      </c>
      <c r="E2049" s="3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 s="3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  <c r="Z2049" s="3">
        <f>Table1[[#This Row],[QUANTITYORDERED]]*Table1[[#This Row],[PRICEEACH]]</f>
        <v>4400</v>
      </c>
    </row>
    <row r="2050" spans="1:26" x14ac:dyDescent="0.35">
      <c r="A2050">
        <v>10127</v>
      </c>
      <c r="B2050">
        <v>20</v>
      </c>
      <c r="C2050" s="3">
        <v>96.99</v>
      </c>
      <c r="D2050">
        <v>7</v>
      </c>
      <c r="E2050" s="3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 s="3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  <c r="Z2050" s="3">
        <f>Table1[[#This Row],[QUANTITYORDERED]]*Table1[[#This Row],[PRICEEACH]]</f>
        <v>1939.8</v>
      </c>
    </row>
    <row r="2051" spans="1:26" x14ac:dyDescent="0.35">
      <c r="A2051">
        <v>10141</v>
      </c>
      <c r="B2051">
        <v>40</v>
      </c>
      <c r="C2051" s="3">
        <v>94.62</v>
      </c>
      <c r="D2051">
        <v>1</v>
      </c>
      <c r="E2051" s="3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 s="3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  <c r="Z2051" s="3">
        <f>Table1[[#This Row],[QUANTITYORDERED]]*Table1[[#This Row],[PRICEEACH]]</f>
        <v>3784.8</v>
      </c>
    </row>
    <row r="2052" spans="1:26" x14ac:dyDescent="0.35">
      <c r="A2052">
        <v>10152</v>
      </c>
      <c r="B2052">
        <v>23</v>
      </c>
      <c r="C2052" s="3">
        <v>100</v>
      </c>
      <c r="D2052">
        <v>3</v>
      </c>
      <c r="E2052" s="3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 s="3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  <c r="Z2052" s="3">
        <f>Table1[[#This Row],[QUANTITYORDERED]]*Table1[[#This Row],[PRICEEACH]]</f>
        <v>2300</v>
      </c>
    </row>
    <row r="2053" spans="1:26" x14ac:dyDescent="0.35">
      <c r="A2053">
        <v>10165</v>
      </c>
      <c r="B2053">
        <v>24</v>
      </c>
      <c r="C2053" s="3">
        <v>99.36</v>
      </c>
      <c r="D2053">
        <v>8</v>
      </c>
      <c r="E2053" s="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 s="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  <c r="Z2053" s="3">
        <f>Table1[[#This Row],[QUANTITYORDERED]]*Table1[[#This Row],[PRICEEACH]]</f>
        <v>2384.64</v>
      </c>
    </row>
    <row r="2054" spans="1:26" x14ac:dyDescent="0.35">
      <c r="A2054">
        <v>10176</v>
      </c>
      <c r="B2054">
        <v>29</v>
      </c>
      <c r="C2054" s="3">
        <v>100</v>
      </c>
      <c r="D2054">
        <v>7</v>
      </c>
      <c r="E2054" s="3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 s="3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  <c r="Z2054" s="3">
        <f>Table1[[#This Row],[QUANTITYORDERED]]*Table1[[#This Row],[PRICEEACH]]</f>
        <v>2900</v>
      </c>
    </row>
    <row r="2055" spans="1:26" x14ac:dyDescent="0.35">
      <c r="A2055">
        <v>10184</v>
      </c>
      <c r="B2055">
        <v>49</v>
      </c>
      <c r="C2055" s="3">
        <v>100</v>
      </c>
      <c r="D2055">
        <v>2</v>
      </c>
      <c r="E2055" s="3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 s="3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  <c r="Z2055" s="3">
        <f>Table1[[#This Row],[QUANTITYORDERED]]*Table1[[#This Row],[PRICEEACH]]</f>
        <v>4900</v>
      </c>
    </row>
    <row r="2056" spans="1:26" x14ac:dyDescent="0.35">
      <c r="A2056">
        <v>10195</v>
      </c>
      <c r="B2056">
        <v>34</v>
      </c>
      <c r="C2056" s="3">
        <v>100</v>
      </c>
      <c r="D2056">
        <v>2</v>
      </c>
      <c r="E2056" s="3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 s="3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  <c r="Z2056" s="3">
        <f>Table1[[#This Row],[QUANTITYORDERED]]*Table1[[#This Row],[PRICEEACH]]</f>
        <v>3400</v>
      </c>
    </row>
    <row r="2057" spans="1:26" x14ac:dyDescent="0.35">
      <c r="A2057">
        <v>10207</v>
      </c>
      <c r="B2057">
        <v>28</v>
      </c>
      <c r="C2057" s="3">
        <v>100</v>
      </c>
      <c r="D2057">
        <v>3</v>
      </c>
      <c r="E2057" s="3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 s="3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  <c r="Z2057" s="3">
        <f>Table1[[#This Row],[QUANTITYORDERED]]*Table1[[#This Row],[PRICEEACH]]</f>
        <v>2800</v>
      </c>
    </row>
    <row r="2058" spans="1:26" x14ac:dyDescent="0.35">
      <c r="A2058">
        <v>10220</v>
      </c>
      <c r="B2058">
        <v>37</v>
      </c>
      <c r="C2058" s="3">
        <v>100</v>
      </c>
      <c r="D2058">
        <v>7</v>
      </c>
      <c r="E2058" s="3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 s="3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  <c r="Z2058" s="3">
        <f>Table1[[#This Row],[QUANTITYORDERED]]*Table1[[#This Row],[PRICEEACH]]</f>
        <v>3700</v>
      </c>
    </row>
    <row r="2059" spans="1:26" x14ac:dyDescent="0.35">
      <c r="A2059">
        <v>10230</v>
      </c>
      <c r="B2059">
        <v>45</v>
      </c>
      <c r="C2059" s="3">
        <v>100</v>
      </c>
      <c r="D2059">
        <v>5</v>
      </c>
      <c r="E2059" s="3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 s="3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  <c r="Z2059" s="3">
        <f>Table1[[#This Row],[QUANTITYORDERED]]*Table1[[#This Row],[PRICEEACH]]</f>
        <v>4500</v>
      </c>
    </row>
    <row r="2060" spans="1:26" x14ac:dyDescent="0.35">
      <c r="A2060">
        <v>10246</v>
      </c>
      <c r="B2060">
        <v>46</v>
      </c>
      <c r="C2060" s="3">
        <v>100</v>
      </c>
      <c r="D2060">
        <v>1</v>
      </c>
      <c r="E2060" s="3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 s="3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  <c r="Z2060" s="3">
        <f>Table1[[#This Row],[QUANTITYORDERED]]*Table1[[#This Row],[PRICEEACH]]</f>
        <v>4600</v>
      </c>
    </row>
    <row r="2061" spans="1:26" x14ac:dyDescent="0.35">
      <c r="A2061">
        <v>10271</v>
      </c>
      <c r="B2061">
        <v>22</v>
      </c>
      <c r="C2061" s="3">
        <v>100</v>
      </c>
      <c r="D2061">
        <v>1</v>
      </c>
      <c r="E2061" s="3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 s="3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  <c r="Z2061" s="3">
        <f>Table1[[#This Row],[QUANTITYORDERED]]*Table1[[#This Row],[PRICEEACH]]</f>
        <v>2200</v>
      </c>
    </row>
    <row r="2062" spans="1:26" x14ac:dyDescent="0.35">
      <c r="A2062">
        <v>10282</v>
      </c>
      <c r="B2062">
        <v>39</v>
      </c>
      <c r="C2062" s="3">
        <v>100</v>
      </c>
      <c r="D2062">
        <v>10</v>
      </c>
      <c r="E2062" s="3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 s="3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  <c r="Z2062" s="3">
        <f>Table1[[#This Row],[QUANTITYORDERED]]*Table1[[#This Row],[PRICEEACH]]</f>
        <v>3900</v>
      </c>
    </row>
    <row r="2063" spans="1:26" x14ac:dyDescent="0.35">
      <c r="A2063">
        <v>10292</v>
      </c>
      <c r="B2063">
        <v>27</v>
      </c>
      <c r="C2063" s="3">
        <v>100</v>
      </c>
      <c r="D2063">
        <v>4</v>
      </c>
      <c r="E2063" s="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 s="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  <c r="Z2063" s="3">
        <f>Table1[[#This Row],[QUANTITYORDERED]]*Table1[[#This Row],[PRICEEACH]]</f>
        <v>2700</v>
      </c>
    </row>
    <row r="2064" spans="1:26" x14ac:dyDescent="0.35">
      <c r="A2064">
        <v>10305</v>
      </c>
      <c r="B2064">
        <v>36</v>
      </c>
      <c r="C2064" s="3">
        <v>100</v>
      </c>
      <c r="D2064">
        <v>1</v>
      </c>
      <c r="E2064" s="3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 s="3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  <c r="Z2064" s="3">
        <f>Table1[[#This Row],[QUANTITYORDERED]]*Table1[[#This Row],[PRICEEACH]]</f>
        <v>3600</v>
      </c>
    </row>
    <row r="2065" spans="1:26" x14ac:dyDescent="0.35">
      <c r="A2065">
        <v>10314</v>
      </c>
      <c r="B2065">
        <v>38</v>
      </c>
      <c r="C2065" s="3">
        <v>100</v>
      </c>
      <c r="D2065">
        <v>10</v>
      </c>
      <c r="E2065" s="3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 s="3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  <c r="Z2065" s="3">
        <f>Table1[[#This Row],[QUANTITYORDERED]]*Table1[[#This Row],[PRICEEACH]]</f>
        <v>3800</v>
      </c>
    </row>
    <row r="2066" spans="1:26" x14ac:dyDescent="0.35">
      <c r="A2066">
        <v>10325</v>
      </c>
      <c r="B2066">
        <v>44</v>
      </c>
      <c r="C2066" s="3">
        <v>100</v>
      </c>
      <c r="D2066">
        <v>5</v>
      </c>
      <c r="E2066" s="3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 s="3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  <c r="Z2066" s="3">
        <f>Table1[[#This Row],[QUANTITYORDERED]]*Table1[[#This Row],[PRICEEACH]]</f>
        <v>4400</v>
      </c>
    </row>
    <row r="2067" spans="1:26" x14ac:dyDescent="0.35">
      <c r="A2067">
        <v>10336</v>
      </c>
      <c r="B2067">
        <v>31</v>
      </c>
      <c r="C2067" s="3">
        <v>100</v>
      </c>
      <c r="D2067">
        <v>5</v>
      </c>
      <c r="E2067" s="3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 s="3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  <c r="Z2067" s="3">
        <f>Table1[[#This Row],[QUANTITYORDERED]]*Table1[[#This Row],[PRICEEACH]]</f>
        <v>3100</v>
      </c>
    </row>
    <row r="2068" spans="1:26" x14ac:dyDescent="0.35">
      <c r="A2068">
        <v>10349</v>
      </c>
      <c r="B2068">
        <v>23</v>
      </c>
      <c r="C2068" s="3">
        <v>100</v>
      </c>
      <c r="D2068">
        <v>2</v>
      </c>
      <c r="E2068" s="3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 s="3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  <c r="Z2068" s="3">
        <f>Table1[[#This Row],[QUANTITYORDERED]]*Table1[[#This Row],[PRICEEACH]]</f>
        <v>2300</v>
      </c>
    </row>
    <row r="2069" spans="1:26" x14ac:dyDescent="0.35">
      <c r="A2069">
        <v>10359</v>
      </c>
      <c r="B2069">
        <v>22</v>
      </c>
      <c r="C2069" s="3">
        <v>100</v>
      </c>
      <c r="D2069">
        <v>7</v>
      </c>
      <c r="E2069" s="3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 s="3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  <c r="Z2069" s="3">
        <f>Table1[[#This Row],[QUANTITYORDERED]]*Table1[[#This Row],[PRICEEACH]]</f>
        <v>2200</v>
      </c>
    </row>
    <row r="2070" spans="1:26" x14ac:dyDescent="0.35">
      <c r="A2070">
        <v>10371</v>
      </c>
      <c r="B2070">
        <v>28</v>
      </c>
      <c r="C2070" s="3">
        <v>50.32</v>
      </c>
      <c r="D2070">
        <v>9</v>
      </c>
      <c r="E2070" s="3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 s="3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  <c r="Z2070" s="3">
        <f>Table1[[#This Row],[QUANTITYORDERED]]*Table1[[#This Row],[PRICEEACH]]</f>
        <v>1408.96</v>
      </c>
    </row>
    <row r="2071" spans="1:26" x14ac:dyDescent="0.35">
      <c r="A2071">
        <v>10383</v>
      </c>
      <c r="B2071">
        <v>21</v>
      </c>
      <c r="C2071" s="3">
        <v>93.91</v>
      </c>
      <c r="D2071">
        <v>4</v>
      </c>
      <c r="E2071" s="3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 s="3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  <c r="Z2071" s="3">
        <f>Table1[[#This Row],[QUANTITYORDERED]]*Table1[[#This Row],[PRICEEACH]]</f>
        <v>1972.11</v>
      </c>
    </row>
    <row r="2072" spans="1:26" x14ac:dyDescent="0.35">
      <c r="A2072">
        <v>10394</v>
      </c>
      <c r="B2072">
        <v>37</v>
      </c>
      <c r="C2072" s="3">
        <v>100</v>
      </c>
      <c r="D2072">
        <v>7</v>
      </c>
      <c r="E2072" s="3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 s="3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  <c r="Z2072" s="3">
        <f>Table1[[#This Row],[QUANTITYORDERED]]*Table1[[#This Row],[PRICEEACH]]</f>
        <v>3700</v>
      </c>
    </row>
    <row r="2073" spans="1:26" x14ac:dyDescent="0.35">
      <c r="A2073">
        <v>10412</v>
      </c>
      <c r="B2073">
        <v>31</v>
      </c>
      <c r="C2073" s="3">
        <v>100</v>
      </c>
      <c r="D2073">
        <v>1</v>
      </c>
      <c r="E2073" s="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 s="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  <c r="Z2073" s="3">
        <f>Table1[[#This Row],[QUANTITYORDERED]]*Table1[[#This Row],[PRICEEACH]]</f>
        <v>3100</v>
      </c>
    </row>
    <row r="2074" spans="1:26" hidden="1" x14ac:dyDescent="0.35">
      <c r="A2074">
        <v>10103</v>
      </c>
      <c r="B2074">
        <v>25</v>
      </c>
      <c r="C2074" s="3">
        <v>100</v>
      </c>
      <c r="D2074">
        <v>15</v>
      </c>
      <c r="E2074" s="3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 s="3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  <c r="Z2074" s="3">
        <f>Table1[[#This Row],[QUANTITYORDERED]]*Table1[[#This Row],[PRICEEACH]]</f>
        <v>2500</v>
      </c>
    </row>
    <row r="2075" spans="1:26" hidden="1" x14ac:dyDescent="0.35">
      <c r="A2075">
        <v>10111</v>
      </c>
      <c r="B2075">
        <v>26</v>
      </c>
      <c r="C2075" s="3">
        <v>86.68</v>
      </c>
      <c r="D2075">
        <v>3</v>
      </c>
      <c r="E2075" s="3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 s="3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  <c r="Z2075" s="3">
        <f>Table1[[#This Row],[QUANTITYORDERED]]*Table1[[#This Row],[PRICEEACH]]</f>
        <v>2253.6800000000003</v>
      </c>
    </row>
    <row r="2076" spans="1:26" hidden="1" x14ac:dyDescent="0.35">
      <c r="A2076">
        <v>10126</v>
      </c>
      <c r="B2076">
        <v>34</v>
      </c>
      <c r="C2076" s="3">
        <v>100</v>
      </c>
      <c r="D2076">
        <v>15</v>
      </c>
      <c r="E2076" s="3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 s="3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  <c r="Z2076" s="3">
        <f>Table1[[#This Row],[QUANTITYORDERED]]*Table1[[#This Row],[PRICEEACH]]</f>
        <v>3400</v>
      </c>
    </row>
    <row r="2077" spans="1:26" hidden="1" x14ac:dyDescent="0.35">
      <c r="A2077">
        <v>10139</v>
      </c>
      <c r="B2077">
        <v>29</v>
      </c>
      <c r="C2077" s="3">
        <v>100</v>
      </c>
      <c r="D2077">
        <v>4</v>
      </c>
      <c r="E2077" s="3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 s="3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  <c r="Z2077" s="3">
        <f>Table1[[#This Row],[QUANTITYORDERED]]*Table1[[#This Row],[PRICEEACH]]</f>
        <v>2900</v>
      </c>
    </row>
    <row r="2078" spans="1:26" hidden="1" x14ac:dyDescent="0.35">
      <c r="A2078">
        <v>10149</v>
      </c>
      <c r="B2078">
        <v>20</v>
      </c>
      <c r="C2078" s="3">
        <v>90.57</v>
      </c>
      <c r="D2078">
        <v>1</v>
      </c>
      <c r="E2078" s="3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 s="3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  <c r="Z2078" s="3">
        <f>Table1[[#This Row],[QUANTITYORDERED]]*Table1[[#This Row],[PRICEEACH]]</f>
        <v>1811.3999999999999</v>
      </c>
    </row>
    <row r="2079" spans="1:26" hidden="1" x14ac:dyDescent="0.35">
      <c r="A2079">
        <v>10163</v>
      </c>
      <c r="B2079">
        <v>42</v>
      </c>
      <c r="C2079" s="3">
        <v>91.55</v>
      </c>
      <c r="D2079">
        <v>5</v>
      </c>
      <c r="E2079" s="3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 s="3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  <c r="Z2079" s="3">
        <f>Table1[[#This Row],[QUANTITYORDERED]]*Table1[[#This Row],[PRICEEACH]]</f>
        <v>3845.1</v>
      </c>
    </row>
    <row r="2080" spans="1:26" hidden="1" x14ac:dyDescent="0.35">
      <c r="A2080">
        <v>10173</v>
      </c>
      <c r="B2080">
        <v>22</v>
      </c>
      <c r="C2080" s="3">
        <v>100</v>
      </c>
      <c r="D2080">
        <v>3</v>
      </c>
      <c r="E2080" s="3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 s="3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  <c r="Z2080" s="3">
        <f>Table1[[#This Row],[QUANTITYORDERED]]*Table1[[#This Row],[PRICEEACH]]</f>
        <v>2200</v>
      </c>
    </row>
    <row r="2081" spans="1:26" hidden="1" x14ac:dyDescent="0.35">
      <c r="A2081">
        <v>10183</v>
      </c>
      <c r="B2081">
        <v>47</v>
      </c>
      <c r="C2081" s="3">
        <v>100</v>
      </c>
      <c r="D2081">
        <v>12</v>
      </c>
      <c r="E2081" s="3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 s="3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  <c r="Z2081" s="3">
        <f>Table1[[#This Row],[QUANTITYORDERED]]*Table1[[#This Row],[PRICEEACH]]</f>
        <v>4700</v>
      </c>
    </row>
    <row r="2082" spans="1:26" hidden="1" x14ac:dyDescent="0.35">
      <c r="A2082">
        <v>10193</v>
      </c>
      <c r="B2082">
        <v>20</v>
      </c>
      <c r="C2082" s="3">
        <v>100</v>
      </c>
      <c r="D2082">
        <v>4</v>
      </c>
      <c r="E2082" s="3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 s="3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  <c r="Z2082" s="3">
        <f>Table1[[#This Row],[QUANTITYORDERED]]*Table1[[#This Row],[PRICEEACH]]</f>
        <v>2000</v>
      </c>
    </row>
    <row r="2083" spans="1:26" hidden="1" x14ac:dyDescent="0.35">
      <c r="A2083">
        <v>10206</v>
      </c>
      <c r="B2083">
        <v>33</v>
      </c>
      <c r="C2083" s="3">
        <v>97.39</v>
      </c>
      <c r="D2083">
        <v>10</v>
      </c>
      <c r="E2083" s="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 s="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  <c r="Z2083" s="3">
        <f>Table1[[#This Row],[QUANTITYORDERED]]*Table1[[#This Row],[PRICEEACH]]</f>
        <v>3213.87</v>
      </c>
    </row>
    <row r="2084" spans="1:26" hidden="1" x14ac:dyDescent="0.35">
      <c r="A2084">
        <v>10215</v>
      </c>
      <c r="B2084">
        <v>39</v>
      </c>
      <c r="C2084" s="3">
        <v>90.57</v>
      </c>
      <c r="D2084">
        <v>7</v>
      </c>
      <c r="E2084" s="3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 s="3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  <c r="Z2084" s="3">
        <f>Table1[[#This Row],[QUANTITYORDERED]]*Table1[[#This Row],[PRICEEACH]]</f>
        <v>3532.2299999999996</v>
      </c>
    </row>
    <row r="2085" spans="1:26" hidden="1" x14ac:dyDescent="0.35">
      <c r="A2085">
        <v>10228</v>
      </c>
      <c r="B2085">
        <v>33</v>
      </c>
      <c r="C2085" s="3">
        <v>100</v>
      </c>
      <c r="D2085">
        <v>6</v>
      </c>
      <c r="E2085" s="3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 s="3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  <c r="Z2085" s="3">
        <f>Table1[[#This Row],[QUANTITYORDERED]]*Table1[[#This Row],[PRICEEACH]]</f>
        <v>3300</v>
      </c>
    </row>
    <row r="2086" spans="1:26" hidden="1" x14ac:dyDescent="0.35">
      <c r="A2086">
        <v>10244</v>
      </c>
      <c r="B2086">
        <v>40</v>
      </c>
      <c r="C2086" s="3">
        <v>86.68</v>
      </c>
      <c r="D2086">
        <v>4</v>
      </c>
      <c r="E2086" s="3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 s="3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  <c r="Z2086" s="3">
        <f>Table1[[#This Row],[QUANTITYORDERED]]*Table1[[#This Row],[PRICEEACH]]</f>
        <v>3467.2000000000003</v>
      </c>
    </row>
    <row r="2087" spans="1:26" hidden="1" x14ac:dyDescent="0.35">
      <c r="A2087">
        <v>10257</v>
      </c>
      <c r="B2087">
        <v>46</v>
      </c>
      <c r="C2087" s="3">
        <v>78.89</v>
      </c>
      <c r="D2087">
        <v>4</v>
      </c>
      <c r="E2087" s="3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 s="3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  <c r="Z2087" s="3">
        <f>Table1[[#This Row],[QUANTITYORDERED]]*Table1[[#This Row],[PRICEEACH]]</f>
        <v>3628.94</v>
      </c>
    </row>
    <row r="2088" spans="1:26" hidden="1" x14ac:dyDescent="0.35">
      <c r="A2088">
        <v>10269</v>
      </c>
      <c r="B2088">
        <v>48</v>
      </c>
      <c r="C2088" s="3">
        <v>97.39</v>
      </c>
      <c r="D2088">
        <v>2</v>
      </c>
      <c r="E2088" s="3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 s="3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  <c r="Z2088" s="3">
        <f>Table1[[#This Row],[QUANTITYORDERED]]*Table1[[#This Row],[PRICEEACH]]</f>
        <v>4674.72</v>
      </c>
    </row>
    <row r="2089" spans="1:26" hidden="1" x14ac:dyDescent="0.35">
      <c r="A2089">
        <v>10280</v>
      </c>
      <c r="B2089">
        <v>21</v>
      </c>
      <c r="C2089" s="3">
        <v>78.89</v>
      </c>
      <c r="D2089">
        <v>6</v>
      </c>
      <c r="E2089" s="3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 s="3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  <c r="Z2089" s="3">
        <f>Table1[[#This Row],[QUANTITYORDERED]]*Table1[[#This Row],[PRICEEACH]]</f>
        <v>1656.69</v>
      </c>
    </row>
    <row r="2090" spans="1:26" hidden="1" x14ac:dyDescent="0.35">
      <c r="A2090">
        <v>10290</v>
      </c>
      <c r="B2090">
        <v>45</v>
      </c>
      <c r="C2090" s="3">
        <v>100</v>
      </c>
      <c r="D2090">
        <v>1</v>
      </c>
      <c r="E2090" s="3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 s="3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  <c r="Z2090" s="3">
        <f>Table1[[#This Row],[QUANTITYORDERED]]*Table1[[#This Row],[PRICEEACH]]</f>
        <v>4500</v>
      </c>
    </row>
    <row r="2091" spans="1:26" hidden="1" x14ac:dyDescent="0.35">
      <c r="A2091">
        <v>10304</v>
      </c>
      <c r="B2091">
        <v>33</v>
      </c>
      <c r="C2091" s="3">
        <v>100</v>
      </c>
      <c r="D2091">
        <v>10</v>
      </c>
      <c r="E2091" s="3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 s="3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  <c r="Z2091" s="3">
        <f>Table1[[#This Row],[QUANTITYORDERED]]*Table1[[#This Row],[PRICEEACH]]</f>
        <v>3300</v>
      </c>
    </row>
    <row r="2092" spans="1:26" hidden="1" x14ac:dyDescent="0.35">
      <c r="A2092">
        <v>10312</v>
      </c>
      <c r="B2092">
        <v>44</v>
      </c>
      <c r="C2092" s="3">
        <v>100</v>
      </c>
      <c r="D2092">
        <v>7</v>
      </c>
      <c r="E2092" s="3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 s="3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  <c r="Z2092" s="3">
        <f>Table1[[#This Row],[QUANTITYORDERED]]*Table1[[#This Row],[PRICEEACH]]</f>
        <v>4400</v>
      </c>
    </row>
    <row r="2093" spans="1:26" hidden="1" x14ac:dyDescent="0.35">
      <c r="A2093">
        <v>10324</v>
      </c>
      <c r="B2093">
        <v>33</v>
      </c>
      <c r="C2093" s="3">
        <v>100</v>
      </c>
      <c r="D2093">
        <v>3</v>
      </c>
      <c r="E2093" s="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 s="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  <c r="Z2093" s="3">
        <f>Table1[[#This Row],[QUANTITYORDERED]]*Table1[[#This Row],[PRICEEACH]]</f>
        <v>3300</v>
      </c>
    </row>
    <row r="2094" spans="1:26" hidden="1" x14ac:dyDescent="0.35">
      <c r="A2094">
        <v>10333</v>
      </c>
      <c r="B2094">
        <v>39</v>
      </c>
      <c r="C2094" s="3">
        <v>100</v>
      </c>
      <c r="D2094">
        <v>1</v>
      </c>
      <c r="E2094" s="3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 s="3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  <c r="Z2094" s="3">
        <f>Table1[[#This Row],[QUANTITYORDERED]]*Table1[[#This Row],[PRICEEACH]]</f>
        <v>3900</v>
      </c>
    </row>
    <row r="2095" spans="1:26" hidden="1" x14ac:dyDescent="0.35">
      <c r="A2095">
        <v>10348</v>
      </c>
      <c r="B2095">
        <v>39</v>
      </c>
      <c r="C2095" s="3">
        <v>50.31</v>
      </c>
      <c r="D2095">
        <v>2</v>
      </c>
      <c r="E2095" s="3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 s="3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  <c r="Z2095" s="3">
        <f>Table1[[#This Row],[QUANTITYORDERED]]*Table1[[#This Row],[PRICEEACH]]</f>
        <v>1962.0900000000001</v>
      </c>
    </row>
    <row r="2096" spans="1:26" hidden="1" x14ac:dyDescent="0.35">
      <c r="A2096">
        <v>10358</v>
      </c>
      <c r="B2096">
        <v>41</v>
      </c>
      <c r="C2096" s="3">
        <v>100</v>
      </c>
      <c r="D2096">
        <v>6</v>
      </c>
      <c r="E2096" s="3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 s="3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  <c r="Z2096" s="3">
        <f>Table1[[#This Row],[QUANTITYORDERED]]*Table1[[#This Row],[PRICEEACH]]</f>
        <v>4100</v>
      </c>
    </row>
    <row r="2097" spans="1:26" hidden="1" x14ac:dyDescent="0.35">
      <c r="A2097">
        <v>10369</v>
      </c>
      <c r="B2097">
        <v>40</v>
      </c>
      <c r="C2097" s="3">
        <v>86.92</v>
      </c>
      <c r="D2097">
        <v>3</v>
      </c>
      <c r="E2097" s="3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 s="3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  <c r="Z2097" s="3">
        <f>Table1[[#This Row],[QUANTITYORDERED]]*Table1[[#This Row],[PRICEEACH]]</f>
        <v>3476.8</v>
      </c>
    </row>
    <row r="2098" spans="1:26" hidden="1" x14ac:dyDescent="0.35">
      <c r="A2098">
        <v>10382</v>
      </c>
      <c r="B2098">
        <v>33</v>
      </c>
      <c r="C2098" s="3">
        <v>100</v>
      </c>
      <c r="D2098">
        <v>4</v>
      </c>
      <c r="E2098" s="3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 s="3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  <c r="Z2098" s="3">
        <f>Table1[[#This Row],[QUANTITYORDERED]]*Table1[[#This Row],[PRICEEACH]]</f>
        <v>3300</v>
      </c>
    </row>
    <row r="2099" spans="1:26" hidden="1" x14ac:dyDescent="0.35">
      <c r="A2099">
        <v>10423</v>
      </c>
      <c r="B2099">
        <v>28</v>
      </c>
      <c r="C2099" s="3">
        <v>78.89</v>
      </c>
      <c r="D2099">
        <v>4</v>
      </c>
      <c r="E2099" s="3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 s="3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  <c r="Z2099" s="3">
        <f>Table1[[#This Row],[QUANTITYORDERED]]*Table1[[#This Row],[PRICEEACH]]</f>
        <v>2208.92</v>
      </c>
    </row>
    <row r="2100" spans="1:26" hidden="1" x14ac:dyDescent="0.35">
      <c r="A2100">
        <v>10106</v>
      </c>
      <c r="B2100">
        <v>26</v>
      </c>
      <c r="C2100" s="3">
        <v>63.76</v>
      </c>
      <c r="D2100">
        <v>3</v>
      </c>
      <c r="E2100" s="3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 s="3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  <c r="Z2100" s="3">
        <f>Table1[[#This Row],[QUANTITYORDERED]]*Table1[[#This Row],[PRICEEACH]]</f>
        <v>1657.76</v>
      </c>
    </row>
    <row r="2101" spans="1:26" hidden="1" x14ac:dyDescent="0.35">
      <c r="A2101">
        <v>10120</v>
      </c>
      <c r="B2101">
        <v>29</v>
      </c>
      <c r="C2101" s="3">
        <v>85.49</v>
      </c>
      <c r="D2101">
        <v>9</v>
      </c>
      <c r="E2101" s="3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 s="3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  <c r="Z2101" s="3">
        <f>Table1[[#This Row],[QUANTITYORDERED]]*Table1[[#This Row],[PRICEEACH]]</f>
        <v>2479.21</v>
      </c>
    </row>
    <row r="2102" spans="1:26" hidden="1" x14ac:dyDescent="0.35">
      <c r="A2102">
        <v>10133</v>
      </c>
      <c r="B2102">
        <v>46</v>
      </c>
      <c r="C2102" s="3">
        <v>77.52</v>
      </c>
      <c r="D2102">
        <v>4</v>
      </c>
      <c r="E2102" s="3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 s="3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  <c r="Z2102" s="3">
        <f>Table1[[#This Row],[QUANTITYORDERED]]*Table1[[#This Row],[PRICEEACH]]</f>
        <v>3565.9199999999996</v>
      </c>
    </row>
    <row r="2103" spans="1:26" hidden="1" x14ac:dyDescent="0.35">
      <c r="A2103">
        <v>10145</v>
      </c>
      <c r="B2103">
        <v>33</v>
      </c>
      <c r="C2103" s="3">
        <v>84.77</v>
      </c>
      <c r="D2103">
        <v>15</v>
      </c>
      <c r="E2103" s="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 s="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  <c r="Z2103" s="3">
        <f>Table1[[#This Row],[QUANTITYORDERED]]*Table1[[#This Row],[PRICEEACH]]</f>
        <v>2797.41</v>
      </c>
    </row>
    <row r="2104" spans="1:26" hidden="1" x14ac:dyDescent="0.35">
      <c r="A2104">
        <v>10168</v>
      </c>
      <c r="B2104">
        <v>48</v>
      </c>
      <c r="C2104" s="3">
        <v>78.25</v>
      </c>
      <c r="D2104">
        <v>10</v>
      </c>
      <c r="E2104" s="3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 s="3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  <c r="Z2104" s="3">
        <f>Table1[[#This Row],[QUANTITYORDERED]]*Table1[[#This Row],[PRICEEACH]]</f>
        <v>3756</v>
      </c>
    </row>
    <row r="2105" spans="1:26" hidden="1" x14ac:dyDescent="0.35">
      <c r="A2105">
        <v>10210</v>
      </c>
      <c r="B2105">
        <v>40</v>
      </c>
      <c r="C2105" s="3">
        <v>71</v>
      </c>
      <c r="D2105">
        <v>8</v>
      </c>
      <c r="E2105" s="3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 s="3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  <c r="Z2105" s="3">
        <f>Table1[[#This Row],[QUANTITYORDERED]]*Table1[[#This Row],[PRICEEACH]]</f>
        <v>2840</v>
      </c>
    </row>
    <row r="2106" spans="1:26" hidden="1" x14ac:dyDescent="0.35">
      <c r="A2106">
        <v>10223</v>
      </c>
      <c r="B2106">
        <v>23</v>
      </c>
      <c r="C2106" s="3">
        <v>74.62</v>
      </c>
      <c r="D2106">
        <v>10</v>
      </c>
      <c r="E2106" s="3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 s="3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  <c r="Z2106" s="3">
        <f>Table1[[#This Row],[QUANTITYORDERED]]*Table1[[#This Row],[PRICEEACH]]</f>
        <v>1716.2600000000002</v>
      </c>
    </row>
    <row r="2107" spans="1:26" hidden="1" x14ac:dyDescent="0.35">
      <c r="A2107">
        <v>10235</v>
      </c>
      <c r="B2107">
        <v>40</v>
      </c>
      <c r="C2107" s="3">
        <v>81.14</v>
      </c>
      <c r="D2107">
        <v>4</v>
      </c>
      <c r="E2107" s="3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 s="3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  <c r="Z2107" s="3">
        <f>Table1[[#This Row],[QUANTITYORDERED]]*Table1[[#This Row],[PRICEEACH]]</f>
        <v>3245.6</v>
      </c>
    </row>
    <row r="2108" spans="1:26" hidden="1" x14ac:dyDescent="0.35">
      <c r="A2108">
        <v>10250</v>
      </c>
      <c r="B2108">
        <v>37</v>
      </c>
      <c r="C2108" s="3">
        <v>74.62</v>
      </c>
      <c r="D2108">
        <v>5</v>
      </c>
      <c r="E2108" s="3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 s="3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  <c r="Z2108" s="3">
        <f>Table1[[#This Row],[QUANTITYORDERED]]*Table1[[#This Row],[PRICEEACH]]</f>
        <v>2760.94</v>
      </c>
    </row>
    <row r="2109" spans="1:26" hidden="1" x14ac:dyDescent="0.35">
      <c r="A2109">
        <v>10263</v>
      </c>
      <c r="B2109">
        <v>24</v>
      </c>
      <c r="C2109" s="3">
        <v>75.349999999999994</v>
      </c>
      <c r="D2109">
        <v>11</v>
      </c>
      <c r="E2109" s="3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 s="3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  <c r="Z2109" s="3">
        <f>Table1[[#This Row],[QUANTITYORDERED]]*Table1[[#This Row],[PRICEEACH]]</f>
        <v>1808.3999999999999</v>
      </c>
    </row>
    <row r="2110" spans="1:26" hidden="1" x14ac:dyDescent="0.35">
      <c r="A2110">
        <v>10275</v>
      </c>
      <c r="B2110">
        <v>27</v>
      </c>
      <c r="C2110" s="3">
        <v>62.31</v>
      </c>
      <c r="D2110">
        <v>10</v>
      </c>
      <c r="E2110" s="3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 s="3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  <c r="Z2110" s="3">
        <f>Table1[[#This Row],[QUANTITYORDERED]]*Table1[[#This Row],[PRICEEACH]]</f>
        <v>1682.3700000000001</v>
      </c>
    </row>
    <row r="2111" spans="1:26" hidden="1" x14ac:dyDescent="0.35">
      <c r="A2111">
        <v>10284</v>
      </c>
      <c r="B2111">
        <v>21</v>
      </c>
      <c r="C2111" s="3">
        <v>71</v>
      </c>
      <c r="D2111">
        <v>2</v>
      </c>
      <c r="E2111" s="3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 s="3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  <c r="Z2111" s="3">
        <f>Table1[[#This Row],[QUANTITYORDERED]]*Table1[[#This Row],[PRICEEACH]]</f>
        <v>1491</v>
      </c>
    </row>
    <row r="2112" spans="1:26" hidden="1" x14ac:dyDescent="0.35">
      <c r="A2112">
        <v>10297</v>
      </c>
      <c r="B2112">
        <v>23</v>
      </c>
      <c r="C2112" s="3">
        <v>72.45</v>
      </c>
      <c r="D2112">
        <v>5</v>
      </c>
      <c r="E2112" s="3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 s="3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  <c r="Z2112" s="3">
        <f>Table1[[#This Row],[QUANTITYORDERED]]*Table1[[#This Row],[PRICEEACH]]</f>
        <v>1666.3500000000001</v>
      </c>
    </row>
    <row r="2113" spans="1:26" hidden="1" x14ac:dyDescent="0.35">
      <c r="A2113">
        <v>10308</v>
      </c>
      <c r="B2113">
        <v>44</v>
      </c>
      <c r="C2113" s="3">
        <v>83.32</v>
      </c>
      <c r="D2113">
        <v>8</v>
      </c>
      <c r="E2113" s="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 s="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  <c r="Z2113" s="3">
        <f>Table1[[#This Row],[QUANTITYORDERED]]*Table1[[#This Row],[PRICEEACH]]</f>
        <v>3666.08</v>
      </c>
    </row>
    <row r="2114" spans="1:26" hidden="1" x14ac:dyDescent="0.35">
      <c r="A2114">
        <v>10317</v>
      </c>
      <c r="B2114">
        <v>35</v>
      </c>
      <c r="C2114" s="3">
        <v>83.32</v>
      </c>
      <c r="D2114">
        <v>1</v>
      </c>
      <c r="E2114" s="3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 s="3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  <c r="Z2114" s="3">
        <f>Table1[[#This Row],[QUANTITYORDERED]]*Table1[[#This Row],[PRICEEACH]]</f>
        <v>2916.2</v>
      </c>
    </row>
    <row r="2115" spans="1:26" hidden="1" x14ac:dyDescent="0.35">
      <c r="A2115">
        <v>10328</v>
      </c>
      <c r="B2115">
        <v>43</v>
      </c>
      <c r="C2115" s="3">
        <v>60.86</v>
      </c>
      <c r="D2115">
        <v>4</v>
      </c>
      <c r="E2115" s="3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 s="3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  <c r="Z2115" s="3">
        <f>Table1[[#This Row],[QUANTITYORDERED]]*Table1[[#This Row],[PRICEEACH]]</f>
        <v>2616.98</v>
      </c>
    </row>
    <row r="2116" spans="1:26" hidden="1" x14ac:dyDescent="0.35">
      <c r="A2116">
        <v>10340</v>
      </c>
      <c r="B2116">
        <v>40</v>
      </c>
      <c r="C2116" s="3">
        <v>84.77</v>
      </c>
      <c r="D2116">
        <v>1</v>
      </c>
      <c r="E2116" s="3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 s="3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  <c r="Z2116" s="3">
        <f>Table1[[#This Row],[QUANTITYORDERED]]*Table1[[#This Row],[PRICEEACH]]</f>
        <v>3390.7999999999997</v>
      </c>
    </row>
    <row r="2117" spans="1:26" hidden="1" x14ac:dyDescent="0.35">
      <c r="A2117">
        <v>10353</v>
      </c>
      <c r="B2117">
        <v>35</v>
      </c>
      <c r="C2117" s="3">
        <v>89.9</v>
      </c>
      <c r="D2117">
        <v>3</v>
      </c>
      <c r="E2117" s="3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 s="3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  <c r="Z2117" s="3">
        <f>Table1[[#This Row],[QUANTITYORDERED]]*Table1[[#This Row],[PRICEEACH]]</f>
        <v>3146.5</v>
      </c>
    </row>
    <row r="2118" spans="1:26" hidden="1" x14ac:dyDescent="0.35">
      <c r="A2118">
        <v>10361</v>
      </c>
      <c r="B2118">
        <v>25</v>
      </c>
      <c r="C2118" s="3">
        <v>62.46</v>
      </c>
      <c r="D2118">
        <v>1</v>
      </c>
      <c r="E2118" s="3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 s="3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  <c r="Z2118" s="3">
        <f>Table1[[#This Row],[QUANTITYORDERED]]*Table1[[#This Row],[PRICEEACH]]</f>
        <v>1561.5</v>
      </c>
    </row>
    <row r="2119" spans="1:26" hidden="1" x14ac:dyDescent="0.35">
      <c r="A2119">
        <v>10375</v>
      </c>
      <c r="B2119">
        <v>43</v>
      </c>
      <c r="C2119" s="3">
        <v>100</v>
      </c>
      <c r="D2119">
        <v>2</v>
      </c>
      <c r="E2119" s="3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 s="3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  <c r="Z2119" s="3">
        <f>Table1[[#This Row],[QUANTITYORDERED]]*Table1[[#This Row],[PRICEEACH]]</f>
        <v>4300</v>
      </c>
    </row>
    <row r="2120" spans="1:26" hidden="1" x14ac:dyDescent="0.35">
      <c r="A2120">
        <v>10386</v>
      </c>
      <c r="B2120">
        <v>50</v>
      </c>
      <c r="C2120" s="3">
        <v>63.34</v>
      </c>
      <c r="D2120">
        <v>8</v>
      </c>
      <c r="E2120" s="3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 s="3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  <c r="Z2120" s="3">
        <f>Table1[[#This Row],[QUANTITYORDERED]]*Table1[[#This Row],[PRICEEACH]]</f>
        <v>3167</v>
      </c>
    </row>
    <row r="2121" spans="1:26" hidden="1" x14ac:dyDescent="0.35">
      <c r="A2121">
        <v>10398</v>
      </c>
      <c r="B2121">
        <v>45</v>
      </c>
      <c r="C2121" s="3">
        <v>78.25</v>
      </c>
      <c r="D2121">
        <v>14</v>
      </c>
      <c r="E2121" s="3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 s="3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  <c r="Z2121" s="3">
        <f>Table1[[#This Row],[QUANTITYORDERED]]*Table1[[#This Row],[PRICEEACH]]</f>
        <v>3521.25</v>
      </c>
    </row>
    <row r="2122" spans="1:26" hidden="1" x14ac:dyDescent="0.35">
      <c r="A2122">
        <v>10401</v>
      </c>
      <c r="B2122">
        <v>52</v>
      </c>
      <c r="C2122" s="3">
        <v>81.14</v>
      </c>
      <c r="D2122">
        <v>4</v>
      </c>
      <c r="E2122" s="3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 s="3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  <c r="Z2122" s="3">
        <f>Table1[[#This Row],[QUANTITYORDERED]]*Table1[[#This Row],[PRICEEACH]]</f>
        <v>4219.28</v>
      </c>
    </row>
    <row r="2123" spans="1:26" hidden="1" x14ac:dyDescent="0.35">
      <c r="A2123">
        <v>10416</v>
      </c>
      <c r="B2123">
        <v>48</v>
      </c>
      <c r="C2123" s="3">
        <v>74.62</v>
      </c>
      <c r="D2123">
        <v>5</v>
      </c>
      <c r="E2123" s="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 s="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  <c r="Z2123" s="3">
        <f>Table1[[#This Row],[QUANTITYORDERED]]*Table1[[#This Row],[PRICEEACH]]</f>
        <v>3581.76</v>
      </c>
    </row>
    <row r="2124" spans="1:26" x14ac:dyDescent="0.35">
      <c r="A2124">
        <v>10108</v>
      </c>
      <c r="B2124">
        <v>31</v>
      </c>
      <c r="C2124" s="3">
        <v>68.709999999999994</v>
      </c>
      <c r="D2124">
        <v>10</v>
      </c>
      <c r="E2124" s="3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 s="3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  <c r="Z2124" s="3">
        <f>Table1[[#This Row],[QUANTITYORDERED]]*Table1[[#This Row],[PRICEEACH]]</f>
        <v>2130.0099999999998</v>
      </c>
    </row>
    <row r="2125" spans="1:26" x14ac:dyDescent="0.35">
      <c r="A2125">
        <v>10122</v>
      </c>
      <c r="B2125">
        <v>29</v>
      </c>
      <c r="C2125" s="3">
        <v>71.14</v>
      </c>
      <c r="D2125">
        <v>14</v>
      </c>
      <c r="E2125" s="3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 s="3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  <c r="Z2125" s="3">
        <f>Table1[[#This Row],[QUANTITYORDERED]]*Table1[[#This Row],[PRICEEACH]]</f>
        <v>2063.06</v>
      </c>
    </row>
    <row r="2126" spans="1:26" x14ac:dyDescent="0.35">
      <c r="A2126">
        <v>10135</v>
      </c>
      <c r="B2126">
        <v>23</v>
      </c>
      <c r="C2126" s="3">
        <v>87.31</v>
      </c>
      <c r="D2126">
        <v>11</v>
      </c>
      <c r="E2126" s="3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 s="3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  <c r="Z2126" s="3">
        <f>Table1[[#This Row],[QUANTITYORDERED]]*Table1[[#This Row],[PRICEEACH]]</f>
        <v>2008.13</v>
      </c>
    </row>
    <row r="2127" spans="1:26" x14ac:dyDescent="0.35">
      <c r="A2127">
        <v>10147</v>
      </c>
      <c r="B2127">
        <v>31</v>
      </c>
      <c r="C2127" s="3">
        <v>64.67</v>
      </c>
      <c r="D2127">
        <v>11</v>
      </c>
      <c r="E2127" s="3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 s="3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  <c r="Z2127" s="3">
        <f>Table1[[#This Row],[QUANTITYORDERED]]*Table1[[#This Row],[PRICEEACH]]</f>
        <v>2004.77</v>
      </c>
    </row>
    <row r="2128" spans="1:26" x14ac:dyDescent="0.35">
      <c r="A2128">
        <v>10159</v>
      </c>
      <c r="B2128">
        <v>23</v>
      </c>
      <c r="C2128" s="3">
        <v>67.099999999999994</v>
      </c>
      <c r="D2128">
        <v>6</v>
      </c>
      <c r="E2128" s="3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 s="3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  <c r="Z2128" s="3">
        <f>Table1[[#This Row],[QUANTITYORDERED]]*Table1[[#This Row],[PRICEEACH]]</f>
        <v>1543.3</v>
      </c>
    </row>
    <row r="2129" spans="1:26" x14ac:dyDescent="0.35">
      <c r="A2129">
        <v>10169</v>
      </c>
      <c r="B2129">
        <v>24</v>
      </c>
      <c r="C2129" s="3">
        <v>94.58</v>
      </c>
      <c r="D2129">
        <v>6</v>
      </c>
      <c r="E2129" s="3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 s="3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  <c r="Z2129" s="3">
        <f>Table1[[#This Row],[QUANTITYORDERED]]*Table1[[#This Row],[PRICEEACH]]</f>
        <v>2269.92</v>
      </c>
    </row>
    <row r="2130" spans="1:26" x14ac:dyDescent="0.35">
      <c r="A2130">
        <v>10180</v>
      </c>
      <c r="B2130">
        <v>28</v>
      </c>
      <c r="C2130" s="3">
        <v>71.14</v>
      </c>
      <c r="D2130">
        <v>1</v>
      </c>
      <c r="E2130" s="3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 s="3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  <c r="Z2130" s="3">
        <f>Table1[[#This Row],[QUANTITYORDERED]]*Table1[[#This Row],[PRICEEACH]]</f>
        <v>1991.92</v>
      </c>
    </row>
    <row r="2131" spans="1:26" x14ac:dyDescent="0.35">
      <c r="A2131">
        <v>10191</v>
      </c>
      <c r="B2131">
        <v>44</v>
      </c>
      <c r="C2131" s="3">
        <v>66.290000000000006</v>
      </c>
      <c r="D2131">
        <v>7</v>
      </c>
      <c r="E2131" s="3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 s="3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  <c r="Z2131" s="3">
        <f>Table1[[#This Row],[QUANTITYORDERED]]*Table1[[#This Row],[PRICEEACH]]</f>
        <v>2916.76</v>
      </c>
    </row>
    <row r="2132" spans="1:26" x14ac:dyDescent="0.35">
      <c r="A2132">
        <v>10211</v>
      </c>
      <c r="B2132">
        <v>22</v>
      </c>
      <c r="C2132" s="3">
        <v>92.16</v>
      </c>
      <c r="D2132">
        <v>6</v>
      </c>
      <c r="E2132" s="3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 s="3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  <c r="Z2132" s="3">
        <f>Table1[[#This Row],[QUANTITYORDERED]]*Table1[[#This Row],[PRICEEACH]]</f>
        <v>2027.52</v>
      </c>
    </row>
    <row r="2133" spans="1:26" x14ac:dyDescent="0.35">
      <c r="A2133">
        <v>10225</v>
      </c>
      <c r="B2133">
        <v>46</v>
      </c>
      <c r="C2133" s="3">
        <v>70.33</v>
      </c>
      <c r="D2133">
        <v>13</v>
      </c>
      <c r="E2133" s="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 s="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  <c r="Z2133" s="3">
        <f>Table1[[#This Row],[QUANTITYORDERED]]*Table1[[#This Row],[PRICEEACH]]</f>
        <v>3235.18</v>
      </c>
    </row>
    <row r="2134" spans="1:26" x14ac:dyDescent="0.35">
      <c r="A2134">
        <v>10238</v>
      </c>
      <c r="B2134">
        <v>22</v>
      </c>
      <c r="C2134" s="3">
        <v>93.77</v>
      </c>
      <c r="D2134">
        <v>7</v>
      </c>
      <c r="E2134" s="3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 s="3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  <c r="Z2134" s="3">
        <f>Table1[[#This Row],[QUANTITYORDERED]]*Table1[[#This Row],[PRICEEACH]]</f>
        <v>2062.94</v>
      </c>
    </row>
    <row r="2135" spans="1:26" x14ac:dyDescent="0.35">
      <c r="A2135">
        <v>10252</v>
      </c>
      <c r="B2135">
        <v>38</v>
      </c>
      <c r="C2135" s="3">
        <v>87.31</v>
      </c>
      <c r="D2135">
        <v>3</v>
      </c>
      <c r="E2135" s="3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 s="3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  <c r="Z2135" s="3">
        <f>Table1[[#This Row],[QUANTITYORDERED]]*Table1[[#This Row],[PRICEEACH]]</f>
        <v>3317.78</v>
      </c>
    </row>
    <row r="2136" spans="1:26" x14ac:dyDescent="0.35">
      <c r="A2136">
        <v>10264</v>
      </c>
      <c r="B2136">
        <v>47</v>
      </c>
      <c r="C2136" s="3">
        <v>83.27</v>
      </c>
      <c r="D2136">
        <v>1</v>
      </c>
      <c r="E2136" s="3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 s="3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  <c r="Z2136" s="3">
        <f>Table1[[#This Row],[QUANTITYORDERED]]*Table1[[#This Row],[PRICEEACH]]</f>
        <v>3913.6899999999996</v>
      </c>
    </row>
    <row r="2137" spans="1:26" x14ac:dyDescent="0.35">
      <c r="A2137">
        <v>10276</v>
      </c>
      <c r="B2137">
        <v>48</v>
      </c>
      <c r="C2137" s="3">
        <v>75.180000000000007</v>
      </c>
      <c r="D2137">
        <v>7</v>
      </c>
      <c r="E2137" s="3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 s="3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  <c r="Z2137" s="3">
        <f>Table1[[#This Row],[QUANTITYORDERED]]*Table1[[#This Row],[PRICEEACH]]</f>
        <v>3608.6400000000003</v>
      </c>
    </row>
    <row r="2138" spans="1:26" x14ac:dyDescent="0.35">
      <c r="A2138">
        <v>10287</v>
      </c>
      <c r="B2138">
        <v>40</v>
      </c>
      <c r="C2138" s="3">
        <v>88.12</v>
      </c>
      <c r="D2138">
        <v>16</v>
      </c>
      <c r="E2138" s="3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 s="3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  <c r="Z2138" s="3">
        <f>Table1[[#This Row],[QUANTITYORDERED]]*Table1[[#This Row],[PRICEEACH]]</f>
        <v>3524.8</v>
      </c>
    </row>
    <row r="2139" spans="1:26" x14ac:dyDescent="0.35">
      <c r="A2139">
        <v>10299</v>
      </c>
      <c r="B2139">
        <v>32</v>
      </c>
      <c r="C2139" s="3">
        <v>80.84</v>
      </c>
      <c r="D2139">
        <v>1</v>
      </c>
      <c r="E2139" s="3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 s="3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  <c r="Z2139" s="3">
        <f>Table1[[#This Row],[QUANTITYORDERED]]*Table1[[#This Row],[PRICEEACH]]</f>
        <v>2586.88</v>
      </c>
    </row>
    <row r="2140" spans="1:26" x14ac:dyDescent="0.35">
      <c r="A2140">
        <v>10310</v>
      </c>
      <c r="B2140">
        <v>49</v>
      </c>
      <c r="C2140" s="3">
        <v>97.01</v>
      </c>
      <c r="D2140">
        <v>14</v>
      </c>
      <c r="E2140" s="3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 s="3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  <c r="Z2140" s="3">
        <f>Table1[[#This Row],[QUANTITYORDERED]]*Table1[[#This Row],[PRICEEACH]]</f>
        <v>4753.4900000000007</v>
      </c>
    </row>
    <row r="2141" spans="1:26" x14ac:dyDescent="0.35">
      <c r="A2141">
        <v>10319</v>
      </c>
      <c r="B2141">
        <v>43</v>
      </c>
      <c r="C2141" s="3">
        <v>85.69</v>
      </c>
      <c r="D2141">
        <v>2</v>
      </c>
      <c r="E2141" s="3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 s="3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  <c r="Z2141" s="3">
        <f>Table1[[#This Row],[QUANTITYORDERED]]*Table1[[#This Row],[PRICEEACH]]</f>
        <v>3684.67</v>
      </c>
    </row>
    <row r="2142" spans="1:26" x14ac:dyDescent="0.35">
      <c r="A2142">
        <v>10331</v>
      </c>
      <c r="B2142">
        <v>41</v>
      </c>
      <c r="C2142" s="3">
        <v>100</v>
      </c>
      <c r="D2142">
        <v>2</v>
      </c>
      <c r="E2142" s="3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 s="3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  <c r="Z2142" s="3">
        <f>Table1[[#This Row],[QUANTITYORDERED]]*Table1[[#This Row],[PRICEEACH]]</f>
        <v>4100</v>
      </c>
    </row>
    <row r="2143" spans="1:26" x14ac:dyDescent="0.35">
      <c r="A2143">
        <v>10343</v>
      </c>
      <c r="B2143">
        <v>30</v>
      </c>
      <c r="C2143" s="3">
        <v>100</v>
      </c>
      <c r="D2143">
        <v>1</v>
      </c>
      <c r="E2143" s="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 s="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  <c r="Z2143" s="3">
        <f>Table1[[#This Row],[QUANTITYORDERED]]*Table1[[#This Row],[PRICEEACH]]</f>
        <v>3000</v>
      </c>
    </row>
    <row r="2144" spans="1:26" x14ac:dyDescent="0.35">
      <c r="A2144">
        <v>10355</v>
      </c>
      <c r="B2144">
        <v>28</v>
      </c>
      <c r="C2144" s="3">
        <v>95.39</v>
      </c>
      <c r="D2144">
        <v>9</v>
      </c>
      <c r="E2144" s="3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 s="3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  <c r="Z2144" s="3">
        <f>Table1[[#This Row],[QUANTITYORDERED]]*Table1[[#This Row],[PRICEEACH]]</f>
        <v>2670.92</v>
      </c>
    </row>
    <row r="2145" spans="1:26" x14ac:dyDescent="0.35">
      <c r="A2145">
        <v>10363</v>
      </c>
      <c r="B2145">
        <v>43</v>
      </c>
      <c r="C2145" s="3">
        <v>100</v>
      </c>
      <c r="D2145">
        <v>9</v>
      </c>
      <c r="E2145" s="3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 s="3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  <c r="Z2145" s="3">
        <f>Table1[[#This Row],[QUANTITYORDERED]]*Table1[[#This Row],[PRICEEACH]]</f>
        <v>4300</v>
      </c>
    </row>
    <row r="2146" spans="1:26" x14ac:dyDescent="0.35">
      <c r="A2146">
        <v>10378</v>
      </c>
      <c r="B2146">
        <v>41</v>
      </c>
      <c r="C2146" s="3">
        <v>100</v>
      </c>
      <c r="D2146">
        <v>2</v>
      </c>
      <c r="E2146" s="3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 s="3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  <c r="Z2146" s="3">
        <f>Table1[[#This Row],[QUANTITYORDERED]]*Table1[[#This Row],[PRICEEACH]]</f>
        <v>4100</v>
      </c>
    </row>
    <row r="2147" spans="1:26" x14ac:dyDescent="0.35">
      <c r="A2147">
        <v>10390</v>
      </c>
      <c r="B2147">
        <v>30</v>
      </c>
      <c r="C2147" s="3">
        <v>82.42</v>
      </c>
      <c r="D2147">
        <v>10</v>
      </c>
      <c r="E2147" s="3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 s="3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  <c r="Z2147" s="3">
        <f>Table1[[#This Row],[QUANTITYORDERED]]*Table1[[#This Row],[PRICEEACH]]</f>
        <v>2472.6</v>
      </c>
    </row>
    <row r="2148" spans="1:26" hidden="1" x14ac:dyDescent="0.35">
      <c r="A2148">
        <v>10103</v>
      </c>
      <c r="B2148">
        <v>31</v>
      </c>
      <c r="C2148" s="3">
        <v>100</v>
      </c>
      <c r="D2148">
        <v>3</v>
      </c>
      <c r="E2148" s="3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 s="3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  <c r="Z2148" s="3">
        <f>Table1[[#This Row],[QUANTITYORDERED]]*Table1[[#This Row],[PRICEEACH]]</f>
        <v>3100</v>
      </c>
    </row>
    <row r="2149" spans="1:26" hidden="1" x14ac:dyDescent="0.35">
      <c r="A2149">
        <v>10114</v>
      </c>
      <c r="B2149">
        <v>32</v>
      </c>
      <c r="C2149" s="3">
        <v>100</v>
      </c>
      <c r="D2149">
        <v>7</v>
      </c>
      <c r="E2149" s="3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 s="3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  <c r="Z2149" s="3">
        <f>Table1[[#This Row],[QUANTITYORDERED]]*Table1[[#This Row],[PRICEEACH]]</f>
        <v>3200</v>
      </c>
    </row>
    <row r="2150" spans="1:26" hidden="1" x14ac:dyDescent="0.35">
      <c r="A2150">
        <v>10126</v>
      </c>
      <c r="B2150">
        <v>43</v>
      </c>
      <c r="C2150" s="3">
        <v>96.31</v>
      </c>
      <c r="D2150">
        <v>3</v>
      </c>
      <c r="E2150" s="3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 s="3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  <c r="Z2150" s="3">
        <f>Table1[[#This Row],[QUANTITYORDERED]]*Table1[[#This Row],[PRICEEACH]]</f>
        <v>4141.33</v>
      </c>
    </row>
    <row r="2151" spans="1:26" hidden="1" x14ac:dyDescent="0.35">
      <c r="A2151">
        <v>10140</v>
      </c>
      <c r="B2151">
        <v>26</v>
      </c>
      <c r="C2151" s="3">
        <v>100</v>
      </c>
      <c r="D2151">
        <v>3</v>
      </c>
      <c r="E2151" s="3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 s="3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  <c r="Z2151" s="3">
        <f>Table1[[#This Row],[QUANTITYORDERED]]*Table1[[#This Row],[PRICEEACH]]</f>
        <v>2600</v>
      </c>
    </row>
    <row r="2152" spans="1:26" hidden="1" x14ac:dyDescent="0.35">
      <c r="A2152">
        <v>10151</v>
      </c>
      <c r="B2152">
        <v>27</v>
      </c>
      <c r="C2152" s="3">
        <v>100</v>
      </c>
      <c r="D2152">
        <v>10</v>
      </c>
      <c r="E2152" s="3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 s="3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  <c r="Z2152" s="3">
        <f>Table1[[#This Row],[QUANTITYORDERED]]*Table1[[#This Row],[PRICEEACH]]</f>
        <v>2700</v>
      </c>
    </row>
    <row r="2153" spans="1:26" hidden="1" x14ac:dyDescent="0.35">
      <c r="A2153">
        <v>10164</v>
      </c>
      <c r="B2153">
        <v>24</v>
      </c>
      <c r="C2153" s="3">
        <v>100</v>
      </c>
      <c r="D2153">
        <v>1</v>
      </c>
      <c r="E2153" s="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 s="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  <c r="Z2153" s="3">
        <f>Table1[[#This Row],[QUANTITYORDERED]]*Table1[[#This Row],[PRICEEACH]]</f>
        <v>2400</v>
      </c>
    </row>
    <row r="2154" spans="1:26" hidden="1" x14ac:dyDescent="0.35">
      <c r="A2154">
        <v>10175</v>
      </c>
      <c r="B2154">
        <v>22</v>
      </c>
      <c r="C2154" s="3">
        <v>100</v>
      </c>
      <c r="D2154">
        <v>8</v>
      </c>
      <c r="E2154" s="3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 s="3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  <c r="Z2154" s="3">
        <f>Table1[[#This Row],[QUANTITYORDERED]]*Table1[[#This Row],[PRICEEACH]]</f>
        <v>2200</v>
      </c>
    </row>
    <row r="2155" spans="1:26" hidden="1" x14ac:dyDescent="0.35">
      <c r="A2155">
        <v>10184</v>
      </c>
      <c r="B2155">
        <v>46</v>
      </c>
      <c r="C2155" s="3">
        <v>100</v>
      </c>
      <c r="D2155">
        <v>13</v>
      </c>
      <c r="E2155" s="3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 s="3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  <c r="Z2155" s="3">
        <f>Table1[[#This Row],[QUANTITYORDERED]]*Table1[[#This Row],[PRICEEACH]]</f>
        <v>4600</v>
      </c>
    </row>
    <row r="2156" spans="1:26" hidden="1" x14ac:dyDescent="0.35">
      <c r="A2156">
        <v>10194</v>
      </c>
      <c r="B2156">
        <v>37</v>
      </c>
      <c r="C2156" s="3">
        <v>97.27</v>
      </c>
      <c r="D2156">
        <v>3</v>
      </c>
      <c r="E2156" s="3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 s="3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  <c r="Z2156" s="3">
        <f>Table1[[#This Row],[QUANTITYORDERED]]*Table1[[#This Row],[PRICEEACH]]</f>
        <v>3598.99</v>
      </c>
    </row>
    <row r="2157" spans="1:26" hidden="1" x14ac:dyDescent="0.35">
      <c r="A2157">
        <v>10207</v>
      </c>
      <c r="B2157">
        <v>49</v>
      </c>
      <c r="C2157" s="3">
        <v>80.900000000000006</v>
      </c>
      <c r="D2157">
        <v>14</v>
      </c>
      <c r="E2157" s="3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 s="3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  <c r="Z2157" s="3">
        <f>Table1[[#This Row],[QUANTITYORDERED]]*Table1[[#This Row],[PRICEEACH]]</f>
        <v>3964.1000000000004</v>
      </c>
    </row>
    <row r="2158" spans="1:26" hidden="1" x14ac:dyDescent="0.35">
      <c r="A2158">
        <v>10217</v>
      </c>
      <c r="B2158">
        <v>21</v>
      </c>
      <c r="C2158" s="3">
        <v>100</v>
      </c>
      <c r="D2158">
        <v>3</v>
      </c>
      <c r="E2158" s="3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 s="3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  <c r="Z2158" s="3">
        <f>Table1[[#This Row],[QUANTITYORDERED]]*Table1[[#This Row],[PRICEEACH]]</f>
        <v>2100</v>
      </c>
    </row>
    <row r="2159" spans="1:26" hidden="1" x14ac:dyDescent="0.35">
      <c r="A2159">
        <v>10229</v>
      </c>
      <c r="B2159">
        <v>25</v>
      </c>
      <c r="C2159" s="3">
        <v>100</v>
      </c>
      <c r="D2159">
        <v>8</v>
      </c>
      <c r="E2159" s="3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 s="3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  <c r="Z2159" s="3">
        <f>Table1[[#This Row],[QUANTITYORDERED]]*Table1[[#This Row],[PRICEEACH]]</f>
        <v>2500</v>
      </c>
    </row>
    <row r="2160" spans="1:26" hidden="1" x14ac:dyDescent="0.35">
      <c r="A2160">
        <v>10245</v>
      </c>
      <c r="B2160">
        <v>37</v>
      </c>
      <c r="C2160" s="3">
        <v>100</v>
      </c>
      <c r="D2160">
        <v>1</v>
      </c>
      <c r="E2160" s="3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 s="3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  <c r="Z2160" s="3">
        <f>Table1[[#This Row],[QUANTITYORDERED]]*Table1[[#This Row],[PRICEEACH]]</f>
        <v>3700</v>
      </c>
    </row>
    <row r="2161" spans="1:26" hidden="1" x14ac:dyDescent="0.35">
      <c r="A2161">
        <v>10259</v>
      </c>
      <c r="B2161">
        <v>45</v>
      </c>
      <c r="C2161" s="3">
        <v>86.68</v>
      </c>
      <c r="D2161">
        <v>11</v>
      </c>
      <c r="E2161" s="3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 s="3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  <c r="Z2161" s="3">
        <f>Table1[[#This Row],[QUANTITYORDERED]]*Table1[[#This Row],[PRICEEACH]]</f>
        <v>3900.6000000000004</v>
      </c>
    </row>
    <row r="2162" spans="1:26" hidden="1" x14ac:dyDescent="0.35">
      <c r="A2162">
        <v>10270</v>
      </c>
      <c r="B2162">
        <v>32</v>
      </c>
      <c r="C2162" s="3">
        <v>85.72</v>
      </c>
      <c r="D2162">
        <v>1</v>
      </c>
      <c r="E2162" s="3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 s="3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  <c r="Z2162" s="3">
        <f>Table1[[#This Row],[QUANTITYORDERED]]*Table1[[#This Row],[PRICEEACH]]</f>
        <v>2743.04</v>
      </c>
    </row>
    <row r="2163" spans="1:26" hidden="1" x14ac:dyDescent="0.35">
      <c r="A2163">
        <v>10281</v>
      </c>
      <c r="B2163">
        <v>29</v>
      </c>
      <c r="C2163" s="3">
        <v>82.83</v>
      </c>
      <c r="D2163">
        <v>8</v>
      </c>
      <c r="E2163" s="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 s="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  <c r="Z2163" s="3">
        <f>Table1[[#This Row],[QUANTITYORDERED]]*Table1[[#This Row],[PRICEEACH]]</f>
        <v>2402.0700000000002</v>
      </c>
    </row>
    <row r="2164" spans="1:26" hidden="1" x14ac:dyDescent="0.35">
      <c r="A2164">
        <v>10291</v>
      </c>
      <c r="B2164">
        <v>26</v>
      </c>
      <c r="C2164" s="3">
        <v>83.79</v>
      </c>
      <c r="D2164">
        <v>3</v>
      </c>
      <c r="E2164" s="3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 s="3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  <c r="Z2164" s="3">
        <f>Table1[[#This Row],[QUANTITYORDERED]]*Table1[[#This Row],[PRICEEACH]]</f>
        <v>2178.54</v>
      </c>
    </row>
    <row r="2165" spans="1:26" hidden="1" x14ac:dyDescent="0.35">
      <c r="A2165">
        <v>10305</v>
      </c>
      <c r="B2165">
        <v>28</v>
      </c>
      <c r="C2165" s="3">
        <v>100</v>
      </c>
      <c r="D2165">
        <v>12</v>
      </c>
      <c r="E2165" s="3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 s="3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  <c r="Z2165" s="3">
        <f>Table1[[#This Row],[QUANTITYORDERED]]*Table1[[#This Row],[PRICEEACH]]</f>
        <v>2800</v>
      </c>
    </row>
    <row r="2166" spans="1:26" hidden="1" x14ac:dyDescent="0.35">
      <c r="A2166">
        <v>10313</v>
      </c>
      <c r="B2166">
        <v>27</v>
      </c>
      <c r="C2166" s="3">
        <v>87.64</v>
      </c>
      <c r="D2166">
        <v>6</v>
      </c>
      <c r="E2166" s="3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 s="3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  <c r="Z2166" s="3">
        <f>Table1[[#This Row],[QUANTITYORDERED]]*Table1[[#This Row],[PRICEEACH]]</f>
        <v>2366.2800000000002</v>
      </c>
    </row>
    <row r="2167" spans="1:26" hidden="1" x14ac:dyDescent="0.35">
      <c r="A2167">
        <v>10324</v>
      </c>
      <c r="B2167">
        <v>20</v>
      </c>
      <c r="C2167" s="3">
        <v>98.18</v>
      </c>
      <c r="D2167">
        <v>11</v>
      </c>
      <c r="E2167" s="3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 s="3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  <c r="Z2167" s="3">
        <f>Table1[[#This Row],[QUANTITYORDERED]]*Table1[[#This Row],[PRICEEACH]]</f>
        <v>1963.6000000000001</v>
      </c>
    </row>
    <row r="2168" spans="1:26" hidden="1" x14ac:dyDescent="0.35">
      <c r="A2168">
        <v>10335</v>
      </c>
      <c r="B2168">
        <v>44</v>
      </c>
      <c r="C2168" s="3">
        <v>100</v>
      </c>
      <c r="D2168">
        <v>1</v>
      </c>
      <c r="E2168" s="3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 s="3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  <c r="Z2168" s="3">
        <f>Table1[[#This Row],[QUANTITYORDERED]]*Table1[[#This Row],[PRICEEACH]]</f>
        <v>4400</v>
      </c>
    </row>
    <row r="2169" spans="1:26" hidden="1" x14ac:dyDescent="0.35">
      <c r="A2169">
        <v>10348</v>
      </c>
      <c r="B2169">
        <v>42</v>
      </c>
      <c r="C2169" s="3">
        <v>100</v>
      </c>
      <c r="D2169">
        <v>3</v>
      </c>
      <c r="E2169" s="3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 s="3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  <c r="Z2169" s="3">
        <f>Table1[[#This Row],[QUANTITYORDERED]]*Table1[[#This Row],[PRICEEACH]]</f>
        <v>4200</v>
      </c>
    </row>
    <row r="2170" spans="1:26" hidden="1" x14ac:dyDescent="0.35">
      <c r="A2170">
        <v>10358</v>
      </c>
      <c r="B2170">
        <v>41</v>
      </c>
      <c r="C2170" s="3">
        <v>100</v>
      </c>
      <c r="D2170">
        <v>1</v>
      </c>
      <c r="E2170" s="3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 s="3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  <c r="Z2170" s="3">
        <f>Table1[[#This Row],[QUANTITYORDERED]]*Table1[[#This Row],[PRICEEACH]]</f>
        <v>4100</v>
      </c>
    </row>
    <row r="2171" spans="1:26" hidden="1" x14ac:dyDescent="0.35">
      <c r="A2171">
        <v>10371</v>
      </c>
      <c r="B2171">
        <v>26</v>
      </c>
      <c r="C2171" s="3">
        <v>100</v>
      </c>
      <c r="D2171">
        <v>1</v>
      </c>
      <c r="E2171" s="3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 s="3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  <c r="Z2171" s="3">
        <f>Table1[[#This Row],[QUANTITYORDERED]]*Table1[[#This Row],[PRICEEACH]]</f>
        <v>2600</v>
      </c>
    </row>
    <row r="2172" spans="1:26" hidden="1" x14ac:dyDescent="0.35">
      <c r="A2172">
        <v>10382</v>
      </c>
      <c r="B2172">
        <v>26</v>
      </c>
      <c r="C2172" s="3">
        <v>100</v>
      </c>
      <c r="D2172">
        <v>6</v>
      </c>
      <c r="E2172" s="3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 s="3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  <c r="Z2172" s="3">
        <f>Table1[[#This Row],[QUANTITYORDERED]]*Table1[[#This Row],[PRICEEACH]]</f>
        <v>2600</v>
      </c>
    </row>
    <row r="2173" spans="1:26" hidden="1" x14ac:dyDescent="0.35">
      <c r="A2173">
        <v>10411</v>
      </c>
      <c r="B2173">
        <v>26</v>
      </c>
      <c r="C2173" s="3">
        <v>100</v>
      </c>
      <c r="D2173">
        <v>1</v>
      </c>
      <c r="E2173" s="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 s="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  <c r="Z2173" s="3">
        <f>Table1[[#This Row],[QUANTITYORDERED]]*Table1[[#This Row],[PRICEEACH]]</f>
        <v>2600</v>
      </c>
    </row>
    <row r="2174" spans="1:26" hidden="1" x14ac:dyDescent="0.35">
      <c r="A2174">
        <v>10425</v>
      </c>
      <c r="B2174">
        <v>41</v>
      </c>
      <c r="C2174" s="3">
        <v>86.68</v>
      </c>
      <c r="D2174">
        <v>11</v>
      </c>
      <c r="E2174" s="3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 s="3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  <c r="Z2174" s="3">
        <f>Table1[[#This Row],[QUANTITYORDERED]]*Table1[[#This Row],[PRICEEACH]]</f>
        <v>3553.88</v>
      </c>
    </row>
    <row r="2175" spans="1:26" hidden="1" x14ac:dyDescent="0.35">
      <c r="A2175">
        <v>10107</v>
      </c>
      <c r="B2175">
        <v>20</v>
      </c>
      <c r="C2175" s="3">
        <v>92.9</v>
      </c>
      <c r="D2175">
        <v>8</v>
      </c>
      <c r="E2175" s="3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 s="3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  <c r="Z2175" s="3">
        <f>Table1[[#This Row],[QUANTITYORDERED]]*Table1[[#This Row],[PRICEEACH]]</f>
        <v>1858</v>
      </c>
    </row>
    <row r="2176" spans="1:26" hidden="1" x14ac:dyDescent="0.35">
      <c r="A2176">
        <v>10120</v>
      </c>
      <c r="B2176">
        <v>22</v>
      </c>
      <c r="C2176" s="3">
        <v>100</v>
      </c>
      <c r="D2176">
        <v>6</v>
      </c>
      <c r="E2176" s="3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 s="3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  <c r="Z2176" s="3">
        <f>Table1[[#This Row],[QUANTITYORDERED]]*Table1[[#This Row],[PRICEEACH]]</f>
        <v>2200</v>
      </c>
    </row>
    <row r="2177" spans="1:26" hidden="1" x14ac:dyDescent="0.35">
      <c r="A2177">
        <v>10133</v>
      </c>
      <c r="B2177">
        <v>23</v>
      </c>
      <c r="C2177" s="3">
        <v>100</v>
      </c>
      <c r="D2177">
        <v>1</v>
      </c>
      <c r="E2177" s="3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 s="3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  <c r="Z2177" s="3">
        <f>Table1[[#This Row],[QUANTITYORDERED]]*Table1[[#This Row],[PRICEEACH]]</f>
        <v>2300</v>
      </c>
    </row>
    <row r="2178" spans="1:26" hidden="1" x14ac:dyDescent="0.35">
      <c r="A2178">
        <v>10145</v>
      </c>
      <c r="B2178">
        <v>33</v>
      </c>
      <c r="C2178" s="3">
        <v>93.9</v>
      </c>
      <c r="D2178">
        <v>12</v>
      </c>
      <c r="E2178" s="3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 s="3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  <c r="Z2178" s="3">
        <f>Table1[[#This Row],[QUANTITYORDERED]]*Table1[[#This Row],[PRICEEACH]]</f>
        <v>3098.7000000000003</v>
      </c>
    </row>
    <row r="2179" spans="1:26" hidden="1" x14ac:dyDescent="0.35">
      <c r="A2179">
        <v>10168</v>
      </c>
      <c r="B2179">
        <v>28</v>
      </c>
      <c r="C2179" s="3">
        <v>100</v>
      </c>
      <c r="D2179">
        <v>7</v>
      </c>
      <c r="E2179" s="3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 s="3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  <c r="Z2179" s="3">
        <f>Table1[[#This Row],[QUANTITYORDERED]]*Table1[[#This Row],[PRICEEACH]]</f>
        <v>2800</v>
      </c>
    </row>
    <row r="2180" spans="1:26" hidden="1" x14ac:dyDescent="0.35">
      <c r="A2180">
        <v>10188</v>
      </c>
      <c r="B2180">
        <v>44</v>
      </c>
      <c r="C2180" s="3">
        <v>98.89</v>
      </c>
      <c r="D2180">
        <v>7</v>
      </c>
      <c r="E2180" s="3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 s="3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  <c r="Z2180" s="3">
        <f>Table1[[#This Row],[QUANTITYORDERED]]*Table1[[#This Row],[PRICEEACH]]</f>
        <v>4351.16</v>
      </c>
    </row>
    <row r="2181" spans="1:26" hidden="1" x14ac:dyDescent="0.35">
      <c r="A2181">
        <v>10210</v>
      </c>
      <c r="B2181">
        <v>46</v>
      </c>
      <c r="C2181" s="3">
        <v>79.91</v>
      </c>
      <c r="D2181">
        <v>5</v>
      </c>
      <c r="E2181" s="3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 s="3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  <c r="Z2181" s="3">
        <f>Table1[[#This Row],[QUANTITYORDERED]]*Table1[[#This Row],[PRICEEACH]]</f>
        <v>3675.8599999999997</v>
      </c>
    </row>
    <row r="2182" spans="1:26" hidden="1" x14ac:dyDescent="0.35">
      <c r="A2182">
        <v>10223</v>
      </c>
      <c r="B2182">
        <v>21</v>
      </c>
      <c r="C2182" s="3">
        <v>100</v>
      </c>
      <c r="D2182">
        <v>7</v>
      </c>
      <c r="E2182" s="3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 s="3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  <c r="Z2182" s="3">
        <f>Table1[[#This Row],[QUANTITYORDERED]]*Table1[[#This Row],[PRICEEACH]]</f>
        <v>2100</v>
      </c>
    </row>
    <row r="2183" spans="1:26" hidden="1" x14ac:dyDescent="0.35">
      <c r="A2183">
        <v>10235</v>
      </c>
      <c r="B2183">
        <v>41</v>
      </c>
      <c r="C2183" s="3">
        <v>100</v>
      </c>
      <c r="D2183">
        <v>1</v>
      </c>
      <c r="E2183" s="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 s="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  <c r="Z2183" s="3">
        <f>Table1[[#This Row],[QUANTITYORDERED]]*Table1[[#This Row],[PRICEEACH]]</f>
        <v>4100</v>
      </c>
    </row>
    <row r="2184" spans="1:26" hidden="1" x14ac:dyDescent="0.35">
      <c r="A2184">
        <v>10250</v>
      </c>
      <c r="B2184">
        <v>31</v>
      </c>
      <c r="C2184" s="3">
        <v>100</v>
      </c>
      <c r="D2184">
        <v>2</v>
      </c>
      <c r="E2184" s="3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 s="3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  <c r="Z2184" s="3">
        <f>Table1[[#This Row],[QUANTITYORDERED]]*Table1[[#This Row],[PRICEEACH]]</f>
        <v>3100</v>
      </c>
    </row>
    <row r="2185" spans="1:26" hidden="1" x14ac:dyDescent="0.35">
      <c r="A2185">
        <v>10263</v>
      </c>
      <c r="B2185">
        <v>31</v>
      </c>
      <c r="C2185" s="3">
        <v>79.91</v>
      </c>
      <c r="D2185">
        <v>8</v>
      </c>
      <c r="E2185" s="3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 s="3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  <c r="Z2185" s="3">
        <f>Table1[[#This Row],[QUANTITYORDERED]]*Table1[[#This Row],[PRICEEACH]]</f>
        <v>2477.21</v>
      </c>
    </row>
    <row r="2186" spans="1:26" hidden="1" x14ac:dyDescent="0.35">
      <c r="A2186">
        <v>10275</v>
      </c>
      <c r="B2186">
        <v>23</v>
      </c>
      <c r="C2186" s="3">
        <v>81.91</v>
      </c>
      <c r="D2186">
        <v>7</v>
      </c>
      <c r="E2186" s="3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 s="3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  <c r="Z2186" s="3">
        <f>Table1[[#This Row],[QUANTITYORDERED]]*Table1[[#This Row],[PRICEEACH]]</f>
        <v>1883.9299999999998</v>
      </c>
    </row>
    <row r="2187" spans="1:26" hidden="1" x14ac:dyDescent="0.35">
      <c r="A2187">
        <v>10285</v>
      </c>
      <c r="B2187">
        <v>37</v>
      </c>
      <c r="C2187" s="3">
        <v>98.89</v>
      </c>
      <c r="D2187">
        <v>12</v>
      </c>
      <c r="E2187" s="3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 s="3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  <c r="Z2187" s="3">
        <f>Table1[[#This Row],[QUANTITYORDERED]]*Table1[[#This Row],[PRICEEACH]]</f>
        <v>3658.93</v>
      </c>
    </row>
    <row r="2188" spans="1:26" hidden="1" x14ac:dyDescent="0.35">
      <c r="A2188">
        <v>10297</v>
      </c>
      <c r="B2188">
        <v>26</v>
      </c>
      <c r="C2188" s="3">
        <v>100</v>
      </c>
      <c r="D2188">
        <v>2</v>
      </c>
      <c r="E2188" s="3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 s="3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  <c r="Z2188" s="3">
        <f>Table1[[#This Row],[QUANTITYORDERED]]*Table1[[#This Row],[PRICEEACH]]</f>
        <v>2600</v>
      </c>
    </row>
    <row r="2189" spans="1:26" hidden="1" x14ac:dyDescent="0.35">
      <c r="A2189">
        <v>10308</v>
      </c>
      <c r="B2189">
        <v>24</v>
      </c>
      <c r="C2189" s="3">
        <v>79.91</v>
      </c>
      <c r="D2189">
        <v>5</v>
      </c>
      <c r="E2189" s="3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 s="3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  <c r="Z2189" s="3">
        <f>Table1[[#This Row],[QUANTITYORDERED]]*Table1[[#This Row],[PRICEEACH]]</f>
        <v>1917.84</v>
      </c>
    </row>
    <row r="2190" spans="1:26" hidden="1" x14ac:dyDescent="0.35">
      <c r="A2190">
        <v>10318</v>
      </c>
      <c r="B2190">
        <v>47</v>
      </c>
      <c r="C2190" s="3">
        <v>100</v>
      </c>
      <c r="D2190">
        <v>7</v>
      </c>
      <c r="E2190" s="3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 s="3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  <c r="Z2190" s="3">
        <f>Table1[[#This Row],[QUANTITYORDERED]]*Table1[[#This Row],[PRICEEACH]]</f>
        <v>4700</v>
      </c>
    </row>
    <row r="2191" spans="1:26" hidden="1" x14ac:dyDescent="0.35">
      <c r="A2191">
        <v>10329</v>
      </c>
      <c r="B2191">
        <v>45</v>
      </c>
      <c r="C2191" s="3">
        <v>63.91</v>
      </c>
      <c r="D2191">
        <v>11</v>
      </c>
      <c r="E2191" s="3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 s="3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  <c r="Z2191" s="3">
        <f>Table1[[#This Row],[QUANTITYORDERED]]*Table1[[#This Row],[PRICEEACH]]</f>
        <v>2875.95</v>
      </c>
    </row>
    <row r="2192" spans="1:26" hidden="1" x14ac:dyDescent="0.35">
      <c r="A2192">
        <v>10340</v>
      </c>
      <c r="B2192">
        <v>55</v>
      </c>
      <c r="C2192" s="3">
        <v>100</v>
      </c>
      <c r="D2192">
        <v>2</v>
      </c>
      <c r="E2192" s="3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 s="3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  <c r="Z2192" s="3">
        <f>Table1[[#This Row],[QUANTITYORDERED]]*Table1[[#This Row],[PRICEEACH]]</f>
        <v>5500</v>
      </c>
    </row>
    <row r="2193" spans="1:26" hidden="1" x14ac:dyDescent="0.35">
      <c r="A2193">
        <v>10353</v>
      </c>
      <c r="B2193">
        <v>46</v>
      </c>
      <c r="C2193" s="3">
        <v>81.17</v>
      </c>
      <c r="D2193">
        <v>5</v>
      </c>
      <c r="E2193" s="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 s="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  <c r="Z2193" s="3">
        <f>Table1[[#This Row],[QUANTITYORDERED]]*Table1[[#This Row],[PRICEEACH]]</f>
        <v>3733.82</v>
      </c>
    </row>
    <row r="2194" spans="1:26" hidden="1" x14ac:dyDescent="0.35">
      <c r="A2194">
        <v>10363</v>
      </c>
      <c r="B2194">
        <v>50</v>
      </c>
      <c r="C2194" s="3">
        <v>100</v>
      </c>
      <c r="D2194">
        <v>2</v>
      </c>
      <c r="E2194" s="3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 s="3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  <c r="Z2194" s="3">
        <f>Table1[[#This Row],[QUANTITYORDERED]]*Table1[[#This Row],[PRICEEACH]]</f>
        <v>5000</v>
      </c>
    </row>
    <row r="2195" spans="1:26" hidden="1" x14ac:dyDescent="0.35">
      <c r="A2195">
        <v>10375</v>
      </c>
      <c r="B2195">
        <v>37</v>
      </c>
      <c r="C2195" s="3">
        <v>100</v>
      </c>
      <c r="D2195">
        <v>3</v>
      </c>
      <c r="E2195" s="3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 s="3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  <c r="Z2195" s="3">
        <f>Table1[[#This Row],[QUANTITYORDERED]]*Table1[[#This Row],[PRICEEACH]]</f>
        <v>3700</v>
      </c>
    </row>
    <row r="2196" spans="1:26" hidden="1" x14ac:dyDescent="0.35">
      <c r="A2196">
        <v>10387</v>
      </c>
      <c r="B2196">
        <v>44</v>
      </c>
      <c r="C2196" s="3">
        <v>94.9</v>
      </c>
      <c r="D2196">
        <v>1</v>
      </c>
      <c r="E2196" s="3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 s="3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  <c r="Z2196" s="3">
        <f>Table1[[#This Row],[QUANTITYORDERED]]*Table1[[#This Row],[PRICEEACH]]</f>
        <v>4175.6000000000004</v>
      </c>
    </row>
    <row r="2197" spans="1:26" hidden="1" x14ac:dyDescent="0.35">
      <c r="A2197">
        <v>10401</v>
      </c>
      <c r="B2197">
        <v>49</v>
      </c>
      <c r="C2197" s="3">
        <v>100</v>
      </c>
      <c r="D2197">
        <v>1</v>
      </c>
      <c r="E2197" s="3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 s="3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  <c r="Z2197" s="3">
        <f>Table1[[#This Row],[QUANTITYORDERED]]*Table1[[#This Row],[PRICEEACH]]</f>
        <v>4900</v>
      </c>
    </row>
    <row r="2198" spans="1:26" hidden="1" x14ac:dyDescent="0.35">
      <c r="A2198">
        <v>10416</v>
      </c>
      <c r="B2198">
        <v>45</v>
      </c>
      <c r="C2198" s="3">
        <v>100</v>
      </c>
      <c r="D2198">
        <v>2</v>
      </c>
      <c r="E2198" s="3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 s="3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  <c r="Z2198" s="3">
        <f>Table1[[#This Row],[QUANTITYORDERED]]*Table1[[#This Row],[PRICEEACH]]</f>
        <v>4500</v>
      </c>
    </row>
    <row r="2199" spans="1:26" hidden="1" x14ac:dyDescent="0.35">
      <c r="A2199">
        <v>10108</v>
      </c>
      <c r="B2199">
        <v>27</v>
      </c>
      <c r="C2199" s="3">
        <v>43.45</v>
      </c>
      <c r="D2199">
        <v>13</v>
      </c>
      <c r="E2199" s="3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 s="3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  <c r="Z2199" s="3">
        <f>Table1[[#This Row],[QUANTITYORDERED]]*Table1[[#This Row],[PRICEEACH]]</f>
        <v>1173.1500000000001</v>
      </c>
    </row>
    <row r="2200" spans="1:26" hidden="1" x14ac:dyDescent="0.35">
      <c r="A2200">
        <v>10122</v>
      </c>
      <c r="B2200">
        <v>31</v>
      </c>
      <c r="C2200" s="3">
        <v>44.66</v>
      </c>
      <c r="D2200">
        <v>17</v>
      </c>
      <c r="E2200" s="3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 s="3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  <c r="Z2200" s="3">
        <f>Table1[[#This Row],[QUANTITYORDERED]]*Table1[[#This Row],[PRICEEACH]]</f>
        <v>1384.4599999999998</v>
      </c>
    </row>
    <row r="2201" spans="1:26" hidden="1" x14ac:dyDescent="0.35">
      <c r="A2201">
        <v>10135</v>
      </c>
      <c r="B2201">
        <v>33</v>
      </c>
      <c r="C2201" s="3">
        <v>40.229999999999997</v>
      </c>
      <c r="D2201">
        <v>14</v>
      </c>
      <c r="E2201" s="3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 s="3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  <c r="Z2201" s="3">
        <f>Table1[[#This Row],[QUANTITYORDERED]]*Table1[[#This Row],[PRICEEACH]]</f>
        <v>1327.59</v>
      </c>
    </row>
    <row r="2202" spans="1:26" hidden="1" x14ac:dyDescent="0.35">
      <c r="A2202">
        <v>10145</v>
      </c>
      <c r="B2202">
        <v>31</v>
      </c>
      <c r="C2202" s="3">
        <v>35.799999999999997</v>
      </c>
      <c r="D2202">
        <v>1</v>
      </c>
      <c r="E2202" s="3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 s="3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  <c r="Z2202" s="3">
        <f>Table1[[#This Row],[QUANTITYORDERED]]*Table1[[#This Row],[PRICEEACH]]</f>
        <v>1109.8</v>
      </c>
    </row>
    <row r="2203" spans="1:26" hidden="1" x14ac:dyDescent="0.35">
      <c r="A2203">
        <v>10159</v>
      </c>
      <c r="B2203">
        <v>35</v>
      </c>
      <c r="C2203" s="3">
        <v>35.4</v>
      </c>
      <c r="D2203">
        <v>9</v>
      </c>
      <c r="E2203" s="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 s="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  <c r="Z2203" s="3">
        <f>Table1[[#This Row],[QUANTITYORDERED]]*Table1[[#This Row],[PRICEEACH]]</f>
        <v>1239</v>
      </c>
    </row>
    <row r="2204" spans="1:26" hidden="1" x14ac:dyDescent="0.35">
      <c r="A2204">
        <v>10169</v>
      </c>
      <c r="B2204">
        <v>26</v>
      </c>
      <c r="C2204" s="3">
        <v>39.83</v>
      </c>
      <c r="D2204">
        <v>9</v>
      </c>
      <c r="E2204" s="3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 s="3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  <c r="Z2204" s="3">
        <f>Table1[[#This Row],[QUANTITYORDERED]]*Table1[[#This Row],[PRICEEACH]]</f>
        <v>1035.58</v>
      </c>
    </row>
    <row r="2205" spans="1:26" hidden="1" x14ac:dyDescent="0.35">
      <c r="A2205">
        <v>10180</v>
      </c>
      <c r="B2205">
        <v>34</v>
      </c>
      <c r="C2205" s="3">
        <v>45.46</v>
      </c>
      <c r="D2205">
        <v>4</v>
      </c>
      <c r="E2205" s="3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 s="3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  <c r="Z2205" s="3">
        <f>Table1[[#This Row],[QUANTITYORDERED]]*Table1[[#This Row],[PRICEEACH]]</f>
        <v>1545.64</v>
      </c>
    </row>
    <row r="2206" spans="1:26" hidden="1" x14ac:dyDescent="0.35">
      <c r="A2206">
        <v>10190</v>
      </c>
      <c r="B2206">
        <v>46</v>
      </c>
      <c r="C2206" s="3">
        <v>32.99</v>
      </c>
      <c r="D2206">
        <v>1</v>
      </c>
      <c r="E2206" s="3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 s="3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  <c r="Z2206" s="3">
        <f>Table1[[#This Row],[QUANTITYORDERED]]*Table1[[#This Row],[PRICEEACH]]</f>
        <v>1517.5400000000002</v>
      </c>
    </row>
    <row r="2207" spans="1:26" hidden="1" x14ac:dyDescent="0.35">
      <c r="A2207">
        <v>10211</v>
      </c>
      <c r="B2207">
        <v>41</v>
      </c>
      <c r="C2207" s="3">
        <v>42.24</v>
      </c>
      <c r="D2207">
        <v>9</v>
      </c>
      <c r="E2207" s="3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 s="3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  <c r="Z2207" s="3">
        <f>Table1[[#This Row],[QUANTITYORDERED]]*Table1[[#This Row],[PRICEEACH]]</f>
        <v>1731.8400000000001</v>
      </c>
    </row>
    <row r="2208" spans="1:26" hidden="1" x14ac:dyDescent="0.35">
      <c r="A2208">
        <v>10224</v>
      </c>
      <c r="B2208">
        <v>43</v>
      </c>
      <c r="C2208" s="3">
        <v>39.43</v>
      </c>
      <c r="D2208">
        <v>2</v>
      </c>
      <c r="E2208" s="3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 s="3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  <c r="Z2208" s="3">
        <f>Table1[[#This Row],[QUANTITYORDERED]]*Table1[[#This Row],[PRICEEACH]]</f>
        <v>1695.49</v>
      </c>
    </row>
    <row r="2209" spans="1:26" hidden="1" x14ac:dyDescent="0.35">
      <c r="A2209">
        <v>10237</v>
      </c>
      <c r="B2209">
        <v>26</v>
      </c>
      <c r="C2209" s="3">
        <v>40.229999999999997</v>
      </c>
      <c r="D2209">
        <v>2</v>
      </c>
      <c r="E2209" s="3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 s="3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  <c r="Z2209" s="3">
        <f>Table1[[#This Row],[QUANTITYORDERED]]*Table1[[#This Row],[PRICEEACH]]</f>
        <v>1045.98</v>
      </c>
    </row>
    <row r="2210" spans="1:26" hidden="1" x14ac:dyDescent="0.35">
      <c r="A2210">
        <v>10252</v>
      </c>
      <c r="B2210">
        <v>36</v>
      </c>
      <c r="C2210" s="3">
        <v>48.28</v>
      </c>
      <c r="D2210">
        <v>6</v>
      </c>
      <c r="E2210" s="3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 s="3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  <c r="Z2210" s="3">
        <f>Table1[[#This Row],[QUANTITYORDERED]]*Table1[[#This Row],[PRICEEACH]]</f>
        <v>1738.08</v>
      </c>
    </row>
    <row r="2211" spans="1:26" hidden="1" x14ac:dyDescent="0.35">
      <c r="A2211">
        <v>10264</v>
      </c>
      <c r="B2211">
        <v>20</v>
      </c>
      <c r="C2211" s="3">
        <v>32.590000000000003</v>
      </c>
      <c r="D2211">
        <v>4</v>
      </c>
      <c r="E2211" s="3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 s="3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  <c r="Z2211" s="3">
        <f>Table1[[#This Row],[QUANTITYORDERED]]*Table1[[#This Row],[PRICEEACH]]</f>
        <v>651.80000000000007</v>
      </c>
    </row>
    <row r="2212" spans="1:26" hidden="1" x14ac:dyDescent="0.35">
      <c r="A2212">
        <v>10276</v>
      </c>
      <c r="B2212">
        <v>27</v>
      </c>
      <c r="C2212" s="3">
        <v>36.61</v>
      </c>
      <c r="D2212">
        <v>10</v>
      </c>
      <c r="E2212" s="3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 s="3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  <c r="Z2212" s="3">
        <f>Table1[[#This Row],[QUANTITYORDERED]]*Table1[[#This Row],[PRICEEACH]]</f>
        <v>988.47</v>
      </c>
    </row>
    <row r="2213" spans="1:26" hidden="1" x14ac:dyDescent="0.35">
      <c r="A2213">
        <v>10285</v>
      </c>
      <c r="B2213">
        <v>37</v>
      </c>
      <c r="C2213" s="3">
        <v>41.03</v>
      </c>
      <c r="D2213">
        <v>1</v>
      </c>
      <c r="E2213" s="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 s="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  <c r="Z2213" s="3">
        <f>Table1[[#This Row],[QUANTITYORDERED]]*Table1[[#This Row],[PRICEEACH]]</f>
        <v>1518.1100000000001</v>
      </c>
    </row>
    <row r="2214" spans="1:26" hidden="1" x14ac:dyDescent="0.35">
      <c r="A2214">
        <v>10299</v>
      </c>
      <c r="B2214">
        <v>24</v>
      </c>
      <c r="C2214" s="3">
        <v>42.24</v>
      </c>
      <c r="D2214">
        <v>4</v>
      </c>
      <c r="E2214" s="3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 s="3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  <c r="Z2214" s="3">
        <f>Table1[[#This Row],[QUANTITYORDERED]]*Table1[[#This Row],[PRICEEACH]]</f>
        <v>1013.76</v>
      </c>
    </row>
    <row r="2215" spans="1:26" hidden="1" x14ac:dyDescent="0.35">
      <c r="A2215">
        <v>10310</v>
      </c>
      <c r="B2215">
        <v>36</v>
      </c>
      <c r="C2215" s="3">
        <v>43.05</v>
      </c>
      <c r="D2215">
        <v>17</v>
      </c>
      <c r="E2215" s="3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 s="3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  <c r="Z2215" s="3">
        <f>Table1[[#This Row],[QUANTITYORDERED]]*Table1[[#This Row],[PRICEEACH]]</f>
        <v>1549.8</v>
      </c>
    </row>
    <row r="2216" spans="1:26" hidden="1" x14ac:dyDescent="0.35">
      <c r="A2216">
        <v>10319</v>
      </c>
      <c r="B2216">
        <v>29</v>
      </c>
      <c r="C2216" s="3">
        <v>38.22</v>
      </c>
      <c r="D2216">
        <v>5</v>
      </c>
      <c r="E2216" s="3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 s="3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  <c r="Z2216" s="3">
        <f>Table1[[#This Row],[QUANTITYORDERED]]*Table1[[#This Row],[PRICEEACH]]</f>
        <v>1108.3799999999999</v>
      </c>
    </row>
    <row r="2217" spans="1:26" hidden="1" x14ac:dyDescent="0.35">
      <c r="A2217">
        <v>10331</v>
      </c>
      <c r="B2217">
        <v>28</v>
      </c>
      <c r="C2217" s="3">
        <v>100</v>
      </c>
      <c r="D2217">
        <v>3</v>
      </c>
      <c r="E2217" s="3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 s="3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  <c r="Z2217" s="3">
        <f>Table1[[#This Row],[QUANTITYORDERED]]*Table1[[#This Row],[PRICEEACH]]</f>
        <v>2800</v>
      </c>
    </row>
    <row r="2218" spans="1:26" hidden="1" x14ac:dyDescent="0.35">
      <c r="A2218">
        <v>10343</v>
      </c>
      <c r="B2218">
        <v>29</v>
      </c>
      <c r="C2218" s="3">
        <v>100</v>
      </c>
      <c r="D2218">
        <v>5</v>
      </c>
      <c r="E2218" s="3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 s="3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  <c r="Z2218" s="3">
        <f>Table1[[#This Row],[QUANTITYORDERED]]*Table1[[#This Row],[PRICEEACH]]</f>
        <v>2900</v>
      </c>
    </row>
    <row r="2219" spans="1:26" hidden="1" x14ac:dyDescent="0.35">
      <c r="A2219">
        <v>10355</v>
      </c>
      <c r="B2219">
        <v>38</v>
      </c>
      <c r="C2219" s="3">
        <v>39.83</v>
      </c>
      <c r="D2219">
        <v>10</v>
      </c>
      <c r="E2219" s="3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 s="3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  <c r="Z2219" s="3">
        <f>Table1[[#This Row],[QUANTITYORDERED]]*Table1[[#This Row],[PRICEEACH]]</f>
        <v>1513.54</v>
      </c>
    </row>
    <row r="2220" spans="1:26" hidden="1" x14ac:dyDescent="0.35">
      <c r="A2220">
        <v>10364</v>
      </c>
      <c r="B2220">
        <v>48</v>
      </c>
      <c r="C2220" s="3">
        <v>48.28</v>
      </c>
      <c r="D2220">
        <v>1</v>
      </c>
      <c r="E2220" s="3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 s="3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  <c r="Z2220" s="3">
        <f>Table1[[#This Row],[QUANTITYORDERED]]*Table1[[#This Row],[PRICEEACH]]</f>
        <v>2317.44</v>
      </c>
    </row>
    <row r="2221" spans="1:26" hidden="1" x14ac:dyDescent="0.35">
      <c r="A2221">
        <v>10378</v>
      </c>
      <c r="B2221">
        <v>40</v>
      </c>
      <c r="C2221" s="3">
        <v>82.46</v>
      </c>
      <c r="D2221">
        <v>1</v>
      </c>
      <c r="E2221" s="3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 s="3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  <c r="Z2221" s="3">
        <f>Table1[[#This Row],[QUANTITYORDERED]]*Table1[[#This Row],[PRICEEACH]]</f>
        <v>3298.3999999999996</v>
      </c>
    </row>
    <row r="2222" spans="1:26" hidden="1" x14ac:dyDescent="0.35">
      <c r="A2222">
        <v>10390</v>
      </c>
      <c r="B2222">
        <v>41</v>
      </c>
      <c r="C2222" s="3">
        <v>44.56</v>
      </c>
      <c r="D2222">
        <v>11</v>
      </c>
      <c r="E2222" s="3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 s="3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  <c r="Z2222" s="3">
        <f>Table1[[#This Row],[QUANTITYORDERED]]*Table1[[#This Row],[PRICEEACH]]</f>
        <v>1826.96</v>
      </c>
    </row>
    <row r="2223" spans="1:26" hidden="1" x14ac:dyDescent="0.35">
      <c r="A2223">
        <v>10403</v>
      </c>
      <c r="B2223">
        <v>30</v>
      </c>
      <c r="C2223" s="3">
        <v>40.229999999999997</v>
      </c>
      <c r="D2223">
        <v>2</v>
      </c>
      <c r="E2223" s="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 s="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  <c r="Z2223" s="3">
        <f>Table1[[#This Row],[QUANTITYORDERED]]*Table1[[#This Row],[PRICEEACH]]</f>
        <v>1206.8999999999999</v>
      </c>
    </row>
    <row r="2224" spans="1:26" hidden="1" x14ac:dyDescent="0.35">
      <c r="A2224">
        <v>10104</v>
      </c>
      <c r="B2224">
        <v>35</v>
      </c>
      <c r="C2224" s="3">
        <v>47.62</v>
      </c>
      <c r="D2224">
        <v>11</v>
      </c>
      <c r="E2224" s="3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 s="3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  <c r="Z2224" s="3">
        <f>Table1[[#This Row],[QUANTITYORDERED]]*Table1[[#This Row],[PRICEEACH]]</f>
        <v>1666.6999999999998</v>
      </c>
    </row>
    <row r="2225" spans="1:26" hidden="1" x14ac:dyDescent="0.35">
      <c r="A2225">
        <v>10114</v>
      </c>
      <c r="B2225">
        <v>28</v>
      </c>
      <c r="C2225" s="3">
        <v>55.73</v>
      </c>
      <c r="D2225">
        <v>2</v>
      </c>
      <c r="E2225" s="3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 s="3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  <c r="Z2225" s="3">
        <f>Table1[[#This Row],[QUANTITYORDERED]]*Table1[[#This Row],[PRICEEACH]]</f>
        <v>1560.4399999999998</v>
      </c>
    </row>
    <row r="2226" spans="1:26" hidden="1" x14ac:dyDescent="0.35">
      <c r="A2226">
        <v>10127</v>
      </c>
      <c r="B2226">
        <v>45</v>
      </c>
      <c r="C2226" s="3">
        <v>51.95</v>
      </c>
      <c r="D2226">
        <v>13</v>
      </c>
      <c r="E2226" s="3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 s="3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  <c r="Z2226" s="3">
        <f>Table1[[#This Row],[QUANTITYORDERED]]*Table1[[#This Row],[PRICEEACH]]</f>
        <v>2337.75</v>
      </c>
    </row>
    <row r="2227" spans="1:26" hidden="1" x14ac:dyDescent="0.35">
      <c r="A2227">
        <v>10141</v>
      </c>
      <c r="B2227">
        <v>24</v>
      </c>
      <c r="C2227" s="3">
        <v>45.99</v>
      </c>
      <c r="D2227">
        <v>7</v>
      </c>
      <c r="E2227" s="3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 s="3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  <c r="Z2227" s="3">
        <f>Table1[[#This Row],[QUANTITYORDERED]]*Table1[[#This Row],[PRICEEACH]]</f>
        <v>1103.76</v>
      </c>
    </row>
    <row r="2228" spans="1:26" hidden="1" x14ac:dyDescent="0.35">
      <c r="A2228">
        <v>10151</v>
      </c>
      <c r="B2228">
        <v>41</v>
      </c>
      <c r="C2228" s="3">
        <v>63.85</v>
      </c>
      <c r="D2228">
        <v>5</v>
      </c>
      <c r="E2228" s="3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 s="3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  <c r="Z2228" s="3">
        <f>Table1[[#This Row],[QUANTITYORDERED]]*Table1[[#This Row],[PRICEEACH]]</f>
        <v>2617.85</v>
      </c>
    </row>
    <row r="2229" spans="1:26" hidden="1" x14ac:dyDescent="0.35">
      <c r="A2229">
        <v>10165</v>
      </c>
      <c r="B2229">
        <v>48</v>
      </c>
      <c r="C2229" s="3">
        <v>45.99</v>
      </c>
      <c r="D2229">
        <v>14</v>
      </c>
      <c r="E2229" s="3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 s="3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  <c r="Z2229" s="3">
        <f>Table1[[#This Row],[QUANTITYORDERED]]*Table1[[#This Row],[PRICEEACH]]</f>
        <v>2207.52</v>
      </c>
    </row>
    <row r="2230" spans="1:26" hidden="1" x14ac:dyDescent="0.35">
      <c r="A2230">
        <v>10175</v>
      </c>
      <c r="B2230">
        <v>50</v>
      </c>
      <c r="C2230" s="3">
        <v>63.31</v>
      </c>
      <c r="D2230">
        <v>3</v>
      </c>
      <c r="E2230" s="3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 s="3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  <c r="Z2230" s="3">
        <f>Table1[[#This Row],[QUANTITYORDERED]]*Table1[[#This Row],[PRICEEACH]]</f>
        <v>3165.5</v>
      </c>
    </row>
    <row r="2231" spans="1:26" hidden="1" x14ac:dyDescent="0.35">
      <c r="A2231">
        <v>10184</v>
      </c>
      <c r="B2231">
        <v>33</v>
      </c>
      <c r="C2231" s="3">
        <v>62.77</v>
      </c>
      <c r="D2231">
        <v>8</v>
      </c>
      <c r="E2231" s="3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 s="3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  <c r="Z2231" s="3">
        <f>Table1[[#This Row],[QUANTITYORDERED]]*Table1[[#This Row],[PRICEEACH]]</f>
        <v>2071.4100000000003</v>
      </c>
    </row>
    <row r="2232" spans="1:26" hidden="1" x14ac:dyDescent="0.35">
      <c r="A2232">
        <v>10195</v>
      </c>
      <c r="B2232">
        <v>32</v>
      </c>
      <c r="C2232" s="3">
        <v>43.29</v>
      </c>
      <c r="D2232">
        <v>8</v>
      </c>
      <c r="E2232" s="3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 s="3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  <c r="Z2232" s="3">
        <f>Table1[[#This Row],[QUANTITYORDERED]]*Table1[[#This Row],[PRICEEACH]]</f>
        <v>1385.28</v>
      </c>
    </row>
    <row r="2233" spans="1:26" hidden="1" x14ac:dyDescent="0.35">
      <c r="A2233">
        <v>10207</v>
      </c>
      <c r="B2233">
        <v>27</v>
      </c>
      <c r="C2233" s="3">
        <v>60.06</v>
      </c>
      <c r="D2233">
        <v>9</v>
      </c>
      <c r="E2233" s="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 s="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  <c r="Z2233" s="3">
        <f>Table1[[#This Row],[QUANTITYORDERED]]*Table1[[#This Row],[PRICEEACH]]</f>
        <v>1621.6200000000001</v>
      </c>
    </row>
    <row r="2234" spans="1:26" hidden="1" x14ac:dyDescent="0.35">
      <c r="A2234">
        <v>10219</v>
      </c>
      <c r="B2234">
        <v>35</v>
      </c>
      <c r="C2234" s="3">
        <v>55.19</v>
      </c>
      <c r="D2234">
        <v>4</v>
      </c>
      <c r="E2234" s="3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 s="3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  <c r="Z2234" s="3">
        <f>Table1[[#This Row],[QUANTITYORDERED]]*Table1[[#This Row],[PRICEEACH]]</f>
        <v>1931.6499999999999</v>
      </c>
    </row>
    <row r="2235" spans="1:26" hidden="1" x14ac:dyDescent="0.35">
      <c r="A2235">
        <v>10229</v>
      </c>
      <c r="B2235">
        <v>23</v>
      </c>
      <c r="C2235" s="3">
        <v>54.11</v>
      </c>
      <c r="D2235">
        <v>3</v>
      </c>
      <c r="E2235" s="3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 s="3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  <c r="Z2235" s="3">
        <f>Table1[[#This Row],[QUANTITYORDERED]]*Table1[[#This Row],[PRICEEACH]]</f>
        <v>1244.53</v>
      </c>
    </row>
    <row r="2236" spans="1:26" hidden="1" x14ac:dyDescent="0.35">
      <c r="A2236">
        <v>10246</v>
      </c>
      <c r="B2236">
        <v>35</v>
      </c>
      <c r="C2236" s="3">
        <v>48.7</v>
      </c>
      <c r="D2236">
        <v>7</v>
      </c>
      <c r="E2236" s="3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 s="3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  <c r="Z2236" s="3">
        <f>Table1[[#This Row],[QUANTITYORDERED]]*Table1[[#This Row],[PRICEEACH]]</f>
        <v>1704.5</v>
      </c>
    </row>
    <row r="2237" spans="1:26" hidden="1" x14ac:dyDescent="0.35">
      <c r="A2237">
        <v>10259</v>
      </c>
      <c r="B2237">
        <v>40</v>
      </c>
      <c r="C2237" s="3">
        <v>43.83</v>
      </c>
      <c r="D2237">
        <v>6</v>
      </c>
      <c r="E2237" s="3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 s="3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  <c r="Z2237" s="3">
        <f>Table1[[#This Row],[QUANTITYORDERED]]*Table1[[#This Row],[PRICEEACH]]</f>
        <v>1753.1999999999998</v>
      </c>
    </row>
    <row r="2238" spans="1:26" hidden="1" x14ac:dyDescent="0.35">
      <c r="A2238">
        <v>10271</v>
      </c>
      <c r="B2238">
        <v>35</v>
      </c>
      <c r="C2238" s="3">
        <v>47.62</v>
      </c>
      <c r="D2238">
        <v>7</v>
      </c>
      <c r="E2238" s="3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 s="3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  <c r="Z2238" s="3">
        <f>Table1[[#This Row],[QUANTITYORDERED]]*Table1[[#This Row],[PRICEEACH]]</f>
        <v>1666.6999999999998</v>
      </c>
    </row>
    <row r="2239" spans="1:26" hidden="1" x14ac:dyDescent="0.35">
      <c r="A2239">
        <v>10281</v>
      </c>
      <c r="B2239">
        <v>31</v>
      </c>
      <c r="C2239" s="3">
        <v>55.19</v>
      </c>
      <c r="D2239">
        <v>3</v>
      </c>
      <c r="E2239" s="3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 s="3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  <c r="Z2239" s="3">
        <f>Table1[[#This Row],[QUANTITYORDERED]]*Table1[[#This Row],[PRICEEACH]]</f>
        <v>1710.8899999999999</v>
      </c>
    </row>
    <row r="2240" spans="1:26" hidden="1" x14ac:dyDescent="0.35">
      <c r="A2240">
        <v>10292</v>
      </c>
      <c r="B2240">
        <v>50</v>
      </c>
      <c r="C2240" s="3">
        <v>46.53</v>
      </c>
      <c r="D2240">
        <v>10</v>
      </c>
      <c r="E2240" s="3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 s="3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  <c r="Z2240" s="3">
        <f>Table1[[#This Row],[QUANTITYORDERED]]*Table1[[#This Row],[PRICEEACH]]</f>
        <v>2326.5</v>
      </c>
    </row>
    <row r="2241" spans="1:26" hidden="1" x14ac:dyDescent="0.35">
      <c r="A2241">
        <v>10305</v>
      </c>
      <c r="B2241">
        <v>40</v>
      </c>
      <c r="C2241" s="3">
        <v>57.9</v>
      </c>
      <c r="D2241">
        <v>7</v>
      </c>
      <c r="E2241" s="3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 s="3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  <c r="Z2241" s="3">
        <f>Table1[[#This Row],[QUANTITYORDERED]]*Table1[[#This Row],[PRICEEACH]]</f>
        <v>2316</v>
      </c>
    </row>
    <row r="2242" spans="1:26" hidden="1" x14ac:dyDescent="0.35">
      <c r="A2242">
        <v>10313</v>
      </c>
      <c r="B2242">
        <v>38</v>
      </c>
      <c r="C2242" s="3">
        <v>45.45</v>
      </c>
      <c r="D2242">
        <v>1</v>
      </c>
      <c r="E2242" s="3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 s="3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  <c r="Z2242" s="3">
        <f>Table1[[#This Row],[QUANTITYORDERED]]*Table1[[#This Row],[PRICEEACH]]</f>
        <v>1727.1000000000001</v>
      </c>
    </row>
    <row r="2243" spans="1:26" hidden="1" x14ac:dyDescent="0.35">
      <c r="A2243">
        <v>10325</v>
      </c>
      <c r="B2243">
        <v>38</v>
      </c>
      <c r="C2243" s="3">
        <v>100</v>
      </c>
      <c r="D2243">
        <v>3</v>
      </c>
      <c r="E2243" s="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 s="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  <c r="Z2243" s="3">
        <f>Table1[[#This Row],[QUANTITYORDERED]]*Table1[[#This Row],[PRICEEACH]]</f>
        <v>3800</v>
      </c>
    </row>
    <row r="2244" spans="1:26" hidden="1" x14ac:dyDescent="0.35">
      <c r="A2244">
        <v>10335</v>
      </c>
      <c r="B2244">
        <v>40</v>
      </c>
      <c r="C2244" s="3">
        <v>60.6</v>
      </c>
      <c r="D2244">
        <v>3</v>
      </c>
      <c r="E2244" s="3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 s="3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  <c r="Z2244" s="3">
        <f>Table1[[#This Row],[QUANTITYORDERED]]*Table1[[#This Row],[PRICEEACH]]</f>
        <v>2424</v>
      </c>
    </row>
    <row r="2245" spans="1:26" hidden="1" x14ac:dyDescent="0.35">
      <c r="A2245">
        <v>10349</v>
      </c>
      <c r="B2245">
        <v>33</v>
      </c>
      <c r="C2245" s="3">
        <v>46.53</v>
      </c>
      <c r="D2245">
        <v>1</v>
      </c>
      <c r="E2245" s="3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 s="3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  <c r="Z2245" s="3">
        <f>Table1[[#This Row],[QUANTITYORDERED]]*Table1[[#This Row],[PRICEEACH]]</f>
        <v>1535.49</v>
      </c>
    </row>
    <row r="2246" spans="1:26" hidden="1" x14ac:dyDescent="0.35">
      <c r="A2246">
        <v>10359</v>
      </c>
      <c r="B2246">
        <v>36</v>
      </c>
      <c r="C2246" s="3">
        <v>100</v>
      </c>
      <c r="D2246">
        <v>3</v>
      </c>
      <c r="E2246" s="3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 s="3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  <c r="Z2246" s="3">
        <f>Table1[[#This Row],[QUANTITYORDERED]]*Table1[[#This Row],[PRICEEACH]]</f>
        <v>3600</v>
      </c>
    </row>
    <row r="2247" spans="1:26" hidden="1" x14ac:dyDescent="0.35">
      <c r="A2247">
        <v>10371</v>
      </c>
      <c r="B2247">
        <v>20</v>
      </c>
      <c r="C2247" s="3">
        <v>66.47</v>
      </c>
      <c r="D2247">
        <v>2</v>
      </c>
      <c r="E2247" s="3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 s="3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  <c r="Z2247" s="3">
        <f>Table1[[#This Row],[QUANTITYORDERED]]*Table1[[#This Row],[PRICEEACH]]</f>
        <v>1329.4</v>
      </c>
    </row>
    <row r="2248" spans="1:26" hidden="1" x14ac:dyDescent="0.35">
      <c r="A2248">
        <v>10383</v>
      </c>
      <c r="B2248">
        <v>32</v>
      </c>
      <c r="C2248" s="3">
        <v>53.18</v>
      </c>
      <c r="D2248">
        <v>5</v>
      </c>
      <c r="E2248" s="3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 s="3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  <c r="Z2248" s="3">
        <f>Table1[[#This Row],[QUANTITYORDERED]]*Table1[[#This Row],[PRICEEACH]]</f>
        <v>1701.76</v>
      </c>
    </row>
    <row r="2249" spans="1:26" hidden="1" x14ac:dyDescent="0.35">
      <c r="A2249">
        <v>10394</v>
      </c>
      <c r="B2249">
        <v>36</v>
      </c>
      <c r="C2249" s="3">
        <v>62.77</v>
      </c>
      <c r="D2249">
        <v>3</v>
      </c>
      <c r="E2249" s="3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 s="3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  <c r="Z2249" s="3">
        <f>Table1[[#This Row],[QUANTITYORDERED]]*Table1[[#This Row],[PRICEEACH]]</f>
        <v>2259.7200000000003</v>
      </c>
    </row>
    <row r="2250" spans="1:26" hidden="1" x14ac:dyDescent="0.35">
      <c r="A2250">
        <v>10412</v>
      </c>
      <c r="B2250">
        <v>19</v>
      </c>
      <c r="C2250" s="3">
        <v>48.7</v>
      </c>
      <c r="D2250">
        <v>7</v>
      </c>
      <c r="E2250" s="3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 s="3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  <c r="Z2250" s="3">
        <f>Table1[[#This Row],[QUANTITYORDERED]]*Table1[[#This Row],[PRICEEACH]]</f>
        <v>925.30000000000007</v>
      </c>
    </row>
    <row r="2251" spans="1:26" hidden="1" x14ac:dyDescent="0.35">
      <c r="A2251">
        <v>10425</v>
      </c>
      <c r="B2251">
        <v>11</v>
      </c>
      <c r="C2251" s="3">
        <v>43.83</v>
      </c>
      <c r="D2251">
        <v>6</v>
      </c>
      <c r="E2251" s="3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 s="3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  <c r="Z2251" s="3">
        <f>Table1[[#This Row],[QUANTITYORDERED]]*Table1[[#This Row],[PRICEEACH]]</f>
        <v>482.13</v>
      </c>
    </row>
    <row r="2252" spans="1:26" hidden="1" x14ac:dyDescent="0.35">
      <c r="A2252">
        <v>10104</v>
      </c>
      <c r="B2252">
        <v>49</v>
      </c>
      <c r="C2252" s="3">
        <v>65.87</v>
      </c>
      <c r="D2252">
        <v>4</v>
      </c>
      <c r="E2252" s="3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 s="3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  <c r="Z2252" s="3">
        <f>Table1[[#This Row],[QUANTITYORDERED]]*Table1[[#This Row],[PRICEEACH]]</f>
        <v>3227.63</v>
      </c>
    </row>
    <row r="2253" spans="1:26" hidden="1" x14ac:dyDescent="0.35">
      <c r="A2253">
        <v>10116</v>
      </c>
      <c r="B2253">
        <v>27</v>
      </c>
      <c r="C2253" s="3">
        <v>63.38</v>
      </c>
      <c r="D2253">
        <v>1</v>
      </c>
      <c r="E2253" s="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 s="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  <c r="Z2253" s="3">
        <f>Table1[[#This Row],[QUANTITYORDERED]]*Table1[[#This Row],[PRICEEACH]]</f>
        <v>1711.26</v>
      </c>
    </row>
    <row r="2254" spans="1:26" hidden="1" x14ac:dyDescent="0.35">
      <c r="A2254">
        <v>10127</v>
      </c>
      <c r="B2254">
        <v>29</v>
      </c>
      <c r="C2254" s="3">
        <v>70.84</v>
      </c>
      <c r="D2254">
        <v>6</v>
      </c>
      <c r="E2254" s="3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 s="3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  <c r="Z2254" s="3">
        <f>Table1[[#This Row],[QUANTITYORDERED]]*Table1[[#This Row],[PRICEEACH]]</f>
        <v>2054.36</v>
      </c>
    </row>
    <row r="2255" spans="1:26" hidden="1" x14ac:dyDescent="0.35">
      <c r="A2255">
        <v>10142</v>
      </c>
      <c r="B2255">
        <v>42</v>
      </c>
      <c r="C2255" s="3">
        <v>74.569999999999993</v>
      </c>
      <c r="D2255">
        <v>16</v>
      </c>
      <c r="E2255" s="3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 s="3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  <c r="Z2255" s="3">
        <f>Table1[[#This Row],[QUANTITYORDERED]]*Table1[[#This Row],[PRICEEACH]]</f>
        <v>3131.9399999999996</v>
      </c>
    </row>
    <row r="2256" spans="1:26" hidden="1" x14ac:dyDescent="0.35">
      <c r="A2256">
        <v>10152</v>
      </c>
      <c r="B2256">
        <v>33</v>
      </c>
      <c r="C2256" s="3">
        <v>50.95</v>
      </c>
      <c r="D2256">
        <v>2</v>
      </c>
      <c r="E2256" s="3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 s="3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  <c r="Z2256" s="3">
        <f>Table1[[#This Row],[QUANTITYORDERED]]*Table1[[#This Row],[PRICEEACH]]</f>
        <v>1681.3500000000001</v>
      </c>
    </row>
    <row r="2257" spans="1:26" hidden="1" x14ac:dyDescent="0.35">
      <c r="A2257">
        <v>10165</v>
      </c>
      <c r="B2257">
        <v>44</v>
      </c>
      <c r="C2257" s="3">
        <v>53.44</v>
      </c>
      <c r="D2257">
        <v>7</v>
      </c>
      <c r="E2257" s="3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 s="3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  <c r="Z2257" s="3">
        <f>Table1[[#This Row],[QUANTITYORDERED]]*Table1[[#This Row],[PRICEEACH]]</f>
        <v>2351.3599999999997</v>
      </c>
    </row>
    <row r="2258" spans="1:26" hidden="1" x14ac:dyDescent="0.35">
      <c r="A2258">
        <v>10176</v>
      </c>
      <c r="B2258">
        <v>22</v>
      </c>
      <c r="C2258" s="3">
        <v>64</v>
      </c>
      <c r="D2258">
        <v>6</v>
      </c>
      <c r="E2258" s="3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 s="3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  <c r="Z2258" s="3">
        <f>Table1[[#This Row],[QUANTITYORDERED]]*Table1[[#This Row],[PRICEEACH]]</f>
        <v>1408</v>
      </c>
    </row>
    <row r="2259" spans="1:26" hidden="1" x14ac:dyDescent="0.35">
      <c r="A2259">
        <v>10184</v>
      </c>
      <c r="B2259">
        <v>48</v>
      </c>
      <c r="C2259" s="3">
        <v>50.95</v>
      </c>
      <c r="D2259">
        <v>1</v>
      </c>
      <c r="E2259" s="3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 s="3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  <c r="Z2259" s="3">
        <f>Table1[[#This Row],[QUANTITYORDERED]]*Table1[[#This Row],[PRICEEACH]]</f>
        <v>2445.6000000000004</v>
      </c>
    </row>
    <row r="2260" spans="1:26" hidden="1" x14ac:dyDescent="0.35">
      <c r="A2260">
        <v>10195</v>
      </c>
      <c r="B2260">
        <v>33</v>
      </c>
      <c r="C2260" s="3">
        <v>54.68</v>
      </c>
      <c r="D2260">
        <v>1</v>
      </c>
      <c r="E2260" s="3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 s="3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  <c r="Z2260" s="3">
        <f>Table1[[#This Row],[QUANTITYORDERED]]*Table1[[#This Row],[PRICEEACH]]</f>
        <v>1804.44</v>
      </c>
    </row>
    <row r="2261" spans="1:26" hidden="1" x14ac:dyDescent="0.35">
      <c r="A2261">
        <v>10207</v>
      </c>
      <c r="B2261">
        <v>45</v>
      </c>
      <c r="C2261" s="3">
        <v>56.55</v>
      </c>
      <c r="D2261">
        <v>2</v>
      </c>
      <c r="E2261" s="3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 s="3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  <c r="Z2261" s="3">
        <f>Table1[[#This Row],[QUANTITYORDERED]]*Table1[[#This Row],[PRICEEACH]]</f>
        <v>2544.75</v>
      </c>
    </row>
    <row r="2262" spans="1:26" hidden="1" x14ac:dyDescent="0.35">
      <c r="A2262">
        <v>10220</v>
      </c>
      <c r="B2262">
        <v>20</v>
      </c>
      <c r="C2262" s="3">
        <v>52.82</v>
      </c>
      <c r="D2262">
        <v>6</v>
      </c>
      <c r="E2262" s="3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 s="3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  <c r="Z2262" s="3">
        <f>Table1[[#This Row],[QUANTITYORDERED]]*Table1[[#This Row],[PRICEEACH]]</f>
        <v>1056.4000000000001</v>
      </c>
    </row>
    <row r="2263" spans="1:26" hidden="1" x14ac:dyDescent="0.35">
      <c r="A2263">
        <v>10230</v>
      </c>
      <c r="B2263">
        <v>46</v>
      </c>
      <c r="C2263" s="3">
        <v>60.9</v>
      </c>
      <c r="D2263">
        <v>4</v>
      </c>
      <c r="E2263" s="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 s="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  <c r="Z2263" s="3">
        <f>Table1[[#This Row],[QUANTITYORDERED]]*Table1[[#This Row],[PRICEEACH]]</f>
        <v>2801.4</v>
      </c>
    </row>
    <row r="2264" spans="1:26" hidden="1" x14ac:dyDescent="0.35">
      <c r="A2264">
        <v>10247</v>
      </c>
      <c r="B2264">
        <v>40</v>
      </c>
      <c r="C2264" s="3">
        <v>49.71</v>
      </c>
      <c r="D2264">
        <v>6</v>
      </c>
      <c r="E2264" s="3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 s="3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  <c r="Z2264" s="3">
        <f>Table1[[#This Row],[QUANTITYORDERED]]*Table1[[#This Row],[PRICEEACH]]</f>
        <v>1988.4</v>
      </c>
    </row>
    <row r="2265" spans="1:26" hidden="1" x14ac:dyDescent="0.35">
      <c r="A2265">
        <v>10272</v>
      </c>
      <c r="B2265">
        <v>45</v>
      </c>
      <c r="C2265" s="3">
        <v>64.63</v>
      </c>
      <c r="D2265">
        <v>6</v>
      </c>
      <c r="E2265" s="3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 s="3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  <c r="Z2265" s="3">
        <f>Table1[[#This Row],[QUANTITYORDERED]]*Table1[[#This Row],[PRICEEACH]]</f>
        <v>2908.35</v>
      </c>
    </row>
    <row r="2266" spans="1:26" hidden="1" x14ac:dyDescent="0.35">
      <c r="A2266">
        <v>10282</v>
      </c>
      <c r="B2266">
        <v>36</v>
      </c>
      <c r="C2266" s="3">
        <v>59.65</v>
      </c>
      <c r="D2266">
        <v>9</v>
      </c>
      <c r="E2266" s="3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 s="3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  <c r="Z2266" s="3">
        <f>Table1[[#This Row],[QUANTITYORDERED]]*Table1[[#This Row],[PRICEEACH]]</f>
        <v>2147.4</v>
      </c>
    </row>
    <row r="2267" spans="1:26" hidden="1" x14ac:dyDescent="0.35">
      <c r="A2267">
        <v>10292</v>
      </c>
      <c r="B2267">
        <v>31</v>
      </c>
      <c r="C2267" s="3">
        <v>67.73</v>
      </c>
      <c r="D2267">
        <v>3</v>
      </c>
      <c r="E2267" s="3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 s="3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  <c r="Z2267" s="3">
        <f>Table1[[#This Row],[QUANTITYORDERED]]*Table1[[#This Row],[PRICEEACH]]</f>
        <v>2099.63</v>
      </c>
    </row>
    <row r="2268" spans="1:26" hidden="1" x14ac:dyDescent="0.35">
      <c r="A2268">
        <v>10306</v>
      </c>
      <c r="B2268">
        <v>46</v>
      </c>
      <c r="C2268" s="3">
        <v>50.33</v>
      </c>
      <c r="D2268">
        <v>17</v>
      </c>
      <c r="E2268" s="3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 s="3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  <c r="Z2268" s="3">
        <f>Table1[[#This Row],[QUANTITYORDERED]]*Table1[[#This Row],[PRICEEACH]]</f>
        <v>2315.1799999999998</v>
      </c>
    </row>
    <row r="2269" spans="1:26" hidden="1" x14ac:dyDescent="0.35">
      <c r="A2269">
        <v>10314</v>
      </c>
      <c r="B2269">
        <v>35</v>
      </c>
      <c r="C2269" s="3">
        <v>66.489999999999995</v>
      </c>
      <c r="D2269">
        <v>9</v>
      </c>
      <c r="E2269" s="3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 s="3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  <c r="Z2269" s="3">
        <f>Table1[[#This Row],[QUANTITYORDERED]]*Table1[[#This Row],[PRICEEACH]]</f>
        <v>2327.1499999999996</v>
      </c>
    </row>
    <row r="2270" spans="1:26" hidden="1" x14ac:dyDescent="0.35">
      <c r="A2270">
        <v>10325</v>
      </c>
      <c r="B2270">
        <v>28</v>
      </c>
      <c r="C2270" s="3">
        <v>100</v>
      </c>
      <c r="D2270">
        <v>2</v>
      </c>
      <c r="E2270" s="3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 s="3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  <c r="Z2270" s="3">
        <f>Table1[[#This Row],[QUANTITYORDERED]]*Table1[[#This Row],[PRICEEACH]]</f>
        <v>2800</v>
      </c>
    </row>
    <row r="2271" spans="1:26" hidden="1" x14ac:dyDescent="0.35">
      <c r="A2271">
        <v>10336</v>
      </c>
      <c r="B2271">
        <v>31</v>
      </c>
      <c r="C2271" s="3">
        <v>84.71</v>
      </c>
      <c r="D2271">
        <v>9</v>
      </c>
      <c r="E2271" s="3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 s="3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  <c r="Z2271" s="3">
        <f>Table1[[#This Row],[QUANTITYORDERED]]*Table1[[#This Row],[PRICEEACH]]</f>
        <v>2626.0099999999998</v>
      </c>
    </row>
    <row r="2272" spans="1:26" hidden="1" x14ac:dyDescent="0.35">
      <c r="A2272">
        <v>10350</v>
      </c>
      <c r="B2272">
        <v>27</v>
      </c>
      <c r="C2272" s="3">
        <v>100</v>
      </c>
      <c r="D2272">
        <v>14</v>
      </c>
      <c r="E2272" s="3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 s="3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  <c r="Z2272" s="3">
        <f>Table1[[#This Row],[QUANTITYORDERED]]*Table1[[#This Row],[PRICEEACH]]</f>
        <v>2700</v>
      </c>
    </row>
    <row r="2273" spans="1:26" hidden="1" x14ac:dyDescent="0.35">
      <c r="A2273">
        <v>10359</v>
      </c>
      <c r="B2273">
        <v>22</v>
      </c>
      <c r="C2273" s="3">
        <v>100</v>
      </c>
      <c r="D2273">
        <v>1</v>
      </c>
      <c r="E2273" s="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 s="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  <c r="Z2273" s="3">
        <f>Table1[[#This Row],[QUANTITYORDERED]]*Table1[[#This Row],[PRICEEACH]]</f>
        <v>2200</v>
      </c>
    </row>
    <row r="2274" spans="1:26" hidden="1" x14ac:dyDescent="0.35">
      <c r="A2274">
        <v>10371</v>
      </c>
      <c r="B2274">
        <v>30</v>
      </c>
      <c r="C2274" s="3">
        <v>99.55</v>
      </c>
      <c r="D2274">
        <v>11</v>
      </c>
      <c r="E2274" s="3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 s="3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  <c r="Z2274" s="3">
        <f>Table1[[#This Row],[QUANTITYORDERED]]*Table1[[#This Row],[PRICEEACH]]</f>
        <v>2986.5</v>
      </c>
    </row>
    <row r="2275" spans="1:26" hidden="1" x14ac:dyDescent="0.35">
      <c r="A2275">
        <v>10383</v>
      </c>
      <c r="B2275">
        <v>44</v>
      </c>
      <c r="C2275" s="3">
        <v>36.07</v>
      </c>
      <c r="D2275">
        <v>8</v>
      </c>
      <c r="E2275" s="3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 s="3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  <c r="Z2275" s="3">
        <f>Table1[[#This Row],[QUANTITYORDERED]]*Table1[[#This Row],[PRICEEACH]]</f>
        <v>1587.08</v>
      </c>
    </row>
    <row r="2276" spans="1:26" hidden="1" x14ac:dyDescent="0.35">
      <c r="A2276">
        <v>10394</v>
      </c>
      <c r="B2276">
        <v>30</v>
      </c>
      <c r="C2276" s="3">
        <v>60.28</v>
      </c>
      <c r="D2276">
        <v>4</v>
      </c>
      <c r="E2276" s="3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 s="3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  <c r="Z2276" s="3">
        <f>Table1[[#This Row],[QUANTITYORDERED]]*Table1[[#This Row],[PRICEEACH]]</f>
        <v>1808.4</v>
      </c>
    </row>
    <row r="2277" spans="1:26" hidden="1" x14ac:dyDescent="0.35">
      <c r="A2277">
        <v>10413</v>
      </c>
      <c r="B2277">
        <v>24</v>
      </c>
      <c r="C2277" s="3">
        <v>49.71</v>
      </c>
      <c r="D2277">
        <v>6</v>
      </c>
      <c r="E2277" s="3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 s="3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  <c r="Z2277" s="3">
        <f>Table1[[#This Row],[QUANTITYORDERED]]*Table1[[#This Row],[PRICEEACH]]</f>
        <v>1193.04</v>
      </c>
    </row>
    <row r="2278" spans="1:26" hidden="1" x14ac:dyDescent="0.35">
      <c r="A2278">
        <v>10103</v>
      </c>
      <c r="B2278">
        <v>45</v>
      </c>
      <c r="C2278" s="3">
        <v>75.63</v>
      </c>
      <c r="D2278">
        <v>7</v>
      </c>
      <c r="E2278" s="3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 s="3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  <c r="Z2278" s="3">
        <f>Table1[[#This Row],[QUANTITYORDERED]]*Table1[[#This Row],[PRICEEACH]]</f>
        <v>3403.35</v>
      </c>
    </row>
    <row r="2279" spans="1:26" hidden="1" x14ac:dyDescent="0.35">
      <c r="A2279">
        <v>10113</v>
      </c>
      <c r="B2279">
        <v>23</v>
      </c>
      <c r="C2279" s="3">
        <v>68.52</v>
      </c>
      <c r="D2279">
        <v>1</v>
      </c>
      <c r="E2279" s="3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 s="3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  <c r="Z2279" s="3">
        <f>Table1[[#This Row],[QUANTITYORDERED]]*Table1[[#This Row],[PRICEEACH]]</f>
        <v>1575.9599999999998</v>
      </c>
    </row>
    <row r="2280" spans="1:26" hidden="1" x14ac:dyDescent="0.35">
      <c r="A2280">
        <v>10126</v>
      </c>
      <c r="B2280">
        <v>26</v>
      </c>
      <c r="C2280" s="3">
        <v>62.7</v>
      </c>
      <c r="D2280">
        <v>7</v>
      </c>
      <c r="E2280" s="3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 s="3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  <c r="Z2280" s="3">
        <f>Table1[[#This Row],[QUANTITYORDERED]]*Table1[[#This Row],[PRICEEACH]]</f>
        <v>1630.2</v>
      </c>
    </row>
    <row r="2281" spans="1:26" hidden="1" x14ac:dyDescent="0.35">
      <c r="A2281">
        <v>10140</v>
      </c>
      <c r="B2281">
        <v>28</v>
      </c>
      <c r="C2281" s="3">
        <v>60.76</v>
      </c>
      <c r="D2281">
        <v>7</v>
      </c>
      <c r="E2281" s="3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 s="3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  <c r="Z2281" s="3">
        <f>Table1[[#This Row],[QUANTITYORDERED]]*Table1[[#This Row],[PRICEEACH]]</f>
        <v>1701.28</v>
      </c>
    </row>
    <row r="2282" spans="1:26" hidden="1" x14ac:dyDescent="0.35">
      <c r="A2282">
        <v>10150</v>
      </c>
      <c r="B2282">
        <v>49</v>
      </c>
      <c r="C2282" s="3">
        <v>58.18</v>
      </c>
      <c r="D2282">
        <v>4</v>
      </c>
      <c r="E2282" s="3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 s="3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  <c r="Z2282" s="3">
        <f>Table1[[#This Row],[QUANTITYORDERED]]*Table1[[#This Row],[PRICEEACH]]</f>
        <v>2850.82</v>
      </c>
    </row>
    <row r="2283" spans="1:26" hidden="1" x14ac:dyDescent="0.35">
      <c r="A2283">
        <v>10164</v>
      </c>
      <c r="B2283">
        <v>49</v>
      </c>
      <c r="C2283" s="3">
        <v>54.94</v>
      </c>
      <c r="D2283">
        <v>5</v>
      </c>
      <c r="E2283" s="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 s="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  <c r="Z2283" s="3">
        <f>Table1[[#This Row],[QUANTITYORDERED]]*Table1[[#This Row],[PRICEEACH]]</f>
        <v>2692.06</v>
      </c>
    </row>
    <row r="2284" spans="1:26" hidden="1" x14ac:dyDescent="0.35">
      <c r="A2284">
        <v>10175</v>
      </c>
      <c r="B2284">
        <v>29</v>
      </c>
      <c r="C2284" s="3">
        <v>74.98</v>
      </c>
      <c r="D2284">
        <v>12</v>
      </c>
      <c r="E2284" s="3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 s="3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  <c r="Z2284" s="3">
        <f>Table1[[#This Row],[QUANTITYORDERED]]*Table1[[#This Row],[PRICEEACH]]</f>
        <v>2174.42</v>
      </c>
    </row>
    <row r="2285" spans="1:26" hidden="1" x14ac:dyDescent="0.35">
      <c r="A2285">
        <v>10183</v>
      </c>
      <c r="B2285">
        <v>49</v>
      </c>
      <c r="C2285" s="3">
        <v>64.64</v>
      </c>
      <c r="D2285">
        <v>4</v>
      </c>
      <c r="E2285" s="3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 s="3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  <c r="Z2285" s="3">
        <f>Table1[[#This Row],[QUANTITYORDERED]]*Table1[[#This Row],[PRICEEACH]]</f>
        <v>3167.36</v>
      </c>
    </row>
    <row r="2286" spans="1:26" hidden="1" x14ac:dyDescent="0.35">
      <c r="A2286">
        <v>10194</v>
      </c>
      <c r="B2286">
        <v>39</v>
      </c>
      <c r="C2286" s="3">
        <v>54.94</v>
      </c>
      <c r="D2286">
        <v>7</v>
      </c>
      <c r="E2286" s="3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 s="3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  <c r="Z2286" s="3">
        <f>Table1[[#This Row],[QUANTITYORDERED]]*Table1[[#This Row],[PRICEEACH]]</f>
        <v>2142.66</v>
      </c>
    </row>
    <row r="2287" spans="1:26" hidden="1" x14ac:dyDescent="0.35">
      <c r="A2287">
        <v>10206</v>
      </c>
      <c r="B2287">
        <v>36</v>
      </c>
      <c r="C2287" s="3">
        <v>58.82</v>
      </c>
      <c r="D2287">
        <v>2</v>
      </c>
      <c r="E2287" s="3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 s="3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  <c r="Z2287" s="3">
        <f>Table1[[#This Row],[QUANTITYORDERED]]*Table1[[#This Row],[PRICEEACH]]</f>
        <v>2117.52</v>
      </c>
    </row>
    <row r="2288" spans="1:26" hidden="1" x14ac:dyDescent="0.35">
      <c r="A2288">
        <v>10217</v>
      </c>
      <c r="B2288">
        <v>39</v>
      </c>
      <c r="C2288" s="3">
        <v>62.05</v>
      </c>
      <c r="D2288">
        <v>7</v>
      </c>
      <c r="E2288" s="3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 s="3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  <c r="Z2288" s="3">
        <f>Table1[[#This Row],[QUANTITYORDERED]]*Table1[[#This Row],[PRICEEACH]]</f>
        <v>2419.9499999999998</v>
      </c>
    </row>
    <row r="2289" spans="1:26" hidden="1" x14ac:dyDescent="0.35">
      <c r="A2289">
        <v>10229</v>
      </c>
      <c r="B2289">
        <v>30</v>
      </c>
      <c r="C2289" s="3">
        <v>73.040000000000006</v>
      </c>
      <c r="D2289">
        <v>12</v>
      </c>
      <c r="E2289" s="3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 s="3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  <c r="Z2289" s="3">
        <f>Table1[[#This Row],[QUANTITYORDERED]]*Table1[[#This Row],[PRICEEACH]]</f>
        <v>2191.2000000000003</v>
      </c>
    </row>
    <row r="2290" spans="1:26" hidden="1" x14ac:dyDescent="0.35">
      <c r="A2290">
        <v>10245</v>
      </c>
      <c r="B2290">
        <v>44</v>
      </c>
      <c r="C2290" s="3">
        <v>69.16</v>
      </c>
      <c r="D2290">
        <v>5</v>
      </c>
      <c r="E2290" s="3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 s="3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  <c r="Z2290" s="3">
        <f>Table1[[#This Row],[QUANTITYORDERED]]*Table1[[#This Row],[PRICEEACH]]</f>
        <v>3043.04</v>
      </c>
    </row>
    <row r="2291" spans="1:26" hidden="1" x14ac:dyDescent="0.35">
      <c r="A2291">
        <v>10258</v>
      </c>
      <c r="B2291">
        <v>20</v>
      </c>
      <c r="C2291" s="3">
        <v>61.41</v>
      </c>
      <c r="D2291">
        <v>2</v>
      </c>
      <c r="E2291" s="3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 s="3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  <c r="Z2291" s="3">
        <f>Table1[[#This Row],[QUANTITYORDERED]]*Table1[[#This Row],[PRICEEACH]]</f>
        <v>1228.1999999999998</v>
      </c>
    </row>
    <row r="2292" spans="1:26" hidden="1" x14ac:dyDescent="0.35">
      <c r="A2292">
        <v>10270</v>
      </c>
      <c r="B2292">
        <v>21</v>
      </c>
      <c r="C2292" s="3">
        <v>63.35</v>
      </c>
      <c r="D2292">
        <v>5</v>
      </c>
      <c r="E2292" s="3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 s="3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  <c r="Z2292" s="3">
        <f>Table1[[#This Row],[QUANTITYORDERED]]*Table1[[#This Row],[PRICEEACH]]</f>
        <v>1330.3500000000001</v>
      </c>
    </row>
    <row r="2293" spans="1:26" hidden="1" x14ac:dyDescent="0.35">
      <c r="A2293">
        <v>10281</v>
      </c>
      <c r="B2293">
        <v>36</v>
      </c>
      <c r="C2293" s="3">
        <v>77.569999999999993</v>
      </c>
      <c r="D2293">
        <v>12</v>
      </c>
      <c r="E2293" s="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 s="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  <c r="Z2293" s="3">
        <f>Table1[[#This Row],[QUANTITYORDERED]]*Table1[[#This Row],[PRICEEACH]]</f>
        <v>2792.5199999999995</v>
      </c>
    </row>
    <row r="2294" spans="1:26" hidden="1" x14ac:dyDescent="0.35">
      <c r="A2294">
        <v>10291</v>
      </c>
      <c r="B2294">
        <v>32</v>
      </c>
      <c r="C2294" s="3">
        <v>71.75</v>
      </c>
      <c r="D2294">
        <v>7</v>
      </c>
      <c r="E2294" s="3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 s="3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  <c r="Z2294" s="3">
        <f>Table1[[#This Row],[QUANTITYORDERED]]*Table1[[#This Row],[PRICEEACH]]</f>
        <v>2296</v>
      </c>
    </row>
    <row r="2295" spans="1:26" hidden="1" x14ac:dyDescent="0.35">
      <c r="A2295">
        <v>10304</v>
      </c>
      <c r="B2295">
        <v>36</v>
      </c>
      <c r="C2295" s="3">
        <v>73.040000000000006</v>
      </c>
      <c r="D2295">
        <v>2</v>
      </c>
      <c r="E2295" s="3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 s="3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  <c r="Z2295" s="3">
        <f>Table1[[#This Row],[QUANTITYORDERED]]*Table1[[#This Row],[PRICEEACH]]</f>
        <v>2629.44</v>
      </c>
    </row>
    <row r="2296" spans="1:26" hidden="1" x14ac:dyDescent="0.35">
      <c r="A2296">
        <v>10313</v>
      </c>
      <c r="B2296">
        <v>34</v>
      </c>
      <c r="C2296" s="3">
        <v>56.24</v>
      </c>
      <c r="D2296">
        <v>10</v>
      </c>
      <c r="E2296" s="3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 s="3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  <c r="Z2296" s="3">
        <f>Table1[[#This Row],[QUANTITYORDERED]]*Table1[[#This Row],[PRICEEACH]]</f>
        <v>1912.16</v>
      </c>
    </row>
    <row r="2297" spans="1:26" hidden="1" x14ac:dyDescent="0.35">
      <c r="A2297">
        <v>10324</v>
      </c>
      <c r="B2297">
        <v>48</v>
      </c>
      <c r="C2297" s="3">
        <v>100</v>
      </c>
      <c r="D2297">
        <v>4</v>
      </c>
      <c r="E2297" s="3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 s="3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  <c r="Z2297" s="3">
        <f>Table1[[#This Row],[QUANTITYORDERED]]*Table1[[#This Row],[PRICEEACH]]</f>
        <v>4800</v>
      </c>
    </row>
    <row r="2298" spans="1:26" hidden="1" x14ac:dyDescent="0.35">
      <c r="A2298">
        <v>10333</v>
      </c>
      <c r="B2298">
        <v>33</v>
      </c>
      <c r="C2298" s="3">
        <v>73.69</v>
      </c>
      <c r="D2298">
        <v>4</v>
      </c>
      <c r="E2298" s="3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 s="3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  <c r="Z2298" s="3">
        <f>Table1[[#This Row],[QUANTITYORDERED]]*Table1[[#This Row],[PRICEEACH]]</f>
        <v>2431.77</v>
      </c>
    </row>
    <row r="2299" spans="1:26" hidden="1" x14ac:dyDescent="0.35">
      <c r="A2299">
        <v>10348</v>
      </c>
      <c r="B2299">
        <v>31</v>
      </c>
      <c r="C2299" s="3">
        <v>100</v>
      </c>
      <c r="D2299">
        <v>5</v>
      </c>
      <c r="E2299" s="3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 s="3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  <c r="Z2299" s="3">
        <f>Table1[[#This Row],[QUANTITYORDERED]]*Table1[[#This Row],[PRICEEACH]]</f>
        <v>3100</v>
      </c>
    </row>
    <row r="2300" spans="1:26" hidden="1" x14ac:dyDescent="0.35">
      <c r="A2300">
        <v>10358</v>
      </c>
      <c r="B2300">
        <v>36</v>
      </c>
      <c r="C2300" s="3">
        <v>100</v>
      </c>
      <c r="D2300">
        <v>2</v>
      </c>
      <c r="E2300" s="3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 s="3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  <c r="Z2300" s="3">
        <f>Table1[[#This Row],[QUANTITYORDERED]]*Table1[[#This Row],[PRICEEACH]]</f>
        <v>3600</v>
      </c>
    </row>
    <row r="2301" spans="1:26" hidden="1" x14ac:dyDescent="0.35">
      <c r="A2301">
        <v>10370</v>
      </c>
      <c r="B2301">
        <v>25</v>
      </c>
      <c r="C2301" s="3">
        <v>100</v>
      </c>
      <c r="D2301">
        <v>3</v>
      </c>
      <c r="E2301" s="3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 s="3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  <c r="Z2301" s="3">
        <f>Table1[[#This Row],[QUANTITYORDERED]]*Table1[[#This Row],[PRICEEACH]]</f>
        <v>2500</v>
      </c>
    </row>
    <row r="2302" spans="1:26" hidden="1" x14ac:dyDescent="0.35">
      <c r="A2302">
        <v>10382</v>
      </c>
      <c r="B2302">
        <v>48</v>
      </c>
      <c r="C2302" s="3">
        <v>100</v>
      </c>
      <c r="D2302">
        <v>8</v>
      </c>
      <c r="E2302" s="3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 s="3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  <c r="Z2302" s="3">
        <f>Table1[[#This Row],[QUANTITYORDERED]]*Table1[[#This Row],[PRICEEACH]]</f>
        <v>4800</v>
      </c>
    </row>
    <row r="2303" spans="1:26" hidden="1" x14ac:dyDescent="0.35">
      <c r="A2303">
        <v>10411</v>
      </c>
      <c r="B2303">
        <v>27</v>
      </c>
      <c r="C2303" s="3">
        <v>69.16</v>
      </c>
      <c r="D2303">
        <v>5</v>
      </c>
      <c r="E2303" s="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 s="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  <c r="Z2303" s="3">
        <f>Table1[[#This Row],[QUANTITYORDERED]]*Table1[[#This Row],[PRICEEACH]]</f>
        <v>1867.32</v>
      </c>
    </row>
    <row r="2304" spans="1:26" hidden="1" x14ac:dyDescent="0.35">
      <c r="A2304">
        <v>10424</v>
      </c>
      <c r="B2304">
        <v>44</v>
      </c>
      <c r="C2304" s="3">
        <v>61.41</v>
      </c>
      <c r="D2304">
        <v>2</v>
      </c>
      <c r="E2304" s="3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 s="3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  <c r="Z2304" s="3">
        <f>Table1[[#This Row],[QUANTITYORDERED]]*Table1[[#This Row],[PRICEEACH]]</f>
        <v>2702.04</v>
      </c>
    </row>
    <row r="2305" spans="1:26" hidden="1" x14ac:dyDescent="0.35">
      <c r="A2305">
        <v>10106</v>
      </c>
      <c r="B2305">
        <v>33</v>
      </c>
      <c r="C2305" s="3">
        <v>72.92</v>
      </c>
      <c r="D2305">
        <v>5</v>
      </c>
      <c r="E2305" s="3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 s="3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  <c r="Z2305" s="3">
        <f>Table1[[#This Row],[QUANTITYORDERED]]*Table1[[#This Row],[PRICEEACH]]</f>
        <v>2406.36</v>
      </c>
    </row>
    <row r="2306" spans="1:26" hidden="1" x14ac:dyDescent="0.35">
      <c r="A2306">
        <v>10120</v>
      </c>
      <c r="B2306">
        <v>29</v>
      </c>
      <c r="C2306" s="3">
        <v>72.23</v>
      </c>
      <c r="D2306">
        <v>11</v>
      </c>
      <c r="E2306" s="3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 s="3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  <c r="Z2306" s="3">
        <f>Table1[[#This Row],[QUANTITYORDERED]]*Table1[[#This Row],[PRICEEACH]]</f>
        <v>2094.67</v>
      </c>
    </row>
    <row r="2307" spans="1:26" hidden="1" x14ac:dyDescent="0.35">
      <c r="A2307">
        <v>10133</v>
      </c>
      <c r="B2307">
        <v>49</v>
      </c>
      <c r="C2307" s="3">
        <v>57.1</v>
      </c>
      <c r="D2307">
        <v>6</v>
      </c>
      <c r="E2307" s="3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 s="3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  <c r="Z2307" s="3">
        <f>Table1[[#This Row],[QUANTITYORDERED]]*Table1[[#This Row],[PRICEEACH]]</f>
        <v>2797.9</v>
      </c>
    </row>
    <row r="2308" spans="1:26" hidden="1" x14ac:dyDescent="0.35">
      <c r="A2308">
        <v>10144</v>
      </c>
      <c r="B2308">
        <v>20</v>
      </c>
      <c r="C2308" s="3">
        <v>81.86</v>
      </c>
      <c r="D2308">
        <v>1</v>
      </c>
      <c r="E2308" s="3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 s="3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  <c r="Z2308" s="3">
        <f>Table1[[#This Row],[QUANTITYORDERED]]*Table1[[#This Row],[PRICEEACH]]</f>
        <v>1637.2</v>
      </c>
    </row>
    <row r="2309" spans="1:26" hidden="1" x14ac:dyDescent="0.35">
      <c r="A2309">
        <v>10168</v>
      </c>
      <c r="B2309">
        <v>31</v>
      </c>
      <c r="C2309" s="3">
        <v>73.61</v>
      </c>
      <c r="D2309">
        <v>12</v>
      </c>
      <c r="E2309" s="3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 s="3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  <c r="Z2309" s="3">
        <f>Table1[[#This Row],[QUANTITYORDERED]]*Table1[[#This Row],[PRICEEACH]]</f>
        <v>2281.91</v>
      </c>
    </row>
    <row r="2310" spans="1:26" hidden="1" x14ac:dyDescent="0.35">
      <c r="A2310">
        <v>10210</v>
      </c>
      <c r="B2310">
        <v>39</v>
      </c>
      <c r="C2310" s="3">
        <v>59.16</v>
      </c>
      <c r="D2310">
        <v>10</v>
      </c>
      <c r="E2310" s="3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 s="3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  <c r="Z2310" s="3">
        <f>Table1[[#This Row],[QUANTITYORDERED]]*Table1[[#This Row],[PRICEEACH]]</f>
        <v>2307.2399999999998</v>
      </c>
    </row>
    <row r="2311" spans="1:26" hidden="1" x14ac:dyDescent="0.35">
      <c r="A2311">
        <v>10223</v>
      </c>
      <c r="B2311">
        <v>20</v>
      </c>
      <c r="C2311" s="3">
        <v>66.040000000000006</v>
      </c>
      <c r="D2311">
        <v>12</v>
      </c>
      <c r="E2311" s="3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 s="3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  <c r="Z2311" s="3">
        <f>Table1[[#This Row],[QUANTITYORDERED]]*Table1[[#This Row],[PRICEEACH]]</f>
        <v>1320.8000000000002</v>
      </c>
    </row>
    <row r="2312" spans="1:26" hidden="1" x14ac:dyDescent="0.35">
      <c r="A2312">
        <v>10235</v>
      </c>
      <c r="B2312">
        <v>34</v>
      </c>
      <c r="C2312" s="3">
        <v>77.73</v>
      </c>
      <c r="D2312">
        <v>6</v>
      </c>
      <c r="E2312" s="3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 s="3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  <c r="Z2312" s="3">
        <f>Table1[[#This Row],[QUANTITYORDERED]]*Table1[[#This Row],[PRICEEACH]]</f>
        <v>2642.82</v>
      </c>
    </row>
    <row r="2313" spans="1:26" hidden="1" x14ac:dyDescent="0.35">
      <c r="A2313">
        <v>10250</v>
      </c>
      <c r="B2313">
        <v>50</v>
      </c>
      <c r="C2313" s="3">
        <v>61.22</v>
      </c>
      <c r="D2313">
        <v>7</v>
      </c>
      <c r="E2313" s="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 s="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  <c r="Z2313" s="3">
        <f>Table1[[#This Row],[QUANTITYORDERED]]*Table1[[#This Row],[PRICEEACH]]</f>
        <v>3061</v>
      </c>
    </row>
    <row r="2314" spans="1:26" hidden="1" x14ac:dyDescent="0.35">
      <c r="A2314">
        <v>10262</v>
      </c>
      <c r="B2314">
        <v>40</v>
      </c>
      <c r="C2314" s="3">
        <v>79.11</v>
      </c>
      <c r="D2314">
        <v>2</v>
      </c>
      <c r="E2314" s="3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 s="3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  <c r="Z2314" s="3">
        <f>Table1[[#This Row],[QUANTITYORDERED]]*Table1[[#This Row],[PRICEEACH]]</f>
        <v>3164.4</v>
      </c>
    </row>
    <row r="2315" spans="1:26" hidden="1" x14ac:dyDescent="0.35">
      <c r="A2315">
        <v>10275</v>
      </c>
      <c r="B2315">
        <v>28</v>
      </c>
      <c r="C2315" s="3">
        <v>63.97</v>
      </c>
      <c r="D2315">
        <v>12</v>
      </c>
      <c r="E2315" s="3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 s="3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  <c r="Z2315" s="3">
        <f>Table1[[#This Row],[QUANTITYORDERED]]*Table1[[#This Row],[PRICEEACH]]</f>
        <v>1791.1599999999999</v>
      </c>
    </row>
    <row r="2316" spans="1:26" hidden="1" x14ac:dyDescent="0.35">
      <c r="A2316">
        <v>10284</v>
      </c>
      <c r="B2316">
        <v>50</v>
      </c>
      <c r="C2316" s="3">
        <v>81.86</v>
      </c>
      <c r="D2316">
        <v>4</v>
      </c>
      <c r="E2316" s="3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 s="3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  <c r="Z2316" s="3">
        <f>Table1[[#This Row],[QUANTITYORDERED]]*Table1[[#This Row],[PRICEEACH]]</f>
        <v>4093</v>
      </c>
    </row>
    <row r="2317" spans="1:26" hidden="1" x14ac:dyDescent="0.35">
      <c r="A2317">
        <v>10297</v>
      </c>
      <c r="B2317">
        <v>28</v>
      </c>
      <c r="C2317" s="3">
        <v>79.8</v>
      </c>
      <c r="D2317">
        <v>7</v>
      </c>
      <c r="E2317" s="3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 s="3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  <c r="Z2317" s="3">
        <f>Table1[[#This Row],[QUANTITYORDERED]]*Table1[[#This Row],[PRICEEACH]]</f>
        <v>2234.4</v>
      </c>
    </row>
    <row r="2318" spans="1:26" hidden="1" x14ac:dyDescent="0.35">
      <c r="A2318">
        <v>10308</v>
      </c>
      <c r="B2318">
        <v>46</v>
      </c>
      <c r="C2318" s="3">
        <v>66.040000000000006</v>
      </c>
      <c r="D2318">
        <v>10</v>
      </c>
      <c r="E2318" s="3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 s="3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  <c r="Z2318" s="3">
        <f>Table1[[#This Row],[QUANTITYORDERED]]*Table1[[#This Row],[PRICEEACH]]</f>
        <v>3037.84</v>
      </c>
    </row>
    <row r="2319" spans="1:26" hidden="1" x14ac:dyDescent="0.35">
      <c r="A2319">
        <v>10316</v>
      </c>
      <c r="B2319">
        <v>24</v>
      </c>
      <c r="C2319" s="3">
        <v>59.16</v>
      </c>
      <c r="D2319">
        <v>2</v>
      </c>
      <c r="E2319" s="3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 s="3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  <c r="Z2319" s="3">
        <f>Table1[[#This Row],[QUANTITYORDERED]]*Table1[[#This Row],[PRICEEACH]]</f>
        <v>1419.84</v>
      </c>
    </row>
    <row r="2320" spans="1:26" hidden="1" x14ac:dyDescent="0.35">
      <c r="A2320">
        <v>10328</v>
      </c>
      <c r="B2320">
        <v>24</v>
      </c>
      <c r="C2320" s="3">
        <v>81.17</v>
      </c>
      <c r="D2320">
        <v>5</v>
      </c>
      <c r="E2320" s="3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 s="3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  <c r="Z2320" s="3">
        <f>Table1[[#This Row],[QUANTITYORDERED]]*Table1[[#This Row],[PRICEEACH]]</f>
        <v>1948.08</v>
      </c>
    </row>
    <row r="2321" spans="1:26" hidden="1" x14ac:dyDescent="0.35">
      <c r="A2321">
        <v>10340</v>
      </c>
      <c r="B2321">
        <v>39</v>
      </c>
      <c r="C2321" s="3">
        <v>59.16</v>
      </c>
      <c r="D2321">
        <v>3</v>
      </c>
      <c r="E2321" s="3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 s="3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  <c r="Z2321" s="3">
        <f>Table1[[#This Row],[QUANTITYORDERED]]*Table1[[#This Row],[PRICEEACH]]</f>
        <v>2307.2399999999998</v>
      </c>
    </row>
    <row r="2322" spans="1:26" hidden="1" x14ac:dyDescent="0.35">
      <c r="A2322">
        <v>10353</v>
      </c>
      <c r="B2322">
        <v>40</v>
      </c>
      <c r="C2322" s="3">
        <v>44.51</v>
      </c>
      <c r="D2322">
        <v>7</v>
      </c>
      <c r="E2322" s="3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 s="3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  <c r="Z2322" s="3">
        <f>Table1[[#This Row],[QUANTITYORDERED]]*Table1[[#This Row],[PRICEEACH]]</f>
        <v>1780.3999999999999</v>
      </c>
    </row>
    <row r="2323" spans="1:26" hidden="1" x14ac:dyDescent="0.35">
      <c r="A2323">
        <v>10361</v>
      </c>
      <c r="B2323">
        <v>49</v>
      </c>
      <c r="C2323" s="3">
        <v>72.33</v>
      </c>
      <c r="D2323">
        <v>2</v>
      </c>
      <c r="E2323" s="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 s="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  <c r="Z2323" s="3">
        <f>Table1[[#This Row],[QUANTITYORDERED]]*Table1[[#This Row],[PRICEEACH]]</f>
        <v>3544.17</v>
      </c>
    </row>
    <row r="2324" spans="1:26" hidden="1" x14ac:dyDescent="0.35">
      <c r="A2324">
        <v>10375</v>
      </c>
      <c r="B2324">
        <v>44</v>
      </c>
      <c r="C2324" s="3">
        <v>82.26</v>
      </c>
      <c r="D2324">
        <v>4</v>
      </c>
      <c r="E2324" s="3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 s="3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  <c r="Z2324" s="3">
        <f>Table1[[#This Row],[QUANTITYORDERED]]*Table1[[#This Row],[PRICEEACH]]</f>
        <v>3619.44</v>
      </c>
    </row>
    <row r="2325" spans="1:26" hidden="1" x14ac:dyDescent="0.35">
      <c r="A2325">
        <v>10388</v>
      </c>
      <c r="B2325">
        <v>35</v>
      </c>
      <c r="C2325" s="3">
        <v>100</v>
      </c>
      <c r="D2325">
        <v>8</v>
      </c>
      <c r="E2325" s="3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 s="3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  <c r="Z2325" s="3">
        <f>Table1[[#This Row],[QUANTITYORDERED]]*Table1[[#This Row],[PRICEEACH]]</f>
        <v>3500</v>
      </c>
    </row>
    <row r="2326" spans="1:26" hidden="1" x14ac:dyDescent="0.35">
      <c r="A2326">
        <v>10398</v>
      </c>
      <c r="B2326">
        <v>22</v>
      </c>
      <c r="C2326" s="3">
        <v>67.41</v>
      </c>
      <c r="D2326">
        <v>4</v>
      </c>
      <c r="E2326" s="3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 s="3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  <c r="Z2326" s="3">
        <f>Table1[[#This Row],[QUANTITYORDERED]]*Table1[[#This Row],[PRICEEACH]]</f>
        <v>1483.02</v>
      </c>
    </row>
    <row r="2327" spans="1:26" hidden="1" x14ac:dyDescent="0.35">
      <c r="A2327">
        <v>10401</v>
      </c>
      <c r="B2327">
        <v>62</v>
      </c>
      <c r="C2327" s="3">
        <v>77.73</v>
      </c>
      <c r="D2327">
        <v>6</v>
      </c>
      <c r="E2327" s="3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 s="3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  <c r="Z2327" s="3">
        <f>Table1[[#This Row],[QUANTITYORDERED]]*Table1[[#This Row],[PRICEEACH]]</f>
        <v>4819.26</v>
      </c>
    </row>
    <row r="2328" spans="1:26" hidden="1" x14ac:dyDescent="0.35">
      <c r="A2328">
        <v>10416</v>
      </c>
      <c r="B2328">
        <v>26</v>
      </c>
      <c r="C2328" s="3">
        <v>61.22</v>
      </c>
      <c r="D2328">
        <v>7</v>
      </c>
      <c r="E2328" s="3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 s="3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  <c r="Z2328" s="3">
        <f>Table1[[#This Row],[QUANTITYORDERED]]*Table1[[#This Row],[PRICEEACH]]</f>
        <v>1591.72</v>
      </c>
    </row>
    <row r="2329" spans="1:26" hidden="1" x14ac:dyDescent="0.35">
      <c r="A2329">
        <v>10108</v>
      </c>
      <c r="B2329">
        <v>31</v>
      </c>
      <c r="C2329" s="3">
        <v>100</v>
      </c>
      <c r="D2329">
        <v>16</v>
      </c>
      <c r="E2329" s="3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 s="3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  <c r="Z2329" s="3">
        <f>Table1[[#This Row],[QUANTITYORDERED]]*Table1[[#This Row],[PRICEEACH]]</f>
        <v>3100</v>
      </c>
    </row>
    <row r="2330" spans="1:26" hidden="1" x14ac:dyDescent="0.35">
      <c r="A2330">
        <v>10121</v>
      </c>
      <c r="B2330">
        <v>25</v>
      </c>
      <c r="C2330" s="3">
        <v>86.74</v>
      </c>
      <c r="D2330">
        <v>3</v>
      </c>
      <c r="E2330" s="3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 s="3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  <c r="Z2330" s="3">
        <f>Table1[[#This Row],[QUANTITYORDERED]]*Table1[[#This Row],[PRICEEACH]]</f>
        <v>2168.5</v>
      </c>
    </row>
    <row r="2331" spans="1:26" hidden="1" x14ac:dyDescent="0.35">
      <c r="A2331">
        <v>10135</v>
      </c>
      <c r="B2331">
        <v>30</v>
      </c>
      <c r="C2331" s="3">
        <v>89.8</v>
      </c>
      <c r="D2331">
        <v>17</v>
      </c>
      <c r="E2331" s="3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 s="3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  <c r="Z2331" s="3">
        <f>Table1[[#This Row],[QUANTITYORDERED]]*Table1[[#This Row],[PRICEEACH]]</f>
        <v>2694</v>
      </c>
    </row>
    <row r="2332" spans="1:26" hidden="1" x14ac:dyDescent="0.35">
      <c r="A2332">
        <v>10145</v>
      </c>
      <c r="B2332">
        <v>27</v>
      </c>
      <c r="C2332" s="3">
        <v>100</v>
      </c>
      <c r="D2332">
        <v>4</v>
      </c>
      <c r="E2332" s="3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 s="3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  <c r="Z2332" s="3">
        <f>Table1[[#This Row],[QUANTITYORDERED]]*Table1[[#This Row],[PRICEEACH]]</f>
        <v>2700</v>
      </c>
    </row>
    <row r="2333" spans="1:26" hidden="1" x14ac:dyDescent="0.35">
      <c r="A2333">
        <v>10159</v>
      </c>
      <c r="B2333">
        <v>23</v>
      </c>
      <c r="C2333" s="3">
        <v>100</v>
      </c>
      <c r="D2333">
        <v>12</v>
      </c>
      <c r="E2333" s="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 s="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  <c r="Z2333" s="3">
        <f>Table1[[#This Row],[QUANTITYORDERED]]*Table1[[#This Row],[PRICEEACH]]</f>
        <v>2300</v>
      </c>
    </row>
    <row r="2334" spans="1:26" hidden="1" x14ac:dyDescent="0.35">
      <c r="A2334">
        <v>10169</v>
      </c>
      <c r="B2334">
        <v>34</v>
      </c>
      <c r="C2334" s="3">
        <v>100</v>
      </c>
      <c r="D2334">
        <v>12</v>
      </c>
      <c r="E2334" s="3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 s="3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  <c r="Z2334" s="3">
        <f>Table1[[#This Row],[QUANTITYORDERED]]*Table1[[#This Row],[PRICEEACH]]</f>
        <v>3400</v>
      </c>
    </row>
    <row r="2335" spans="1:26" hidden="1" x14ac:dyDescent="0.35">
      <c r="A2335">
        <v>10180</v>
      </c>
      <c r="B2335">
        <v>22</v>
      </c>
      <c r="C2335" s="3">
        <v>100</v>
      </c>
      <c r="D2335">
        <v>7</v>
      </c>
      <c r="E2335" s="3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 s="3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  <c r="Z2335" s="3">
        <f>Table1[[#This Row],[QUANTITYORDERED]]*Table1[[#This Row],[PRICEEACH]]</f>
        <v>2200</v>
      </c>
    </row>
    <row r="2336" spans="1:26" hidden="1" x14ac:dyDescent="0.35">
      <c r="A2336">
        <v>10190</v>
      </c>
      <c r="B2336">
        <v>42</v>
      </c>
      <c r="C2336" s="3">
        <v>85.72</v>
      </c>
      <c r="D2336">
        <v>4</v>
      </c>
      <c r="E2336" s="3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 s="3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  <c r="Z2336" s="3">
        <f>Table1[[#This Row],[QUANTITYORDERED]]*Table1[[#This Row],[PRICEEACH]]</f>
        <v>3600.24</v>
      </c>
    </row>
    <row r="2337" spans="1:26" hidden="1" x14ac:dyDescent="0.35">
      <c r="A2337">
        <v>10211</v>
      </c>
      <c r="B2337">
        <v>37</v>
      </c>
      <c r="C2337" s="3">
        <v>100</v>
      </c>
      <c r="D2337">
        <v>12</v>
      </c>
      <c r="E2337" s="3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 s="3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  <c r="Z2337" s="3">
        <f>Table1[[#This Row],[QUANTITYORDERED]]*Table1[[#This Row],[PRICEEACH]]</f>
        <v>3700</v>
      </c>
    </row>
    <row r="2338" spans="1:26" hidden="1" x14ac:dyDescent="0.35">
      <c r="A2338">
        <v>10224</v>
      </c>
      <c r="B2338">
        <v>30</v>
      </c>
      <c r="C2338" s="3">
        <v>100</v>
      </c>
      <c r="D2338">
        <v>5</v>
      </c>
      <c r="E2338" s="3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 s="3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  <c r="Z2338" s="3">
        <f>Table1[[#This Row],[QUANTITYORDERED]]*Table1[[#This Row],[PRICEEACH]]</f>
        <v>3000</v>
      </c>
    </row>
    <row r="2339" spans="1:26" hidden="1" x14ac:dyDescent="0.35">
      <c r="A2339">
        <v>10237</v>
      </c>
      <c r="B2339">
        <v>27</v>
      </c>
      <c r="C2339" s="3">
        <v>100</v>
      </c>
      <c r="D2339">
        <v>5</v>
      </c>
      <c r="E2339" s="3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 s="3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  <c r="Z2339" s="3">
        <f>Table1[[#This Row],[QUANTITYORDERED]]*Table1[[#This Row],[PRICEEACH]]</f>
        <v>2700</v>
      </c>
    </row>
    <row r="2340" spans="1:26" hidden="1" x14ac:dyDescent="0.35">
      <c r="A2340">
        <v>10252</v>
      </c>
      <c r="B2340">
        <v>25</v>
      </c>
      <c r="C2340" s="3">
        <v>100</v>
      </c>
      <c r="D2340">
        <v>9</v>
      </c>
      <c r="E2340" s="3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 s="3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  <c r="Z2340" s="3">
        <f>Table1[[#This Row],[QUANTITYORDERED]]*Table1[[#This Row],[PRICEEACH]]</f>
        <v>2500</v>
      </c>
    </row>
    <row r="2341" spans="1:26" hidden="1" x14ac:dyDescent="0.35">
      <c r="A2341">
        <v>10264</v>
      </c>
      <c r="B2341">
        <v>34</v>
      </c>
      <c r="C2341" s="3">
        <v>97.97</v>
      </c>
      <c r="D2341">
        <v>7</v>
      </c>
      <c r="E2341" s="3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 s="3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  <c r="Z2341" s="3">
        <f>Table1[[#This Row],[QUANTITYORDERED]]*Table1[[#This Row],[PRICEEACH]]</f>
        <v>3330.98</v>
      </c>
    </row>
    <row r="2342" spans="1:26" hidden="1" x14ac:dyDescent="0.35">
      <c r="A2342">
        <v>10276</v>
      </c>
      <c r="B2342">
        <v>38</v>
      </c>
      <c r="C2342" s="3">
        <v>100</v>
      </c>
      <c r="D2342">
        <v>13</v>
      </c>
      <c r="E2342" s="3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 s="3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  <c r="Z2342" s="3">
        <f>Table1[[#This Row],[QUANTITYORDERED]]*Table1[[#This Row],[PRICEEACH]]</f>
        <v>3800</v>
      </c>
    </row>
    <row r="2343" spans="1:26" hidden="1" x14ac:dyDescent="0.35">
      <c r="A2343">
        <v>10285</v>
      </c>
      <c r="B2343">
        <v>26</v>
      </c>
      <c r="C2343" s="3">
        <v>100</v>
      </c>
      <c r="D2343">
        <v>4</v>
      </c>
      <c r="E2343" s="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 s="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  <c r="Z2343" s="3">
        <f>Table1[[#This Row],[QUANTITYORDERED]]*Table1[[#This Row],[PRICEEACH]]</f>
        <v>2600</v>
      </c>
    </row>
    <row r="2344" spans="1:26" hidden="1" x14ac:dyDescent="0.35">
      <c r="A2344">
        <v>10299</v>
      </c>
      <c r="B2344">
        <v>38</v>
      </c>
      <c r="C2344" s="3">
        <v>100</v>
      </c>
      <c r="D2344">
        <v>7</v>
      </c>
      <c r="E2344" s="3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 s="3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  <c r="Z2344" s="3">
        <f>Table1[[#This Row],[QUANTITYORDERED]]*Table1[[#This Row],[PRICEEACH]]</f>
        <v>3800</v>
      </c>
    </row>
    <row r="2345" spans="1:26" hidden="1" x14ac:dyDescent="0.35">
      <c r="A2345">
        <v>10309</v>
      </c>
      <c r="B2345">
        <v>50</v>
      </c>
      <c r="C2345" s="3">
        <v>84.7</v>
      </c>
      <c r="D2345">
        <v>3</v>
      </c>
      <c r="E2345" s="3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 s="3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  <c r="Z2345" s="3">
        <f>Table1[[#This Row],[QUANTITYORDERED]]*Table1[[#This Row],[PRICEEACH]]</f>
        <v>4235</v>
      </c>
    </row>
    <row r="2346" spans="1:26" hidden="1" x14ac:dyDescent="0.35">
      <c r="A2346">
        <v>10319</v>
      </c>
      <c r="B2346">
        <v>22</v>
      </c>
      <c r="C2346" s="3">
        <v>100</v>
      </c>
      <c r="D2346">
        <v>8</v>
      </c>
      <c r="E2346" s="3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 s="3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  <c r="Z2346" s="3">
        <f>Table1[[#This Row],[QUANTITYORDERED]]*Table1[[#This Row],[PRICEEACH]]</f>
        <v>2200</v>
      </c>
    </row>
    <row r="2347" spans="1:26" hidden="1" x14ac:dyDescent="0.35">
      <c r="A2347">
        <v>10331</v>
      </c>
      <c r="B2347">
        <v>32</v>
      </c>
      <c r="C2347" s="3">
        <v>100</v>
      </c>
      <c r="D2347">
        <v>4</v>
      </c>
      <c r="E2347" s="3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 s="3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  <c r="Z2347" s="3">
        <f>Table1[[#This Row],[QUANTITYORDERED]]*Table1[[#This Row],[PRICEEACH]]</f>
        <v>3200</v>
      </c>
    </row>
    <row r="2348" spans="1:26" hidden="1" x14ac:dyDescent="0.35">
      <c r="A2348">
        <v>10341</v>
      </c>
      <c r="B2348">
        <v>31</v>
      </c>
      <c r="C2348" s="3">
        <v>71.02</v>
      </c>
      <c r="D2348">
        <v>4</v>
      </c>
      <c r="E2348" s="3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 s="3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  <c r="Z2348" s="3">
        <f>Table1[[#This Row],[QUANTITYORDERED]]*Table1[[#This Row],[PRICEEACH]]</f>
        <v>2201.62</v>
      </c>
    </row>
    <row r="2349" spans="1:26" hidden="1" x14ac:dyDescent="0.35">
      <c r="A2349">
        <v>10355</v>
      </c>
      <c r="B2349">
        <v>40</v>
      </c>
      <c r="C2349" s="3">
        <v>100</v>
      </c>
      <c r="D2349">
        <v>5</v>
      </c>
      <c r="E2349" s="3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 s="3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  <c r="Z2349" s="3">
        <f>Table1[[#This Row],[QUANTITYORDERED]]*Table1[[#This Row],[PRICEEACH]]</f>
        <v>4000</v>
      </c>
    </row>
    <row r="2350" spans="1:26" hidden="1" x14ac:dyDescent="0.35">
      <c r="A2350">
        <v>10365</v>
      </c>
      <c r="B2350">
        <v>22</v>
      </c>
      <c r="C2350" s="3">
        <v>100</v>
      </c>
      <c r="D2350">
        <v>3</v>
      </c>
      <c r="E2350" s="3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 s="3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  <c r="Z2350" s="3">
        <f>Table1[[#This Row],[QUANTITYORDERED]]*Table1[[#This Row],[PRICEEACH]]</f>
        <v>2200</v>
      </c>
    </row>
    <row r="2351" spans="1:26" hidden="1" x14ac:dyDescent="0.35">
      <c r="A2351">
        <v>10375</v>
      </c>
      <c r="B2351">
        <v>41</v>
      </c>
      <c r="C2351" s="3">
        <v>100</v>
      </c>
      <c r="D2351">
        <v>15</v>
      </c>
      <c r="E2351" s="3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 s="3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  <c r="Z2351" s="3">
        <f>Table1[[#This Row],[QUANTITYORDERED]]*Table1[[#This Row],[PRICEEACH]]</f>
        <v>4100</v>
      </c>
    </row>
    <row r="2352" spans="1:26" hidden="1" x14ac:dyDescent="0.35">
      <c r="A2352">
        <v>10390</v>
      </c>
      <c r="B2352">
        <v>45</v>
      </c>
      <c r="C2352" s="3">
        <v>48.98</v>
      </c>
      <c r="D2352">
        <v>12</v>
      </c>
      <c r="E2352" s="3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 s="3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  <c r="Z2352" s="3">
        <f>Table1[[#This Row],[QUANTITYORDERED]]*Table1[[#This Row],[PRICEEACH]]</f>
        <v>2204.1</v>
      </c>
    </row>
    <row r="2353" spans="1:26" hidden="1" x14ac:dyDescent="0.35">
      <c r="A2353">
        <v>10403</v>
      </c>
      <c r="B2353">
        <v>45</v>
      </c>
      <c r="C2353" s="3">
        <v>100</v>
      </c>
      <c r="D2353">
        <v>5</v>
      </c>
      <c r="E2353" s="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 s="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  <c r="Z2353" s="3">
        <f>Table1[[#This Row],[QUANTITYORDERED]]*Table1[[#This Row],[PRICEEACH]]</f>
        <v>4500</v>
      </c>
    </row>
    <row r="2354" spans="1:26" hidden="1" x14ac:dyDescent="0.35">
      <c r="A2354">
        <v>10106</v>
      </c>
      <c r="B2354">
        <v>39</v>
      </c>
      <c r="C2354" s="3">
        <v>40.15</v>
      </c>
      <c r="D2354">
        <v>6</v>
      </c>
      <c r="E2354" s="3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 s="3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  <c r="Z2354" s="3">
        <f>Table1[[#This Row],[QUANTITYORDERED]]*Table1[[#This Row],[PRICEEACH]]</f>
        <v>1565.85</v>
      </c>
    </row>
    <row r="2355" spans="1:26" hidden="1" x14ac:dyDescent="0.35">
      <c r="A2355">
        <v>10120</v>
      </c>
      <c r="B2355">
        <v>49</v>
      </c>
      <c r="C2355" s="3">
        <v>50.62</v>
      </c>
      <c r="D2355">
        <v>12</v>
      </c>
      <c r="E2355" s="3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 s="3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  <c r="Z2355" s="3">
        <f>Table1[[#This Row],[QUANTITYORDERED]]*Table1[[#This Row],[PRICEEACH]]</f>
        <v>2480.3799999999997</v>
      </c>
    </row>
    <row r="2356" spans="1:26" hidden="1" x14ac:dyDescent="0.35">
      <c r="A2356">
        <v>10133</v>
      </c>
      <c r="B2356">
        <v>27</v>
      </c>
      <c r="C2356" s="3">
        <v>50.19</v>
      </c>
      <c r="D2356">
        <v>7</v>
      </c>
      <c r="E2356" s="3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 s="3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  <c r="Z2356" s="3">
        <f>Table1[[#This Row],[QUANTITYORDERED]]*Table1[[#This Row],[PRICEEACH]]</f>
        <v>1355.1299999999999</v>
      </c>
    </row>
    <row r="2357" spans="1:26" hidden="1" x14ac:dyDescent="0.35">
      <c r="A2357">
        <v>10143</v>
      </c>
      <c r="B2357">
        <v>34</v>
      </c>
      <c r="C2357" s="3">
        <v>36.659999999999997</v>
      </c>
      <c r="D2357">
        <v>1</v>
      </c>
      <c r="E2357" s="3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 s="3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  <c r="Z2357" s="3">
        <f>Table1[[#This Row],[QUANTITYORDERED]]*Table1[[#This Row],[PRICEEACH]]</f>
        <v>1246.4399999999998</v>
      </c>
    </row>
    <row r="2358" spans="1:26" hidden="1" x14ac:dyDescent="0.35">
      <c r="A2358">
        <v>10156</v>
      </c>
      <c r="B2358">
        <v>20</v>
      </c>
      <c r="C2358" s="3">
        <v>41.02</v>
      </c>
      <c r="D2358">
        <v>1</v>
      </c>
      <c r="E2358" s="3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 s="3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  <c r="Z2358" s="3">
        <f>Table1[[#This Row],[QUANTITYORDERED]]*Table1[[#This Row],[PRICEEACH]]</f>
        <v>820.40000000000009</v>
      </c>
    </row>
    <row r="2359" spans="1:26" hidden="1" x14ac:dyDescent="0.35">
      <c r="A2359">
        <v>10168</v>
      </c>
      <c r="B2359">
        <v>48</v>
      </c>
      <c r="C2359" s="3">
        <v>51.93</v>
      </c>
      <c r="D2359">
        <v>13</v>
      </c>
      <c r="E2359" s="3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 s="3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  <c r="Z2359" s="3">
        <f>Table1[[#This Row],[QUANTITYORDERED]]*Table1[[#This Row],[PRICEEACH]]</f>
        <v>2492.64</v>
      </c>
    </row>
    <row r="2360" spans="1:26" hidden="1" x14ac:dyDescent="0.35">
      <c r="A2360">
        <v>10199</v>
      </c>
      <c r="B2360">
        <v>29</v>
      </c>
      <c r="C2360" s="3">
        <v>38.4</v>
      </c>
      <c r="D2360">
        <v>1</v>
      </c>
      <c r="E2360" s="3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 s="3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  <c r="Z2360" s="3">
        <f>Table1[[#This Row],[QUANTITYORDERED]]*Table1[[#This Row],[PRICEEACH]]</f>
        <v>1113.5999999999999</v>
      </c>
    </row>
    <row r="2361" spans="1:26" hidden="1" x14ac:dyDescent="0.35">
      <c r="A2361">
        <v>10210</v>
      </c>
      <c r="B2361">
        <v>43</v>
      </c>
      <c r="C2361" s="3">
        <v>41.02</v>
      </c>
      <c r="D2361">
        <v>11</v>
      </c>
      <c r="E2361" s="3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 s="3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  <c r="Z2361" s="3">
        <f>Table1[[#This Row],[QUANTITYORDERED]]*Table1[[#This Row],[PRICEEACH]]</f>
        <v>1763.8600000000001</v>
      </c>
    </row>
    <row r="2362" spans="1:26" hidden="1" x14ac:dyDescent="0.35">
      <c r="A2362">
        <v>10223</v>
      </c>
      <c r="B2362">
        <v>41</v>
      </c>
      <c r="C2362" s="3">
        <v>46.26</v>
      </c>
      <c r="D2362">
        <v>13</v>
      </c>
      <c r="E2362" s="3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 s="3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  <c r="Z2362" s="3">
        <f>Table1[[#This Row],[QUANTITYORDERED]]*Table1[[#This Row],[PRICEEACH]]</f>
        <v>1896.6599999999999</v>
      </c>
    </row>
    <row r="2363" spans="1:26" hidden="1" x14ac:dyDescent="0.35">
      <c r="A2363">
        <v>10235</v>
      </c>
      <c r="B2363">
        <v>41</v>
      </c>
      <c r="C2363" s="3">
        <v>35.35</v>
      </c>
      <c r="D2363">
        <v>7</v>
      </c>
      <c r="E2363" s="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 s="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  <c r="Z2363" s="3">
        <f>Table1[[#This Row],[QUANTITYORDERED]]*Table1[[#This Row],[PRICEEACH]]</f>
        <v>1449.3500000000001</v>
      </c>
    </row>
    <row r="2364" spans="1:26" hidden="1" x14ac:dyDescent="0.35">
      <c r="A2364">
        <v>10250</v>
      </c>
      <c r="B2364">
        <v>36</v>
      </c>
      <c r="C2364" s="3">
        <v>51.93</v>
      </c>
      <c r="D2364">
        <v>8</v>
      </c>
      <c r="E2364" s="3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 s="3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  <c r="Z2364" s="3">
        <f>Table1[[#This Row],[QUANTITYORDERED]]*Table1[[#This Row],[PRICEEACH]]</f>
        <v>1869.48</v>
      </c>
    </row>
    <row r="2365" spans="1:26" hidden="1" x14ac:dyDescent="0.35">
      <c r="A2365">
        <v>10262</v>
      </c>
      <c r="B2365">
        <v>49</v>
      </c>
      <c r="C2365" s="3">
        <v>37.97</v>
      </c>
      <c r="D2365">
        <v>3</v>
      </c>
      <c r="E2365" s="3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 s="3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  <c r="Z2365" s="3">
        <f>Table1[[#This Row],[QUANTITYORDERED]]*Table1[[#This Row],[PRICEEACH]]</f>
        <v>1860.53</v>
      </c>
    </row>
    <row r="2366" spans="1:26" hidden="1" x14ac:dyDescent="0.35">
      <c r="A2366">
        <v>10275</v>
      </c>
      <c r="B2366">
        <v>38</v>
      </c>
      <c r="C2366" s="3">
        <v>45.39</v>
      </c>
      <c r="D2366">
        <v>13</v>
      </c>
      <c r="E2366" s="3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 s="3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  <c r="Z2366" s="3">
        <f>Table1[[#This Row],[QUANTITYORDERED]]*Table1[[#This Row],[PRICEEACH]]</f>
        <v>1724.82</v>
      </c>
    </row>
    <row r="2367" spans="1:26" hidden="1" x14ac:dyDescent="0.35">
      <c r="A2367">
        <v>10284</v>
      </c>
      <c r="B2367">
        <v>33</v>
      </c>
      <c r="C2367" s="3">
        <v>51.93</v>
      </c>
      <c r="D2367">
        <v>5</v>
      </c>
      <c r="E2367" s="3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 s="3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  <c r="Z2367" s="3">
        <f>Table1[[#This Row],[QUANTITYORDERED]]*Table1[[#This Row],[PRICEEACH]]</f>
        <v>1713.69</v>
      </c>
    </row>
    <row r="2368" spans="1:26" hidden="1" x14ac:dyDescent="0.35">
      <c r="A2368">
        <v>10296</v>
      </c>
      <c r="B2368">
        <v>26</v>
      </c>
      <c r="C2368" s="3">
        <v>48.44</v>
      </c>
      <c r="D2368">
        <v>1</v>
      </c>
      <c r="E2368" s="3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 s="3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  <c r="Z2368" s="3">
        <f>Table1[[#This Row],[QUANTITYORDERED]]*Table1[[#This Row],[PRICEEACH]]</f>
        <v>1259.44</v>
      </c>
    </row>
    <row r="2369" spans="1:26" hidden="1" x14ac:dyDescent="0.35">
      <c r="A2369">
        <v>10308</v>
      </c>
      <c r="B2369">
        <v>47</v>
      </c>
      <c r="C2369" s="3">
        <v>43.64</v>
      </c>
      <c r="D2369">
        <v>11</v>
      </c>
      <c r="E2369" s="3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 s="3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  <c r="Z2369" s="3">
        <f>Table1[[#This Row],[QUANTITYORDERED]]*Table1[[#This Row],[PRICEEACH]]</f>
        <v>2051.08</v>
      </c>
    </row>
    <row r="2370" spans="1:26" hidden="1" x14ac:dyDescent="0.35">
      <c r="A2370">
        <v>10316</v>
      </c>
      <c r="B2370">
        <v>34</v>
      </c>
      <c r="C2370" s="3">
        <v>47.57</v>
      </c>
      <c r="D2370">
        <v>3</v>
      </c>
      <c r="E2370" s="3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 s="3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  <c r="Z2370" s="3">
        <f>Table1[[#This Row],[QUANTITYORDERED]]*Table1[[#This Row],[PRICEEACH]]</f>
        <v>1617.38</v>
      </c>
    </row>
    <row r="2371" spans="1:26" hidden="1" x14ac:dyDescent="0.35">
      <c r="A2371">
        <v>10328</v>
      </c>
      <c r="B2371">
        <v>34</v>
      </c>
      <c r="C2371" s="3">
        <v>51.93</v>
      </c>
      <c r="D2371">
        <v>7</v>
      </c>
      <c r="E2371" s="3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 s="3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  <c r="Z2371" s="3">
        <f>Table1[[#This Row],[QUANTITYORDERED]]*Table1[[#This Row],[PRICEEACH]]</f>
        <v>1765.62</v>
      </c>
    </row>
    <row r="2372" spans="1:26" hidden="1" x14ac:dyDescent="0.35">
      <c r="A2372">
        <v>10340</v>
      </c>
      <c r="B2372">
        <v>40</v>
      </c>
      <c r="C2372" s="3">
        <v>50.62</v>
      </c>
      <c r="D2372">
        <v>4</v>
      </c>
      <c r="E2372" s="3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 s="3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  <c r="Z2372" s="3">
        <f>Table1[[#This Row],[QUANTITYORDERED]]*Table1[[#This Row],[PRICEEACH]]</f>
        <v>2024.8</v>
      </c>
    </row>
    <row r="2373" spans="1:26" hidden="1" x14ac:dyDescent="0.35">
      <c r="A2373">
        <v>10353</v>
      </c>
      <c r="B2373">
        <v>40</v>
      </c>
      <c r="C2373" s="3">
        <v>82.21</v>
      </c>
      <c r="D2373">
        <v>8</v>
      </c>
      <c r="E2373" s="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 s="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  <c r="Z2373" s="3">
        <f>Table1[[#This Row],[QUANTITYORDERED]]*Table1[[#This Row],[PRICEEACH]]</f>
        <v>3288.3999999999996</v>
      </c>
    </row>
    <row r="2374" spans="1:26" hidden="1" x14ac:dyDescent="0.35">
      <c r="A2374">
        <v>10361</v>
      </c>
      <c r="B2374">
        <v>33</v>
      </c>
      <c r="C2374" s="3">
        <v>82.59</v>
      </c>
      <c r="D2374">
        <v>3</v>
      </c>
      <c r="E2374" s="3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 s="3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  <c r="Z2374" s="3">
        <f>Table1[[#This Row],[QUANTITYORDERED]]*Table1[[#This Row],[PRICEEACH]]</f>
        <v>2725.4700000000003</v>
      </c>
    </row>
    <row r="2375" spans="1:26" hidden="1" x14ac:dyDescent="0.35">
      <c r="A2375">
        <v>10375</v>
      </c>
      <c r="B2375">
        <v>49</v>
      </c>
      <c r="C2375" s="3">
        <v>65.8</v>
      </c>
      <c r="D2375">
        <v>5</v>
      </c>
      <c r="E2375" s="3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 s="3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  <c r="Z2375" s="3">
        <f>Table1[[#This Row],[QUANTITYORDERED]]*Table1[[#This Row],[PRICEEACH]]</f>
        <v>3224.2</v>
      </c>
    </row>
    <row r="2376" spans="1:26" hidden="1" x14ac:dyDescent="0.35">
      <c r="A2376">
        <v>10388</v>
      </c>
      <c r="B2376">
        <v>27</v>
      </c>
      <c r="C2376" s="3">
        <v>100</v>
      </c>
      <c r="D2376">
        <v>1</v>
      </c>
      <c r="E2376" s="3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 s="3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  <c r="Z2376" s="3">
        <f>Table1[[#This Row],[QUANTITYORDERED]]*Table1[[#This Row],[PRICEEACH]]</f>
        <v>2700</v>
      </c>
    </row>
    <row r="2377" spans="1:26" hidden="1" x14ac:dyDescent="0.35">
      <c r="A2377">
        <v>10398</v>
      </c>
      <c r="B2377">
        <v>49</v>
      </c>
      <c r="C2377" s="3">
        <v>36.659999999999997</v>
      </c>
      <c r="D2377">
        <v>5</v>
      </c>
      <c r="E2377" s="3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 s="3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  <c r="Z2377" s="3">
        <f>Table1[[#This Row],[QUANTITYORDERED]]*Table1[[#This Row],[PRICEEACH]]</f>
        <v>1796.34</v>
      </c>
    </row>
    <row r="2378" spans="1:26" hidden="1" x14ac:dyDescent="0.35">
      <c r="A2378">
        <v>10401</v>
      </c>
      <c r="B2378">
        <v>56</v>
      </c>
      <c r="C2378" s="3">
        <v>35.35</v>
      </c>
      <c r="D2378">
        <v>7</v>
      </c>
      <c r="E2378" s="3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 s="3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  <c r="Z2378" s="3">
        <f>Table1[[#This Row],[QUANTITYORDERED]]*Table1[[#This Row],[PRICEEACH]]</f>
        <v>1979.6000000000001</v>
      </c>
    </row>
    <row r="2379" spans="1:26" hidden="1" x14ac:dyDescent="0.35">
      <c r="A2379">
        <v>10416</v>
      </c>
      <c r="B2379">
        <v>37</v>
      </c>
      <c r="C2379" s="3">
        <v>51.93</v>
      </c>
      <c r="D2379">
        <v>8</v>
      </c>
      <c r="E2379" s="3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 s="3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  <c r="Z2379" s="3">
        <f>Table1[[#This Row],[QUANTITYORDERED]]*Table1[[#This Row],[PRICEEACH]]</f>
        <v>1921.41</v>
      </c>
    </row>
    <row r="2380" spans="1:26" hidden="1" x14ac:dyDescent="0.35">
      <c r="A2380">
        <v>10104</v>
      </c>
      <c r="B2380">
        <v>33</v>
      </c>
      <c r="C2380" s="3">
        <v>100</v>
      </c>
      <c r="D2380">
        <v>7</v>
      </c>
      <c r="E2380" s="3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 s="3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  <c r="Z2380" s="3">
        <f>Table1[[#This Row],[QUANTITYORDERED]]*Table1[[#This Row],[PRICEEACH]]</f>
        <v>3300</v>
      </c>
    </row>
    <row r="2381" spans="1:26" hidden="1" x14ac:dyDescent="0.35">
      <c r="A2381">
        <v>10115</v>
      </c>
      <c r="B2381">
        <v>27</v>
      </c>
      <c r="C2381" s="3">
        <v>100</v>
      </c>
      <c r="D2381">
        <v>3</v>
      </c>
      <c r="E2381" s="3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 s="3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  <c r="Z2381" s="3">
        <f>Table1[[#This Row],[QUANTITYORDERED]]*Table1[[#This Row],[PRICEEACH]]</f>
        <v>2700</v>
      </c>
    </row>
    <row r="2382" spans="1:26" hidden="1" x14ac:dyDescent="0.35">
      <c r="A2382">
        <v>10127</v>
      </c>
      <c r="B2382">
        <v>46</v>
      </c>
      <c r="C2382" s="3">
        <v>100</v>
      </c>
      <c r="D2382">
        <v>9</v>
      </c>
      <c r="E2382" s="3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 s="3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  <c r="Z2382" s="3">
        <f>Table1[[#This Row],[QUANTITYORDERED]]*Table1[[#This Row],[PRICEEACH]]</f>
        <v>4600</v>
      </c>
    </row>
    <row r="2383" spans="1:26" hidden="1" x14ac:dyDescent="0.35">
      <c r="A2383">
        <v>10141</v>
      </c>
      <c r="B2383">
        <v>44</v>
      </c>
      <c r="C2383" s="3">
        <v>100</v>
      </c>
      <c r="D2383">
        <v>3</v>
      </c>
      <c r="E2383" s="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 s="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  <c r="Z2383" s="3">
        <f>Table1[[#This Row],[QUANTITYORDERED]]*Table1[[#This Row],[PRICEEACH]]</f>
        <v>4400</v>
      </c>
    </row>
    <row r="2384" spans="1:26" hidden="1" x14ac:dyDescent="0.35">
      <c r="A2384">
        <v>10151</v>
      </c>
      <c r="B2384">
        <v>26</v>
      </c>
      <c r="C2384" s="3">
        <v>100</v>
      </c>
      <c r="D2384">
        <v>1</v>
      </c>
      <c r="E2384" s="3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 s="3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  <c r="Z2384" s="3">
        <f>Table1[[#This Row],[QUANTITYORDERED]]*Table1[[#This Row],[PRICEEACH]]</f>
        <v>2600</v>
      </c>
    </row>
    <row r="2385" spans="1:26" hidden="1" x14ac:dyDescent="0.35">
      <c r="A2385">
        <v>10165</v>
      </c>
      <c r="B2385">
        <v>48</v>
      </c>
      <c r="C2385" s="3">
        <v>94.92</v>
      </c>
      <c r="D2385">
        <v>10</v>
      </c>
      <c r="E2385" s="3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 s="3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  <c r="Z2385" s="3">
        <f>Table1[[#This Row],[QUANTITYORDERED]]*Table1[[#This Row],[PRICEEACH]]</f>
        <v>4556.16</v>
      </c>
    </row>
    <row r="2386" spans="1:26" hidden="1" x14ac:dyDescent="0.35">
      <c r="A2386">
        <v>10176</v>
      </c>
      <c r="B2386">
        <v>23</v>
      </c>
      <c r="C2386" s="3">
        <v>100</v>
      </c>
      <c r="D2386">
        <v>9</v>
      </c>
      <c r="E2386" s="3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 s="3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  <c r="Z2386" s="3">
        <f>Table1[[#This Row],[QUANTITYORDERED]]*Table1[[#This Row],[PRICEEACH]]</f>
        <v>2300</v>
      </c>
    </row>
    <row r="2387" spans="1:26" hidden="1" x14ac:dyDescent="0.35">
      <c r="A2387">
        <v>10184</v>
      </c>
      <c r="B2387">
        <v>45</v>
      </c>
      <c r="C2387" s="3">
        <v>100</v>
      </c>
      <c r="D2387">
        <v>4</v>
      </c>
      <c r="E2387" s="3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 s="3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  <c r="Z2387" s="3">
        <f>Table1[[#This Row],[QUANTITYORDERED]]*Table1[[#This Row],[PRICEEACH]]</f>
        <v>4500</v>
      </c>
    </row>
    <row r="2388" spans="1:26" hidden="1" x14ac:dyDescent="0.35">
      <c r="A2388">
        <v>10195</v>
      </c>
      <c r="B2388">
        <v>49</v>
      </c>
      <c r="C2388" s="3">
        <v>100</v>
      </c>
      <c r="D2388">
        <v>4</v>
      </c>
      <c r="E2388" s="3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 s="3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  <c r="Z2388" s="3">
        <f>Table1[[#This Row],[QUANTITYORDERED]]*Table1[[#This Row],[PRICEEACH]]</f>
        <v>4900</v>
      </c>
    </row>
    <row r="2389" spans="1:26" hidden="1" x14ac:dyDescent="0.35">
      <c r="A2389">
        <v>10207</v>
      </c>
      <c r="B2389">
        <v>28</v>
      </c>
      <c r="C2389" s="3">
        <v>94.92</v>
      </c>
      <c r="D2389">
        <v>5</v>
      </c>
      <c r="E2389" s="3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 s="3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  <c r="Z2389" s="3">
        <f>Table1[[#This Row],[QUANTITYORDERED]]*Table1[[#This Row],[PRICEEACH]]</f>
        <v>2657.76</v>
      </c>
    </row>
    <row r="2390" spans="1:26" hidden="1" x14ac:dyDescent="0.35">
      <c r="A2390">
        <v>10220</v>
      </c>
      <c r="B2390">
        <v>37</v>
      </c>
      <c r="C2390" s="3">
        <v>100</v>
      </c>
      <c r="D2390">
        <v>9</v>
      </c>
      <c r="E2390" s="3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 s="3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  <c r="Z2390" s="3">
        <f>Table1[[#This Row],[QUANTITYORDERED]]*Table1[[#This Row],[PRICEEACH]]</f>
        <v>3700</v>
      </c>
    </row>
    <row r="2391" spans="1:26" hidden="1" x14ac:dyDescent="0.35">
      <c r="A2391">
        <v>10230</v>
      </c>
      <c r="B2391">
        <v>34</v>
      </c>
      <c r="C2391" s="3">
        <v>100</v>
      </c>
      <c r="D2391">
        <v>7</v>
      </c>
      <c r="E2391" s="3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 s="3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  <c r="Z2391" s="3">
        <f>Table1[[#This Row],[QUANTITYORDERED]]*Table1[[#This Row],[PRICEEACH]]</f>
        <v>3400</v>
      </c>
    </row>
    <row r="2392" spans="1:26" hidden="1" x14ac:dyDescent="0.35">
      <c r="A2392">
        <v>10246</v>
      </c>
      <c r="B2392">
        <v>22</v>
      </c>
      <c r="C2392" s="3">
        <v>100</v>
      </c>
      <c r="D2392">
        <v>3</v>
      </c>
      <c r="E2392" s="3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 s="3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  <c r="Z2392" s="3">
        <f>Table1[[#This Row],[QUANTITYORDERED]]*Table1[[#This Row],[PRICEEACH]]</f>
        <v>2200</v>
      </c>
    </row>
    <row r="2393" spans="1:26" hidden="1" x14ac:dyDescent="0.35">
      <c r="A2393">
        <v>10259</v>
      </c>
      <c r="B2393">
        <v>29</v>
      </c>
      <c r="C2393" s="3">
        <v>100</v>
      </c>
      <c r="D2393">
        <v>2</v>
      </c>
      <c r="E2393" s="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 s="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  <c r="Z2393" s="3">
        <f>Table1[[#This Row],[QUANTITYORDERED]]*Table1[[#This Row],[PRICEEACH]]</f>
        <v>2900</v>
      </c>
    </row>
    <row r="2394" spans="1:26" hidden="1" x14ac:dyDescent="0.35">
      <c r="A2394">
        <v>10271</v>
      </c>
      <c r="B2394">
        <v>34</v>
      </c>
      <c r="C2394" s="3">
        <v>98.39</v>
      </c>
      <c r="D2394">
        <v>3</v>
      </c>
      <c r="E2394" s="3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 s="3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  <c r="Z2394" s="3">
        <f>Table1[[#This Row],[QUANTITYORDERED]]*Table1[[#This Row],[PRICEEACH]]</f>
        <v>3345.26</v>
      </c>
    </row>
    <row r="2395" spans="1:26" hidden="1" x14ac:dyDescent="0.35">
      <c r="A2395">
        <v>10282</v>
      </c>
      <c r="B2395">
        <v>38</v>
      </c>
      <c r="C2395" s="3">
        <v>100</v>
      </c>
      <c r="D2395">
        <v>12</v>
      </c>
      <c r="E2395" s="3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 s="3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  <c r="Z2395" s="3">
        <f>Table1[[#This Row],[QUANTITYORDERED]]*Table1[[#This Row],[PRICEEACH]]</f>
        <v>3800</v>
      </c>
    </row>
    <row r="2396" spans="1:26" hidden="1" x14ac:dyDescent="0.35">
      <c r="A2396">
        <v>10292</v>
      </c>
      <c r="B2396">
        <v>41</v>
      </c>
      <c r="C2396" s="3">
        <v>100</v>
      </c>
      <c r="D2396">
        <v>6</v>
      </c>
      <c r="E2396" s="3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 s="3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  <c r="Z2396" s="3">
        <f>Table1[[#This Row],[QUANTITYORDERED]]*Table1[[#This Row],[PRICEEACH]]</f>
        <v>4100</v>
      </c>
    </row>
    <row r="2397" spans="1:26" hidden="1" x14ac:dyDescent="0.35">
      <c r="A2397">
        <v>10305</v>
      </c>
      <c r="B2397">
        <v>42</v>
      </c>
      <c r="C2397" s="3">
        <v>100</v>
      </c>
      <c r="D2397">
        <v>3</v>
      </c>
      <c r="E2397" s="3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 s="3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  <c r="Z2397" s="3">
        <f>Table1[[#This Row],[QUANTITYORDERED]]*Table1[[#This Row],[PRICEEACH]]</f>
        <v>4200</v>
      </c>
    </row>
    <row r="2398" spans="1:26" hidden="1" x14ac:dyDescent="0.35">
      <c r="A2398">
        <v>10314</v>
      </c>
      <c r="B2398">
        <v>28</v>
      </c>
      <c r="C2398" s="3">
        <v>100</v>
      </c>
      <c r="D2398">
        <v>12</v>
      </c>
      <c r="E2398" s="3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 s="3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  <c r="Z2398" s="3">
        <f>Table1[[#This Row],[QUANTITYORDERED]]*Table1[[#This Row],[PRICEEACH]]</f>
        <v>2800</v>
      </c>
    </row>
    <row r="2399" spans="1:26" hidden="1" x14ac:dyDescent="0.35">
      <c r="A2399">
        <v>10325</v>
      </c>
      <c r="B2399">
        <v>38</v>
      </c>
      <c r="C2399" s="3">
        <v>100</v>
      </c>
      <c r="D2399">
        <v>4</v>
      </c>
      <c r="E2399" s="3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 s="3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  <c r="Z2399" s="3">
        <f>Table1[[#This Row],[QUANTITYORDERED]]*Table1[[#This Row],[PRICEEACH]]</f>
        <v>3800</v>
      </c>
    </row>
    <row r="2400" spans="1:26" hidden="1" x14ac:dyDescent="0.35">
      <c r="A2400">
        <v>10336</v>
      </c>
      <c r="B2400">
        <v>23</v>
      </c>
      <c r="C2400" s="3">
        <v>100</v>
      </c>
      <c r="D2400">
        <v>8</v>
      </c>
      <c r="E2400" s="3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 s="3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  <c r="Z2400" s="3">
        <f>Table1[[#This Row],[QUANTITYORDERED]]*Table1[[#This Row],[PRICEEACH]]</f>
        <v>2300</v>
      </c>
    </row>
    <row r="2401" spans="1:26" hidden="1" x14ac:dyDescent="0.35">
      <c r="A2401">
        <v>10350</v>
      </c>
      <c r="B2401">
        <v>31</v>
      </c>
      <c r="C2401" s="3">
        <v>71.400000000000006</v>
      </c>
      <c r="D2401">
        <v>8</v>
      </c>
      <c r="E2401" s="3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 s="3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  <c r="Z2401" s="3">
        <f>Table1[[#This Row],[QUANTITYORDERED]]*Table1[[#This Row],[PRICEEACH]]</f>
        <v>2213.4</v>
      </c>
    </row>
    <row r="2402" spans="1:26" hidden="1" x14ac:dyDescent="0.35">
      <c r="A2402">
        <v>10359</v>
      </c>
      <c r="B2402">
        <v>46</v>
      </c>
      <c r="C2402" s="3">
        <v>100</v>
      </c>
      <c r="D2402">
        <v>2</v>
      </c>
      <c r="E2402" s="3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 s="3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  <c r="Z2402" s="3">
        <f>Table1[[#This Row],[QUANTITYORDERED]]*Table1[[#This Row],[PRICEEACH]]</f>
        <v>4600</v>
      </c>
    </row>
    <row r="2403" spans="1:26" hidden="1" x14ac:dyDescent="0.35">
      <c r="A2403">
        <v>10371</v>
      </c>
      <c r="B2403">
        <v>48</v>
      </c>
      <c r="C2403" s="3">
        <v>56.55</v>
      </c>
      <c r="D2403">
        <v>10</v>
      </c>
      <c r="E2403" s="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 s="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  <c r="Z2403" s="3">
        <f>Table1[[#This Row],[QUANTITYORDERED]]*Table1[[#This Row],[PRICEEACH]]</f>
        <v>2714.3999999999996</v>
      </c>
    </row>
    <row r="2404" spans="1:26" hidden="1" x14ac:dyDescent="0.35">
      <c r="A2404">
        <v>10383</v>
      </c>
      <c r="B2404">
        <v>29</v>
      </c>
      <c r="C2404" s="3">
        <v>100</v>
      </c>
      <c r="D2404">
        <v>13</v>
      </c>
      <c r="E2404" s="3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 s="3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  <c r="Z2404" s="3">
        <f>Table1[[#This Row],[QUANTITYORDERED]]*Table1[[#This Row],[PRICEEACH]]</f>
        <v>2900</v>
      </c>
    </row>
    <row r="2405" spans="1:26" hidden="1" x14ac:dyDescent="0.35">
      <c r="A2405">
        <v>10395</v>
      </c>
      <c r="B2405">
        <v>46</v>
      </c>
      <c r="C2405" s="3">
        <v>100</v>
      </c>
      <c r="D2405">
        <v>4</v>
      </c>
      <c r="E2405" s="3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 s="3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  <c r="Z2405" s="3">
        <f>Table1[[#This Row],[QUANTITYORDERED]]*Table1[[#This Row],[PRICEEACH]]</f>
        <v>4600</v>
      </c>
    </row>
    <row r="2406" spans="1:26" hidden="1" x14ac:dyDescent="0.35">
      <c r="A2406">
        <v>10412</v>
      </c>
      <c r="B2406">
        <v>26</v>
      </c>
      <c r="C2406" s="3">
        <v>100</v>
      </c>
      <c r="D2406">
        <v>3</v>
      </c>
      <c r="E2406" s="3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 s="3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  <c r="Z2406" s="3">
        <f>Table1[[#This Row],[QUANTITYORDERED]]*Table1[[#This Row],[PRICEEACH]]</f>
        <v>2600</v>
      </c>
    </row>
    <row r="2407" spans="1:26" hidden="1" x14ac:dyDescent="0.35">
      <c r="A2407">
        <v>10425</v>
      </c>
      <c r="B2407">
        <v>18</v>
      </c>
      <c r="C2407" s="3">
        <v>100</v>
      </c>
      <c r="D2407">
        <v>2</v>
      </c>
      <c r="E2407" s="3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 s="3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  <c r="Z2407" s="3">
        <f>Table1[[#This Row],[QUANTITYORDERED]]*Table1[[#This Row],[PRICEEACH]]</f>
        <v>1800</v>
      </c>
    </row>
    <row r="2408" spans="1:26" hidden="1" x14ac:dyDescent="0.35">
      <c r="A2408">
        <v>10104</v>
      </c>
      <c r="B2408">
        <v>32</v>
      </c>
      <c r="C2408" s="3">
        <v>53.31</v>
      </c>
      <c r="D2408">
        <v>2</v>
      </c>
      <c r="E2408" s="3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 s="3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  <c r="Z2408" s="3">
        <f>Table1[[#This Row],[QUANTITYORDERED]]*Table1[[#This Row],[PRICEEACH]]</f>
        <v>1705.92</v>
      </c>
    </row>
    <row r="2409" spans="1:26" hidden="1" x14ac:dyDescent="0.35">
      <c r="A2409">
        <v>10117</v>
      </c>
      <c r="B2409">
        <v>21</v>
      </c>
      <c r="C2409" s="3">
        <v>49.21</v>
      </c>
      <c r="D2409">
        <v>11</v>
      </c>
      <c r="E2409" s="3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 s="3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  <c r="Z2409" s="3">
        <f>Table1[[#This Row],[QUANTITYORDERED]]*Table1[[#This Row],[PRICEEACH]]</f>
        <v>1033.4100000000001</v>
      </c>
    </row>
    <row r="2410" spans="1:26" hidden="1" x14ac:dyDescent="0.35">
      <c r="A2410">
        <v>10127</v>
      </c>
      <c r="B2410">
        <v>46</v>
      </c>
      <c r="C2410" s="3">
        <v>69.12</v>
      </c>
      <c r="D2410">
        <v>4</v>
      </c>
      <c r="E2410" s="3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 s="3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  <c r="Z2410" s="3">
        <f>Table1[[#This Row],[QUANTITYORDERED]]*Table1[[#This Row],[PRICEEACH]]</f>
        <v>3179.5200000000004</v>
      </c>
    </row>
    <row r="2411" spans="1:26" hidden="1" x14ac:dyDescent="0.35">
      <c r="A2411">
        <v>10142</v>
      </c>
      <c r="B2411">
        <v>42</v>
      </c>
      <c r="C2411" s="3">
        <v>49.79</v>
      </c>
      <c r="D2411">
        <v>14</v>
      </c>
      <c r="E2411" s="3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 s="3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  <c r="Z2411" s="3">
        <f>Table1[[#This Row],[QUANTITYORDERED]]*Table1[[#This Row],[PRICEEACH]]</f>
        <v>2091.1799999999998</v>
      </c>
    </row>
    <row r="2412" spans="1:26" hidden="1" x14ac:dyDescent="0.35">
      <c r="A2412">
        <v>10153</v>
      </c>
      <c r="B2412">
        <v>31</v>
      </c>
      <c r="C2412" s="3">
        <v>57.41</v>
      </c>
      <c r="D2412">
        <v>13</v>
      </c>
      <c r="E2412" s="3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 s="3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  <c r="Z2412" s="3">
        <f>Table1[[#This Row],[QUANTITYORDERED]]*Table1[[#This Row],[PRICEEACH]]</f>
        <v>1779.7099999999998</v>
      </c>
    </row>
    <row r="2413" spans="1:26" hidden="1" x14ac:dyDescent="0.35">
      <c r="A2413">
        <v>10165</v>
      </c>
      <c r="B2413">
        <v>38</v>
      </c>
      <c r="C2413" s="3">
        <v>66.78</v>
      </c>
      <c r="D2413">
        <v>5</v>
      </c>
      <c r="E2413" s="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 s="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  <c r="Z2413" s="3">
        <f>Table1[[#This Row],[QUANTITYORDERED]]*Table1[[#This Row],[PRICEEACH]]</f>
        <v>2537.64</v>
      </c>
    </row>
    <row r="2414" spans="1:26" hidden="1" x14ac:dyDescent="0.35">
      <c r="A2414">
        <v>10176</v>
      </c>
      <c r="B2414">
        <v>38</v>
      </c>
      <c r="C2414" s="3">
        <v>64.44</v>
      </c>
      <c r="D2414">
        <v>4</v>
      </c>
      <c r="E2414" s="3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 s="3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  <c r="Z2414" s="3">
        <f>Table1[[#This Row],[QUANTITYORDERED]]*Table1[[#This Row],[PRICEEACH]]</f>
        <v>2448.7199999999998</v>
      </c>
    </row>
    <row r="2415" spans="1:26" hidden="1" x14ac:dyDescent="0.35">
      <c r="A2415">
        <v>10185</v>
      </c>
      <c r="B2415">
        <v>20</v>
      </c>
      <c r="C2415" s="3">
        <v>48.62</v>
      </c>
      <c r="D2415">
        <v>15</v>
      </c>
      <c r="E2415" s="3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 s="3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  <c r="Z2415" s="3">
        <f>Table1[[#This Row],[QUANTITYORDERED]]*Table1[[#This Row],[PRICEEACH]]</f>
        <v>972.4</v>
      </c>
    </row>
    <row r="2416" spans="1:26" hidden="1" x14ac:dyDescent="0.35">
      <c r="A2416">
        <v>10196</v>
      </c>
      <c r="B2416">
        <v>46</v>
      </c>
      <c r="C2416" s="3">
        <v>62.09</v>
      </c>
      <c r="D2416">
        <v>7</v>
      </c>
      <c r="E2416" s="3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 s="3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  <c r="Z2416" s="3">
        <f>Table1[[#This Row],[QUANTITYORDERED]]*Table1[[#This Row],[PRICEEACH]]</f>
        <v>2856.1400000000003</v>
      </c>
    </row>
    <row r="2417" spans="1:26" hidden="1" x14ac:dyDescent="0.35">
      <c r="A2417">
        <v>10208</v>
      </c>
      <c r="B2417">
        <v>30</v>
      </c>
      <c r="C2417" s="3">
        <v>65.61</v>
      </c>
      <c r="D2417">
        <v>15</v>
      </c>
      <c r="E2417" s="3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 s="3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  <c r="Z2417" s="3">
        <f>Table1[[#This Row],[QUANTITYORDERED]]*Table1[[#This Row],[PRICEEACH]]</f>
        <v>1968.3</v>
      </c>
    </row>
    <row r="2418" spans="1:26" hidden="1" x14ac:dyDescent="0.35">
      <c r="A2418">
        <v>10220</v>
      </c>
      <c r="B2418">
        <v>30</v>
      </c>
      <c r="C2418" s="3">
        <v>68.540000000000006</v>
      </c>
      <c r="D2418">
        <v>4</v>
      </c>
      <c r="E2418" s="3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 s="3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  <c r="Z2418" s="3">
        <f>Table1[[#This Row],[QUANTITYORDERED]]*Table1[[#This Row],[PRICEEACH]]</f>
        <v>2056.2000000000003</v>
      </c>
    </row>
    <row r="2419" spans="1:26" hidden="1" x14ac:dyDescent="0.35">
      <c r="A2419">
        <v>10230</v>
      </c>
      <c r="B2419">
        <v>43</v>
      </c>
      <c r="C2419" s="3">
        <v>52.14</v>
      </c>
      <c r="D2419">
        <v>2</v>
      </c>
      <c r="E2419" s="3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 s="3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  <c r="Z2419" s="3">
        <f>Table1[[#This Row],[QUANTITYORDERED]]*Table1[[#This Row],[PRICEEACH]]</f>
        <v>2242.02</v>
      </c>
    </row>
    <row r="2420" spans="1:26" hidden="1" x14ac:dyDescent="0.35">
      <c r="A2420">
        <v>10247</v>
      </c>
      <c r="B2420">
        <v>49</v>
      </c>
      <c r="C2420" s="3">
        <v>63.85</v>
      </c>
      <c r="D2420">
        <v>4</v>
      </c>
      <c r="E2420" s="3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 s="3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  <c r="Z2420" s="3">
        <f>Table1[[#This Row],[QUANTITYORDERED]]*Table1[[#This Row],[PRICEEACH]]</f>
        <v>3128.65</v>
      </c>
    </row>
    <row r="2421" spans="1:26" hidden="1" x14ac:dyDescent="0.35">
      <c r="A2421">
        <v>10272</v>
      </c>
      <c r="B2421">
        <v>43</v>
      </c>
      <c r="C2421" s="3">
        <v>56.82</v>
      </c>
      <c r="D2421">
        <v>4</v>
      </c>
      <c r="E2421" s="3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 s="3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  <c r="Z2421" s="3">
        <f>Table1[[#This Row],[QUANTITYORDERED]]*Table1[[#This Row],[PRICEEACH]]</f>
        <v>2443.2600000000002</v>
      </c>
    </row>
    <row r="2422" spans="1:26" hidden="1" x14ac:dyDescent="0.35">
      <c r="A2422">
        <v>10282</v>
      </c>
      <c r="B2422">
        <v>37</v>
      </c>
      <c r="C2422" s="3">
        <v>66.78</v>
      </c>
      <c r="D2422">
        <v>7</v>
      </c>
      <c r="E2422" s="3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 s="3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  <c r="Z2422" s="3">
        <f>Table1[[#This Row],[QUANTITYORDERED]]*Table1[[#This Row],[PRICEEACH]]</f>
        <v>2470.86</v>
      </c>
    </row>
    <row r="2423" spans="1:26" hidden="1" x14ac:dyDescent="0.35">
      <c r="A2423">
        <v>10292</v>
      </c>
      <c r="B2423">
        <v>35</v>
      </c>
      <c r="C2423" s="3">
        <v>55.07</v>
      </c>
      <c r="D2423">
        <v>1</v>
      </c>
      <c r="E2423" s="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 s="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  <c r="Z2423" s="3">
        <f>Table1[[#This Row],[QUANTITYORDERED]]*Table1[[#This Row],[PRICEEACH]]</f>
        <v>1927.45</v>
      </c>
    </row>
    <row r="2424" spans="1:26" hidden="1" x14ac:dyDescent="0.35">
      <c r="A2424">
        <v>10306</v>
      </c>
      <c r="B2424">
        <v>34</v>
      </c>
      <c r="C2424" s="3">
        <v>60.34</v>
      </c>
      <c r="D2424">
        <v>15</v>
      </c>
      <c r="E2424" s="3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 s="3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  <c r="Z2424" s="3">
        <f>Table1[[#This Row],[QUANTITYORDERED]]*Table1[[#This Row],[PRICEEACH]]</f>
        <v>2051.56</v>
      </c>
    </row>
    <row r="2425" spans="1:26" hidden="1" x14ac:dyDescent="0.35">
      <c r="A2425">
        <v>10314</v>
      </c>
      <c r="B2425">
        <v>38</v>
      </c>
      <c r="C2425" s="3">
        <v>61.51</v>
      </c>
      <c r="D2425">
        <v>7</v>
      </c>
      <c r="E2425" s="3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 s="3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  <c r="Z2425" s="3">
        <f>Table1[[#This Row],[QUANTITYORDERED]]*Table1[[#This Row],[PRICEEACH]]</f>
        <v>2337.38</v>
      </c>
    </row>
    <row r="2426" spans="1:26" hidden="1" x14ac:dyDescent="0.35">
      <c r="A2426">
        <v>10325</v>
      </c>
      <c r="B2426">
        <v>44</v>
      </c>
      <c r="C2426" s="3">
        <v>100</v>
      </c>
      <c r="D2426">
        <v>7</v>
      </c>
      <c r="E2426" s="3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 s="3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  <c r="Z2426" s="3">
        <f>Table1[[#This Row],[QUANTITYORDERED]]*Table1[[#This Row],[PRICEEACH]]</f>
        <v>4400</v>
      </c>
    </row>
    <row r="2427" spans="1:26" hidden="1" x14ac:dyDescent="0.35">
      <c r="A2427">
        <v>10337</v>
      </c>
      <c r="B2427">
        <v>21</v>
      </c>
      <c r="C2427" s="3">
        <v>100</v>
      </c>
      <c r="D2427">
        <v>6</v>
      </c>
      <c r="E2427" s="3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 s="3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  <c r="Z2427" s="3">
        <f>Table1[[#This Row],[QUANTITYORDERED]]*Table1[[#This Row],[PRICEEACH]]</f>
        <v>2100</v>
      </c>
    </row>
    <row r="2428" spans="1:26" hidden="1" x14ac:dyDescent="0.35">
      <c r="A2428">
        <v>10350</v>
      </c>
      <c r="B2428">
        <v>44</v>
      </c>
      <c r="C2428" s="3">
        <v>100</v>
      </c>
      <c r="D2428">
        <v>17</v>
      </c>
      <c r="E2428" s="3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 s="3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  <c r="Z2428" s="3">
        <f>Table1[[#This Row],[QUANTITYORDERED]]*Table1[[#This Row],[PRICEEACH]]</f>
        <v>4400</v>
      </c>
    </row>
    <row r="2429" spans="1:26" hidden="1" x14ac:dyDescent="0.35">
      <c r="A2429">
        <v>10359</v>
      </c>
      <c r="B2429">
        <v>25</v>
      </c>
      <c r="C2429" s="3">
        <v>64.930000000000007</v>
      </c>
      <c r="D2429">
        <v>4</v>
      </c>
      <c r="E2429" s="3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 s="3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  <c r="Z2429" s="3">
        <f>Table1[[#This Row],[QUANTITYORDERED]]*Table1[[#This Row],[PRICEEACH]]</f>
        <v>1623.2500000000002</v>
      </c>
    </row>
    <row r="2430" spans="1:26" hidden="1" x14ac:dyDescent="0.35">
      <c r="A2430">
        <v>10372</v>
      </c>
      <c r="B2430">
        <v>24</v>
      </c>
      <c r="C2430" s="3">
        <v>58.58</v>
      </c>
      <c r="D2430">
        <v>9</v>
      </c>
      <c r="E2430" s="3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 s="3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  <c r="Z2430" s="3">
        <f>Table1[[#This Row],[QUANTITYORDERED]]*Table1[[#This Row],[PRICEEACH]]</f>
        <v>1405.92</v>
      </c>
    </row>
    <row r="2431" spans="1:26" hidden="1" x14ac:dyDescent="0.35">
      <c r="A2431">
        <v>10383</v>
      </c>
      <c r="B2431">
        <v>38</v>
      </c>
      <c r="C2431" s="3">
        <v>60.06</v>
      </c>
      <c r="D2431">
        <v>10</v>
      </c>
      <c r="E2431" s="3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 s="3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  <c r="Z2431" s="3">
        <f>Table1[[#This Row],[QUANTITYORDERED]]*Table1[[#This Row],[PRICEEACH]]</f>
        <v>2282.2800000000002</v>
      </c>
    </row>
    <row r="2432" spans="1:26" hidden="1" x14ac:dyDescent="0.35">
      <c r="A2432">
        <v>10395</v>
      </c>
      <c r="B2432">
        <v>45</v>
      </c>
      <c r="C2432" s="3">
        <v>100</v>
      </c>
      <c r="D2432">
        <v>3</v>
      </c>
      <c r="E2432" s="3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 s="3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  <c r="Z2432" s="3">
        <f>Table1[[#This Row],[QUANTITYORDERED]]*Table1[[#This Row],[PRICEEACH]]</f>
        <v>4500</v>
      </c>
    </row>
    <row r="2433" spans="1:26" hidden="1" x14ac:dyDescent="0.35">
      <c r="A2433">
        <v>10413</v>
      </c>
      <c r="B2433">
        <v>51</v>
      </c>
      <c r="C2433" s="3">
        <v>63.85</v>
      </c>
      <c r="D2433">
        <v>4</v>
      </c>
      <c r="E2433" s="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 s="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  <c r="Z2433" s="3">
        <f>Table1[[#This Row],[QUANTITYORDERED]]*Table1[[#This Row],[PRICEEACH]]</f>
        <v>3256.35</v>
      </c>
    </row>
    <row r="2434" spans="1:26" hidden="1" x14ac:dyDescent="0.35">
      <c r="A2434">
        <v>10108</v>
      </c>
      <c r="B2434">
        <v>34</v>
      </c>
      <c r="C2434" s="3">
        <v>82.99</v>
      </c>
      <c r="D2434">
        <v>14</v>
      </c>
      <c r="E2434" s="3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 s="3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  <c r="Z2434" s="3">
        <f>Table1[[#This Row],[QUANTITYORDERED]]*Table1[[#This Row],[PRICEEACH]]</f>
        <v>2821.66</v>
      </c>
    </row>
    <row r="2435" spans="1:26" hidden="1" x14ac:dyDescent="0.35">
      <c r="A2435">
        <v>10121</v>
      </c>
      <c r="B2435">
        <v>44</v>
      </c>
      <c r="C2435" s="3">
        <v>74.849999999999994</v>
      </c>
      <c r="D2435">
        <v>1</v>
      </c>
      <c r="E2435" s="3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 s="3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  <c r="Z2435" s="3">
        <f>Table1[[#This Row],[QUANTITYORDERED]]*Table1[[#This Row],[PRICEEACH]]</f>
        <v>3293.3999999999996</v>
      </c>
    </row>
    <row r="2436" spans="1:26" hidden="1" x14ac:dyDescent="0.35">
      <c r="A2436">
        <v>10135</v>
      </c>
      <c r="B2436">
        <v>44</v>
      </c>
      <c r="C2436" s="3">
        <v>96</v>
      </c>
      <c r="D2436">
        <v>15</v>
      </c>
      <c r="E2436" s="3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 s="3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  <c r="Z2436" s="3">
        <f>Table1[[#This Row],[QUANTITYORDERED]]*Table1[[#This Row],[PRICEEACH]]</f>
        <v>4224</v>
      </c>
    </row>
    <row r="2437" spans="1:26" hidden="1" x14ac:dyDescent="0.35">
      <c r="A2437">
        <v>10145</v>
      </c>
      <c r="B2437">
        <v>38</v>
      </c>
      <c r="C2437" s="3">
        <v>81.36</v>
      </c>
      <c r="D2437">
        <v>2</v>
      </c>
      <c r="E2437" s="3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 s="3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  <c r="Z2437" s="3">
        <f>Table1[[#This Row],[QUANTITYORDERED]]*Table1[[#This Row],[PRICEEACH]]</f>
        <v>3091.68</v>
      </c>
    </row>
    <row r="2438" spans="1:26" hidden="1" x14ac:dyDescent="0.35">
      <c r="A2438">
        <v>10159</v>
      </c>
      <c r="B2438">
        <v>31</v>
      </c>
      <c r="C2438" s="3">
        <v>71.599999999999994</v>
      </c>
      <c r="D2438">
        <v>10</v>
      </c>
      <c r="E2438" s="3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 s="3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  <c r="Z2438" s="3">
        <f>Table1[[#This Row],[QUANTITYORDERED]]*Table1[[#This Row],[PRICEEACH]]</f>
        <v>2219.6</v>
      </c>
    </row>
    <row r="2439" spans="1:26" hidden="1" x14ac:dyDescent="0.35">
      <c r="A2439">
        <v>10169</v>
      </c>
      <c r="B2439">
        <v>48</v>
      </c>
      <c r="C2439" s="3">
        <v>80.55</v>
      </c>
      <c r="D2439">
        <v>10</v>
      </c>
      <c r="E2439" s="3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 s="3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  <c r="Z2439" s="3">
        <f>Table1[[#This Row],[QUANTITYORDERED]]*Table1[[#This Row],[PRICEEACH]]</f>
        <v>3866.3999999999996</v>
      </c>
    </row>
    <row r="2440" spans="1:26" hidden="1" x14ac:dyDescent="0.35">
      <c r="A2440">
        <v>10180</v>
      </c>
      <c r="B2440">
        <v>21</v>
      </c>
      <c r="C2440" s="3">
        <v>93.56</v>
      </c>
      <c r="D2440">
        <v>5</v>
      </c>
      <c r="E2440" s="3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 s="3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  <c r="Z2440" s="3">
        <f>Table1[[#This Row],[QUANTITYORDERED]]*Table1[[#This Row],[PRICEEACH]]</f>
        <v>1964.76</v>
      </c>
    </row>
    <row r="2441" spans="1:26" hidden="1" x14ac:dyDescent="0.35">
      <c r="A2441">
        <v>10190</v>
      </c>
      <c r="B2441">
        <v>40</v>
      </c>
      <c r="C2441" s="3">
        <v>66.72</v>
      </c>
      <c r="D2441">
        <v>2</v>
      </c>
      <c r="E2441" s="3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 s="3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  <c r="Z2441" s="3">
        <f>Table1[[#This Row],[QUANTITYORDERED]]*Table1[[#This Row],[PRICEEACH]]</f>
        <v>2668.8</v>
      </c>
    </row>
    <row r="2442" spans="1:26" hidden="1" x14ac:dyDescent="0.35">
      <c r="A2442">
        <v>10211</v>
      </c>
      <c r="B2442">
        <v>40</v>
      </c>
      <c r="C2442" s="3">
        <v>80.55</v>
      </c>
      <c r="D2442">
        <v>10</v>
      </c>
      <c r="E2442" s="3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 s="3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  <c r="Z2442" s="3">
        <f>Table1[[#This Row],[QUANTITYORDERED]]*Table1[[#This Row],[PRICEEACH]]</f>
        <v>3222</v>
      </c>
    </row>
    <row r="2443" spans="1:26" hidden="1" x14ac:dyDescent="0.35">
      <c r="A2443">
        <v>10224</v>
      </c>
      <c r="B2443">
        <v>50</v>
      </c>
      <c r="C2443" s="3">
        <v>77.290000000000006</v>
      </c>
      <c r="D2443">
        <v>3</v>
      </c>
      <c r="E2443" s="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 s="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  <c r="Z2443" s="3">
        <f>Table1[[#This Row],[QUANTITYORDERED]]*Table1[[#This Row],[PRICEEACH]]</f>
        <v>3864.5000000000005</v>
      </c>
    </row>
    <row r="2444" spans="1:26" hidden="1" x14ac:dyDescent="0.35">
      <c r="A2444">
        <v>10237</v>
      </c>
      <c r="B2444">
        <v>20</v>
      </c>
      <c r="C2444" s="3">
        <v>68.34</v>
      </c>
      <c r="D2444">
        <v>3</v>
      </c>
      <c r="E2444" s="3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 s="3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  <c r="Z2444" s="3">
        <f>Table1[[#This Row],[QUANTITYORDERED]]*Table1[[#This Row],[PRICEEACH]]</f>
        <v>1366.8000000000002</v>
      </c>
    </row>
    <row r="2445" spans="1:26" hidden="1" x14ac:dyDescent="0.35">
      <c r="A2445">
        <v>10252</v>
      </c>
      <c r="B2445">
        <v>48</v>
      </c>
      <c r="C2445" s="3">
        <v>72.41</v>
      </c>
      <c r="D2445">
        <v>7</v>
      </c>
      <c r="E2445" s="3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 s="3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  <c r="Z2445" s="3">
        <f>Table1[[#This Row],[QUANTITYORDERED]]*Table1[[#This Row],[PRICEEACH]]</f>
        <v>3475.68</v>
      </c>
    </row>
    <row r="2446" spans="1:26" hidden="1" x14ac:dyDescent="0.35">
      <c r="A2446">
        <v>10264</v>
      </c>
      <c r="B2446">
        <v>47</v>
      </c>
      <c r="C2446" s="3">
        <v>89.5</v>
      </c>
      <c r="D2446">
        <v>5</v>
      </c>
      <c r="E2446" s="3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 s="3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  <c r="Z2446" s="3">
        <f>Table1[[#This Row],[QUANTITYORDERED]]*Table1[[#This Row],[PRICEEACH]]</f>
        <v>4206.5</v>
      </c>
    </row>
    <row r="2447" spans="1:26" hidden="1" x14ac:dyDescent="0.35">
      <c r="A2447">
        <v>10276</v>
      </c>
      <c r="B2447">
        <v>21</v>
      </c>
      <c r="C2447" s="3">
        <v>70.78</v>
      </c>
      <c r="D2447">
        <v>11</v>
      </c>
      <c r="E2447" s="3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 s="3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  <c r="Z2447" s="3">
        <f>Table1[[#This Row],[QUANTITYORDERED]]*Table1[[#This Row],[PRICEEACH]]</f>
        <v>1486.38</v>
      </c>
    </row>
    <row r="2448" spans="1:26" hidden="1" x14ac:dyDescent="0.35">
      <c r="A2448">
        <v>10285</v>
      </c>
      <c r="B2448">
        <v>39</v>
      </c>
      <c r="C2448" s="3">
        <v>78.92</v>
      </c>
      <c r="D2448">
        <v>2</v>
      </c>
      <c r="E2448" s="3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 s="3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  <c r="Z2448" s="3">
        <f>Table1[[#This Row],[QUANTITYORDERED]]*Table1[[#This Row],[PRICEEACH]]</f>
        <v>3077.88</v>
      </c>
    </row>
    <row r="2449" spans="1:26" hidden="1" x14ac:dyDescent="0.35">
      <c r="A2449">
        <v>10299</v>
      </c>
      <c r="B2449">
        <v>44</v>
      </c>
      <c r="C2449" s="3">
        <v>80.55</v>
      </c>
      <c r="D2449">
        <v>5</v>
      </c>
      <c r="E2449" s="3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 s="3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  <c r="Z2449" s="3">
        <f>Table1[[#This Row],[QUANTITYORDERED]]*Table1[[#This Row],[PRICEEACH]]</f>
        <v>3544.2</v>
      </c>
    </row>
    <row r="2450" spans="1:26" hidden="1" x14ac:dyDescent="0.35">
      <c r="A2450">
        <v>10309</v>
      </c>
      <c r="B2450">
        <v>28</v>
      </c>
      <c r="C2450" s="3">
        <v>88.68</v>
      </c>
      <c r="D2450">
        <v>1</v>
      </c>
      <c r="E2450" s="3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 s="3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  <c r="Z2450" s="3">
        <f>Table1[[#This Row],[QUANTITYORDERED]]*Table1[[#This Row],[PRICEEACH]]</f>
        <v>2483.04</v>
      </c>
    </row>
    <row r="2451" spans="1:26" hidden="1" x14ac:dyDescent="0.35">
      <c r="A2451">
        <v>10319</v>
      </c>
      <c r="B2451">
        <v>45</v>
      </c>
      <c r="C2451" s="3">
        <v>77.290000000000006</v>
      </c>
      <c r="D2451">
        <v>6</v>
      </c>
      <c r="E2451" s="3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 s="3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  <c r="Z2451" s="3">
        <f>Table1[[#This Row],[QUANTITYORDERED]]*Table1[[#This Row],[PRICEEACH]]</f>
        <v>3478.05</v>
      </c>
    </row>
    <row r="2452" spans="1:26" hidden="1" x14ac:dyDescent="0.35">
      <c r="A2452">
        <v>10331</v>
      </c>
      <c r="B2452">
        <v>20</v>
      </c>
      <c r="C2452" s="3">
        <v>100</v>
      </c>
      <c r="D2452">
        <v>5</v>
      </c>
      <c r="E2452" s="3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 s="3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  <c r="Z2452" s="3">
        <f>Table1[[#This Row],[QUANTITYORDERED]]*Table1[[#This Row],[PRICEEACH]]</f>
        <v>2000</v>
      </c>
    </row>
    <row r="2453" spans="1:26" hidden="1" x14ac:dyDescent="0.35">
      <c r="A2453">
        <v>10341</v>
      </c>
      <c r="B2453">
        <v>38</v>
      </c>
      <c r="C2453" s="3">
        <v>100</v>
      </c>
      <c r="D2453">
        <v>3</v>
      </c>
      <c r="E2453" s="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 s="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  <c r="Z2453" s="3">
        <f>Table1[[#This Row],[QUANTITYORDERED]]*Table1[[#This Row],[PRICEEACH]]</f>
        <v>3800</v>
      </c>
    </row>
    <row r="2454" spans="1:26" hidden="1" x14ac:dyDescent="0.35">
      <c r="A2454">
        <v>10356</v>
      </c>
      <c r="B2454">
        <v>26</v>
      </c>
      <c r="C2454" s="3">
        <v>100</v>
      </c>
      <c r="D2454">
        <v>4</v>
      </c>
      <c r="E2454" s="3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 s="3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  <c r="Z2454" s="3">
        <f>Table1[[#This Row],[QUANTITYORDERED]]*Table1[[#This Row],[PRICEEACH]]</f>
        <v>2600</v>
      </c>
    </row>
    <row r="2455" spans="1:26" hidden="1" x14ac:dyDescent="0.35">
      <c r="A2455">
        <v>10365</v>
      </c>
      <c r="B2455">
        <v>44</v>
      </c>
      <c r="C2455" s="3">
        <v>100</v>
      </c>
      <c r="D2455">
        <v>2</v>
      </c>
      <c r="E2455" s="3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 s="3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  <c r="Z2455" s="3">
        <f>Table1[[#This Row],[QUANTITYORDERED]]*Table1[[#This Row],[PRICEEACH]]</f>
        <v>4400</v>
      </c>
    </row>
    <row r="2456" spans="1:26" hidden="1" x14ac:dyDescent="0.35">
      <c r="A2456">
        <v>10375</v>
      </c>
      <c r="B2456">
        <v>49</v>
      </c>
      <c r="C2456" s="3">
        <v>100</v>
      </c>
      <c r="D2456">
        <v>8</v>
      </c>
      <c r="E2456" s="3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 s="3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  <c r="Z2456" s="3">
        <f>Table1[[#This Row],[QUANTITYORDERED]]*Table1[[#This Row],[PRICEEACH]]</f>
        <v>4900</v>
      </c>
    </row>
    <row r="2457" spans="1:26" hidden="1" x14ac:dyDescent="0.35">
      <c r="A2457">
        <v>10390</v>
      </c>
      <c r="B2457">
        <v>22</v>
      </c>
      <c r="C2457" s="3">
        <v>100</v>
      </c>
      <c r="D2457">
        <v>13</v>
      </c>
      <c r="E2457" s="3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 s="3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  <c r="Z2457" s="3">
        <f>Table1[[#This Row],[QUANTITYORDERED]]*Table1[[#This Row],[PRICEEACH]]</f>
        <v>2200</v>
      </c>
    </row>
    <row r="2458" spans="1:26" hidden="1" x14ac:dyDescent="0.35">
      <c r="A2458">
        <v>10403</v>
      </c>
      <c r="B2458">
        <v>31</v>
      </c>
      <c r="C2458" s="3">
        <v>68.34</v>
      </c>
      <c r="D2458">
        <v>3</v>
      </c>
      <c r="E2458" s="3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 s="3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  <c r="Z2458" s="3">
        <f>Table1[[#This Row],[QUANTITYORDERED]]*Table1[[#This Row],[PRICEEACH]]</f>
        <v>2118.54</v>
      </c>
    </row>
    <row r="2459" spans="1:26" hidden="1" x14ac:dyDescent="0.35">
      <c r="A2459">
        <v>10105</v>
      </c>
      <c r="B2459">
        <v>41</v>
      </c>
      <c r="C2459" s="3">
        <v>70.67</v>
      </c>
      <c r="D2459">
        <v>5</v>
      </c>
      <c r="E2459" s="3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 s="3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  <c r="Z2459" s="3">
        <f>Table1[[#This Row],[QUANTITYORDERED]]*Table1[[#This Row],[PRICEEACH]]</f>
        <v>2897.4700000000003</v>
      </c>
    </row>
    <row r="2460" spans="1:26" hidden="1" x14ac:dyDescent="0.35">
      <c r="A2460">
        <v>10119</v>
      </c>
      <c r="B2460">
        <v>25</v>
      </c>
      <c r="C2460" s="3">
        <v>76.67</v>
      </c>
      <c r="D2460">
        <v>14</v>
      </c>
      <c r="E2460" s="3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 s="3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  <c r="Z2460" s="3">
        <f>Table1[[#This Row],[QUANTITYORDERED]]*Table1[[#This Row],[PRICEEACH]]</f>
        <v>1916.75</v>
      </c>
    </row>
    <row r="2461" spans="1:26" hidden="1" x14ac:dyDescent="0.35">
      <c r="A2461">
        <v>10129</v>
      </c>
      <c r="B2461">
        <v>31</v>
      </c>
      <c r="C2461" s="3">
        <v>60</v>
      </c>
      <c r="D2461">
        <v>5</v>
      </c>
      <c r="E2461" s="3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 s="3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  <c r="Z2461" s="3">
        <f>Table1[[#This Row],[QUANTITYORDERED]]*Table1[[#This Row],[PRICEEACH]]</f>
        <v>1860</v>
      </c>
    </row>
    <row r="2462" spans="1:26" hidden="1" x14ac:dyDescent="0.35">
      <c r="A2462">
        <v>10142</v>
      </c>
      <c r="B2462">
        <v>41</v>
      </c>
      <c r="C2462" s="3">
        <v>64</v>
      </c>
      <c r="D2462">
        <v>2</v>
      </c>
      <c r="E2462" s="3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 s="3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  <c r="Z2462" s="3">
        <f>Table1[[#This Row],[QUANTITYORDERED]]*Table1[[#This Row],[PRICEEACH]]</f>
        <v>2624</v>
      </c>
    </row>
    <row r="2463" spans="1:26" hidden="1" x14ac:dyDescent="0.35">
      <c r="A2463">
        <v>10153</v>
      </c>
      <c r="B2463">
        <v>43</v>
      </c>
      <c r="C2463" s="3">
        <v>64.67</v>
      </c>
      <c r="D2463">
        <v>1</v>
      </c>
      <c r="E2463" s="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 s="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  <c r="Z2463" s="3">
        <f>Table1[[#This Row],[QUANTITYORDERED]]*Table1[[#This Row],[PRICEEACH]]</f>
        <v>2780.81</v>
      </c>
    </row>
    <row r="2464" spans="1:26" hidden="1" x14ac:dyDescent="0.35">
      <c r="A2464">
        <v>10167</v>
      </c>
      <c r="B2464">
        <v>43</v>
      </c>
      <c r="C2464" s="3">
        <v>75.34</v>
      </c>
      <c r="D2464">
        <v>12</v>
      </c>
      <c r="E2464" s="3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 s="3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  <c r="Z2464" s="3">
        <f>Table1[[#This Row],[QUANTITYORDERED]]*Table1[[#This Row],[PRICEEACH]]</f>
        <v>3239.6200000000003</v>
      </c>
    </row>
    <row r="2465" spans="1:26" hidden="1" x14ac:dyDescent="0.35">
      <c r="A2465">
        <v>10177</v>
      </c>
      <c r="B2465">
        <v>24</v>
      </c>
      <c r="C2465" s="3">
        <v>76</v>
      </c>
      <c r="D2465">
        <v>3</v>
      </c>
      <c r="E2465" s="3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 s="3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  <c r="Z2465" s="3">
        <f>Table1[[#This Row],[QUANTITYORDERED]]*Table1[[#This Row],[PRICEEACH]]</f>
        <v>1824</v>
      </c>
    </row>
    <row r="2466" spans="1:26" hidden="1" x14ac:dyDescent="0.35">
      <c r="A2466">
        <v>10185</v>
      </c>
      <c r="B2466">
        <v>21</v>
      </c>
      <c r="C2466" s="3">
        <v>54</v>
      </c>
      <c r="D2466">
        <v>3</v>
      </c>
      <c r="E2466" s="3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 s="3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  <c r="Z2466" s="3">
        <f>Table1[[#This Row],[QUANTITYORDERED]]*Table1[[#This Row],[PRICEEACH]]</f>
        <v>1134</v>
      </c>
    </row>
    <row r="2467" spans="1:26" hidden="1" x14ac:dyDescent="0.35">
      <c r="A2467">
        <v>10197</v>
      </c>
      <c r="B2467">
        <v>23</v>
      </c>
      <c r="C2467" s="3">
        <v>64.67</v>
      </c>
      <c r="D2467">
        <v>9</v>
      </c>
      <c r="E2467" s="3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 s="3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  <c r="Z2467" s="3">
        <f>Table1[[#This Row],[QUANTITYORDERED]]*Table1[[#This Row],[PRICEEACH]]</f>
        <v>1487.41</v>
      </c>
    </row>
    <row r="2468" spans="1:26" hidden="1" x14ac:dyDescent="0.35">
      <c r="A2468">
        <v>10208</v>
      </c>
      <c r="B2468">
        <v>38</v>
      </c>
      <c r="C2468" s="3">
        <v>74.67</v>
      </c>
      <c r="D2468">
        <v>3</v>
      </c>
      <c r="E2468" s="3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 s="3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  <c r="Z2468" s="3">
        <f>Table1[[#This Row],[QUANTITYORDERED]]*Table1[[#This Row],[PRICEEACH]]</f>
        <v>2837.46</v>
      </c>
    </row>
    <row r="2469" spans="1:26" hidden="1" x14ac:dyDescent="0.35">
      <c r="A2469">
        <v>10222</v>
      </c>
      <c r="B2469">
        <v>31</v>
      </c>
      <c r="C2469" s="3">
        <v>62.67</v>
      </c>
      <c r="D2469">
        <v>15</v>
      </c>
      <c r="E2469" s="3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 s="3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  <c r="Z2469" s="3">
        <f>Table1[[#This Row],[QUANTITYORDERED]]*Table1[[#This Row],[PRICEEACH]]</f>
        <v>1942.77</v>
      </c>
    </row>
    <row r="2470" spans="1:26" hidden="1" x14ac:dyDescent="0.35">
      <c r="A2470">
        <v>10233</v>
      </c>
      <c r="B2470">
        <v>36</v>
      </c>
      <c r="C2470" s="3">
        <v>70.67</v>
      </c>
      <c r="D2470">
        <v>3</v>
      </c>
      <c r="E2470" s="3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 s="3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  <c r="Z2470" s="3">
        <f>Table1[[#This Row],[QUANTITYORDERED]]*Table1[[#This Row],[PRICEEACH]]</f>
        <v>2544.12</v>
      </c>
    </row>
    <row r="2471" spans="1:26" hidden="1" x14ac:dyDescent="0.35">
      <c r="A2471">
        <v>10248</v>
      </c>
      <c r="B2471">
        <v>36</v>
      </c>
      <c r="C2471" s="3">
        <v>71.34</v>
      </c>
      <c r="D2471">
        <v>6</v>
      </c>
      <c r="E2471" s="3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 s="3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  <c r="Z2471" s="3">
        <f>Table1[[#This Row],[QUANTITYORDERED]]*Table1[[#This Row],[PRICEEACH]]</f>
        <v>2568.2400000000002</v>
      </c>
    </row>
    <row r="2472" spans="1:26" hidden="1" x14ac:dyDescent="0.35">
      <c r="A2472">
        <v>10261</v>
      </c>
      <c r="B2472">
        <v>34</v>
      </c>
      <c r="C2472" s="3">
        <v>62</v>
      </c>
      <c r="D2472">
        <v>4</v>
      </c>
      <c r="E2472" s="3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 s="3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  <c r="Z2472" s="3">
        <f>Table1[[#This Row],[QUANTITYORDERED]]*Table1[[#This Row],[PRICEEACH]]</f>
        <v>2108</v>
      </c>
    </row>
    <row r="2473" spans="1:26" hidden="1" x14ac:dyDescent="0.35">
      <c r="A2473">
        <v>10273</v>
      </c>
      <c r="B2473">
        <v>21</v>
      </c>
      <c r="C2473" s="3">
        <v>65.34</v>
      </c>
      <c r="D2473">
        <v>7</v>
      </c>
      <c r="E2473" s="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 s="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  <c r="Z2473" s="3">
        <f>Table1[[#This Row],[QUANTITYORDERED]]*Table1[[#This Row],[PRICEEACH]]</f>
        <v>1372.14</v>
      </c>
    </row>
    <row r="2474" spans="1:26" hidden="1" x14ac:dyDescent="0.35">
      <c r="A2474">
        <v>10283</v>
      </c>
      <c r="B2474">
        <v>45</v>
      </c>
      <c r="C2474" s="3">
        <v>78.67</v>
      </c>
      <c r="D2474">
        <v>9</v>
      </c>
      <c r="E2474" s="3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 s="3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  <c r="Z2474" s="3">
        <f>Table1[[#This Row],[QUANTITYORDERED]]*Table1[[#This Row],[PRICEEACH]]</f>
        <v>3540.15</v>
      </c>
    </row>
    <row r="2475" spans="1:26" hidden="1" x14ac:dyDescent="0.35">
      <c r="A2475">
        <v>10295</v>
      </c>
      <c r="B2475">
        <v>26</v>
      </c>
      <c r="C2475" s="3">
        <v>75.34</v>
      </c>
      <c r="D2475">
        <v>4</v>
      </c>
      <c r="E2475" s="3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 s="3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  <c r="Z2475" s="3">
        <f>Table1[[#This Row],[QUANTITYORDERED]]*Table1[[#This Row],[PRICEEACH]]</f>
        <v>1958.8400000000001</v>
      </c>
    </row>
    <row r="2476" spans="1:26" hidden="1" x14ac:dyDescent="0.35">
      <c r="A2476">
        <v>10306</v>
      </c>
      <c r="B2476">
        <v>50</v>
      </c>
      <c r="C2476" s="3">
        <v>54</v>
      </c>
      <c r="D2476">
        <v>3</v>
      </c>
      <c r="E2476" s="3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 s="3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  <c r="Z2476" s="3">
        <f>Table1[[#This Row],[QUANTITYORDERED]]*Table1[[#This Row],[PRICEEACH]]</f>
        <v>2700</v>
      </c>
    </row>
    <row r="2477" spans="1:26" hidden="1" x14ac:dyDescent="0.35">
      <c r="A2477">
        <v>10315</v>
      </c>
      <c r="B2477">
        <v>41</v>
      </c>
      <c r="C2477" s="3">
        <v>62</v>
      </c>
      <c r="D2477">
        <v>2</v>
      </c>
      <c r="E2477" s="3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 s="3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  <c r="Z2477" s="3">
        <f>Table1[[#This Row],[QUANTITYORDERED]]*Table1[[#This Row],[PRICEEACH]]</f>
        <v>2542</v>
      </c>
    </row>
    <row r="2478" spans="1:26" hidden="1" x14ac:dyDescent="0.35">
      <c r="A2478">
        <v>10326</v>
      </c>
      <c r="B2478">
        <v>39</v>
      </c>
      <c r="C2478" s="3">
        <v>60</v>
      </c>
      <c r="D2478">
        <v>1</v>
      </c>
      <c r="E2478" s="3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 s="3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  <c r="Z2478" s="3">
        <f>Table1[[#This Row],[QUANTITYORDERED]]*Table1[[#This Row],[PRICEEACH]]</f>
        <v>2340</v>
      </c>
    </row>
    <row r="2479" spans="1:26" hidden="1" x14ac:dyDescent="0.35">
      <c r="A2479">
        <v>10339</v>
      </c>
      <c r="B2479">
        <v>22</v>
      </c>
      <c r="C2479" s="3">
        <v>100</v>
      </c>
      <c r="D2479">
        <v>5</v>
      </c>
      <c r="E2479" s="3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 s="3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  <c r="Z2479" s="3">
        <f>Table1[[#This Row],[QUANTITYORDERED]]*Table1[[#This Row],[PRICEEACH]]</f>
        <v>2200</v>
      </c>
    </row>
    <row r="2480" spans="1:26" hidden="1" x14ac:dyDescent="0.35">
      <c r="A2480">
        <v>10350</v>
      </c>
      <c r="B2480">
        <v>46</v>
      </c>
      <c r="C2480" s="3">
        <v>76.67</v>
      </c>
      <c r="D2480">
        <v>11</v>
      </c>
      <c r="E2480" s="3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 s="3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  <c r="Z2480" s="3">
        <f>Table1[[#This Row],[QUANTITYORDERED]]*Table1[[#This Row],[PRICEEACH]]</f>
        <v>3526.82</v>
      </c>
    </row>
    <row r="2481" spans="1:26" hidden="1" x14ac:dyDescent="0.35">
      <c r="A2481">
        <v>10373</v>
      </c>
      <c r="B2481">
        <v>44</v>
      </c>
      <c r="C2481" s="3">
        <v>100</v>
      </c>
      <c r="D2481">
        <v>14</v>
      </c>
      <c r="E2481" s="3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 s="3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  <c r="Z2481" s="3">
        <f>Table1[[#This Row],[QUANTITYORDERED]]*Table1[[#This Row],[PRICEEACH]]</f>
        <v>4400</v>
      </c>
    </row>
    <row r="2482" spans="1:26" hidden="1" x14ac:dyDescent="0.35">
      <c r="A2482">
        <v>10385</v>
      </c>
      <c r="B2482">
        <v>25</v>
      </c>
      <c r="C2482" s="3">
        <v>77.34</v>
      </c>
      <c r="D2482">
        <v>1</v>
      </c>
      <c r="E2482" s="3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 s="3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  <c r="Z2482" s="3">
        <f>Table1[[#This Row],[QUANTITYORDERED]]*Table1[[#This Row],[PRICEEACH]]</f>
        <v>1933.5</v>
      </c>
    </row>
    <row r="2483" spans="1:26" hidden="1" x14ac:dyDescent="0.35">
      <c r="A2483">
        <v>10396</v>
      </c>
      <c r="B2483">
        <v>39</v>
      </c>
      <c r="C2483" s="3">
        <v>66.67</v>
      </c>
      <c r="D2483">
        <v>1</v>
      </c>
      <c r="E2483" s="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 s="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  <c r="Z2483" s="3">
        <f>Table1[[#This Row],[QUANTITYORDERED]]*Table1[[#This Row],[PRICEEACH]]</f>
        <v>2600.13</v>
      </c>
    </row>
    <row r="2484" spans="1:26" hidden="1" x14ac:dyDescent="0.35">
      <c r="A2484">
        <v>10414</v>
      </c>
      <c r="B2484">
        <v>37</v>
      </c>
      <c r="C2484" s="3">
        <v>71.34</v>
      </c>
      <c r="D2484">
        <v>6</v>
      </c>
      <c r="E2484" s="3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 s="3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  <c r="Z2484" s="3">
        <f>Table1[[#This Row],[QUANTITYORDERED]]*Table1[[#This Row],[PRICEEACH]]</f>
        <v>2639.58</v>
      </c>
    </row>
    <row r="2485" spans="1:26" hidden="1" x14ac:dyDescent="0.35">
      <c r="A2485">
        <v>10106</v>
      </c>
      <c r="B2485">
        <v>31</v>
      </c>
      <c r="C2485" s="3">
        <v>100</v>
      </c>
      <c r="D2485">
        <v>7</v>
      </c>
      <c r="E2485" s="3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 s="3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  <c r="Z2485" s="3">
        <f>Table1[[#This Row],[QUANTITYORDERED]]*Table1[[#This Row],[PRICEEACH]]</f>
        <v>3100</v>
      </c>
    </row>
    <row r="2486" spans="1:26" hidden="1" x14ac:dyDescent="0.35">
      <c r="A2486">
        <v>10120</v>
      </c>
      <c r="B2486">
        <v>47</v>
      </c>
      <c r="C2486" s="3">
        <v>82.21</v>
      </c>
      <c r="D2486">
        <v>13</v>
      </c>
      <c r="E2486" s="3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 s="3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  <c r="Z2486" s="3">
        <f>Table1[[#This Row],[QUANTITYORDERED]]*Table1[[#This Row],[PRICEEACH]]</f>
        <v>3863.87</v>
      </c>
    </row>
    <row r="2487" spans="1:26" hidden="1" x14ac:dyDescent="0.35">
      <c r="A2487">
        <v>10133</v>
      </c>
      <c r="B2487">
        <v>24</v>
      </c>
      <c r="C2487" s="3">
        <v>77.64</v>
      </c>
      <c r="D2487">
        <v>8</v>
      </c>
      <c r="E2487" s="3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 s="3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  <c r="Z2487" s="3">
        <f>Table1[[#This Row],[QUANTITYORDERED]]*Table1[[#This Row],[PRICEEACH]]</f>
        <v>1863.3600000000001</v>
      </c>
    </row>
    <row r="2488" spans="1:26" hidden="1" x14ac:dyDescent="0.35">
      <c r="A2488">
        <v>10143</v>
      </c>
      <c r="B2488">
        <v>36</v>
      </c>
      <c r="C2488" s="3">
        <v>100</v>
      </c>
      <c r="D2488">
        <v>2</v>
      </c>
      <c r="E2488" s="3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 s="3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  <c r="Z2488" s="3">
        <f>Table1[[#This Row],[QUANTITYORDERED]]*Table1[[#This Row],[PRICEEACH]]</f>
        <v>3600</v>
      </c>
    </row>
    <row r="2489" spans="1:26" hidden="1" x14ac:dyDescent="0.35">
      <c r="A2489">
        <v>10156</v>
      </c>
      <c r="B2489">
        <v>48</v>
      </c>
      <c r="C2489" s="3">
        <v>100</v>
      </c>
      <c r="D2489">
        <v>2</v>
      </c>
      <c r="E2489" s="3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 s="3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  <c r="Z2489" s="3">
        <f>Table1[[#This Row],[QUANTITYORDERED]]*Table1[[#This Row],[PRICEEACH]]</f>
        <v>4800</v>
      </c>
    </row>
    <row r="2490" spans="1:26" hidden="1" x14ac:dyDescent="0.35">
      <c r="A2490">
        <v>10168</v>
      </c>
      <c r="B2490">
        <v>28</v>
      </c>
      <c r="C2490" s="3">
        <v>98.65</v>
      </c>
      <c r="D2490">
        <v>14</v>
      </c>
      <c r="E2490" s="3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 s="3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  <c r="Z2490" s="3">
        <f>Table1[[#This Row],[QUANTITYORDERED]]*Table1[[#This Row],[PRICEEACH]]</f>
        <v>2762.2000000000003</v>
      </c>
    </row>
    <row r="2491" spans="1:26" hidden="1" x14ac:dyDescent="0.35">
      <c r="A2491">
        <v>10199</v>
      </c>
      <c r="B2491">
        <v>48</v>
      </c>
      <c r="C2491" s="3">
        <v>83.12</v>
      </c>
      <c r="D2491">
        <v>2</v>
      </c>
      <c r="E2491" s="3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 s="3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  <c r="Z2491" s="3">
        <f>Table1[[#This Row],[QUANTITYORDERED]]*Table1[[#This Row],[PRICEEACH]]</f>
        <v>3989.76</v>
      </c>
    </row>
    <row r="2492" spans="1:26" hidden="1" x14ac:dyDescent="0.35">
      <c r="A2492">
        <v>10210</v>
      </c>
      <c r="B2492">
        <v>21</v>
      </c>
      <c r="C2492" s="3">
        <v>78.55</v>
      </c>
      <c r="D2492">
        <v>12</v>
      </c>
      <c r="E2492" s="3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 s="3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  <c r="Z2492" s="3">
        <f>Table1[[#This Row],[QUANTITYORDERED]]*Table1[[#This Row],[PRICEEACH]]</f>
        <v>1649.55</v>
      </c>
    </row>
    <row r="2493" spans="1:26" hidden="1" x14ac:dyDescent="0.35">
      <c r="A2493">
        <v>10223</v>
      </c>
      <c r="B2493">
        <v>25</v>
      </c>
      <c r="C2493" s="3">
        <v>100</v>
      </c>
      <c r="D2493">
        <v>14</v>
      </c>
      <c r="E2493" s="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 s="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  <c r="Z2493" s="3">
        <f>Table1[[#This Row],[QUANTITYORDERED]]*Table1[[#This Row],[PRICEEACH]]</f>
        <v>2500</v>
      </c>
    </row>
    <row r="2494" spans="1:26" hidden="1" x14ac:dyDescent="0.35">
      <c r="A2494">
        <v>10235</v>
      </c>
      <c r="B2494">
        <v>25</v>
      </c>
      <c r="C2494" s="3">
        <v>100</v>
      </c>
      <c r="D2494">
        <v>8</v>
      </c>
      <c r="E2494" s="3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 s="3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  <c r="Z2494" s="3">
        <f>Table1[[#This Row],[QUANTITYORDERED]]*Table1[[#This Row],[PRICEEACH]]</f>
        <v>2500</v>
      </c>
    </row>
    <row r="2495" spans="1:26" hidden="1" x14ac:dyDescent="0.35">
      <c r="A2495">
        <v>10250</v>
      </c>
      <c r="B2495">
        <v>31</v>
      </c>
      <c r="C2495" s="3">
        <v>91.34</v>
      </c>
      <c r="D2495">
        <v>9</v>
      </c>
      <c r="E2495" s="3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 s="3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  <c r="Z2495" s="3">
        <f>Table1[[#This Row],[QUANTITYORDERED]]*Table1[[#This Row],[PRICEEACH]]</f>
        <v>2831.54</v>
      </c>
    </row>
    <row r="2496" spans="1:26" hidden="1" x14ac:dyDescent="0.35">
      <c r="A2496">
        <v>10262</v>
      </c>
      <c r="B2496">
        <v>40</v>
      </c>
      <c r="C2496" s="3">
        <v>84.03</v>
      </c>
      <c r="D2496">
        <v>4</v>
      </c>
      <c r="E2496" s="3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 s="3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  <c r="Z2496" s="3">
        <f>Table1[[#This Row],[QUANTITYORDERED]]*Table1[[#This Row],[PRICEEACH]]</f>
        <v>3361.2</v>
      </c>
    </row>
    <row r="2497" spans="1:26" hidden="1" x14ac:dyDescent="0.35">
      <c r="A2497">
        <v>10275</v>
      </c>
      <c r="B2497">
        <v>32</v>
      </c>
      <c r="C2497" s="3">
        <v>89.51</v>
      </c>
      <c r="D2497">
        <v>14</v>
      </c>
      <c r="E2497" s="3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 s="3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  <c r="Z2497" s="3">
        <f>Table1[[#This Row],[QUANTITYORDERED]]*Table1[[#This Row],[PRICEEACH]]</f>
        <v>2864.32</v>
      </c>
    </row>
    <row r="2498" spans="1:26" hidden="1" x14ac:dyDescent="0.35">
      <c r="A2498">
        <v>10284</v>
      </c>
      <c r="B2498">
        <v>24</v>
      </c>
      <c r="C2498" s="3">
        <v>83.12</v>
      </c>
      <c r="D2498">
        <v>6</v>
      </c>
      <c r="E2498" s="3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 s="3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  <c r="Z2498" s="3">
        <f>Table1[[#This Row],[QUANTITYORDERED]]*Table1[[#This Row],[PRICEEACH]]</f>
        <v>1994.88</v>
      </c>
    </row>
    <row r="2499" spans="1:26" hidden="1" x14ac:dyDescent="0.35">
      <c r="A2499">
        <v>10296</v>
      </c>
      <c r="B2499">
        <v>42</v>
      </c>
      <c r="C2499" s="3">
        <v>100</v>
      </c>
      <c r="D2499">
        <v>2</v>
      </c>
      <c r="E2499" s="3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 s="3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  <c r="Z2499" s="3">
        <f>Table1[[#This Row],[QUANTITYORDERED]]*Table1[[#This Row],[PRICEEACH]]</f>
        <v>4200</v>
      </c>
    </row>
    <row r="2500" spans="1:26" hidden="1" x14ac:dyDescent="0.35">
      <c r="A2500">
        <v>10308</v>
      </c>
      <c r="B2500">
        <v>21</v>
      </c>
      <c r="C2500" s="3">
        <v>100</v>
      </c>
      <c r="D2500">
        <v>12</v>
      </c>
      <c r="E2500" s="3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 s="3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  <c r="Z2500" s="3">
        <f>Table1[[#This Row],[QUANTITYORDERED]]*Table1[[#This Row],[PRICEEACH]]</f>
        <v>2100</v>
      </c>
    </row>
    <row r="2501" spans="1:26" hidden="1" x14ac:dyDescent="0.35">
      <c r="A2501">
        <v>10316</v>
      </c>
      <c r="B2501">
        <v>34</v>
      </c>
      <c r="C2501" s="3">
        <v>82.21</v>
      </c>
      <c r="D2501">
        <v>4</v>
      </c>
      <c r="E2501" s="3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 s="3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  <c r="Z2501" s="3">
        <f>Table1[[#This Row],[QUANTITYORDERED]]*Table1[[#This Row],[PRICEEACH]]</f>
        <v>2795.14</v>
      </c>
    </row>
    <row r="2502" spans="1:26" hidden="1" x14ac:dyDescent="0.35">
      <c r="A2502">
        <v>10328</v>
      </c>
      <c r="B2502">
        <v>27</v>
      </c>
      <c r="C2502" s="3">
        <v>100</v>
      </c>
      <c r="D2502">
        <v>8</v>
      </c>
      <c r="E2502" s="3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 s="3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  <c r="Z2502" s="3">
        <f>Table1[[#This Row],[QUANTITYORDERED]]*Table1[[#This Row],[PRICEEACH]]</f>
        <v>2700</v>
      </c>
    </row>
    <row r="2503" spans="1:26" hidden="1" x14ac:dyDescent="0.35">
      <c r="A2503">
        <v>10340</v>
      </c>
      <c r="B2503">
        <v>30</v>
      </c>
      <c r="C2503" s="3">
        <v>88.6</v>
      </c>
      <c r="D2503">
        <v>5</v>
      </c>
      <c r="E2503" s="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 s="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  <c r="Z2503" s="3">
        <f>Table1[[#This Row],[QUANTITYORDERED]]*Table1[[#This Row],[PRICEEACH]]</f>
        <v>2658</v>
      </c>
    </row>
    <row r="2504" spans="1:26" hidden="1" x14ac:dyDescent="0.35">
      <c r="A2504">
        <v>10353</v>
      </c>
      <c r="B2504">
        <v>39</v>
      </c>
      <c r="C2504" s="3">
        <v>100</v>
      </c>
      <c r="D2504">
        <v>9</v>
      </c>
      <c r="E2504" s="3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 s="3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  <c r="Z2504" s="3">
        <f>Table1[[#This Row],[QUANTITYORDERED]]*Table1[[#This Row],[PRICEEACH]]</f>
        <v>3900</v>
      </c>
    </row>
    <row r="2505" spans="1:26" hidden="1" x14ac:dyDescent="0.35">
      <c r="A2505">
        <v>10361</v>
      </c>
      <c r="B2505">
        <v>20</v>
      </c>
      <c r="C2505" s="3">
        <v>60.54</v>
      </c>
      <c r="D2505">
        <v>4</v>
      </c>
      <c r="E2505" s="3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 s="3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  <c r="Z2505" s="3">
        <f>Table1[[#This Row],[QUANTITYORDERED]]*Table1[[#This Row],[PRICEEACH]]</f>
        <v>1210.8</v>
      </c>
    </row>
    <row r="2506" spans="1:26" hidden="1" x14ac:dyDescent="0.35">
      <c r="A2506">
        <v>10375</v>
      </c>
      <c r="B2506">
        <v>37</v>
      </c>
      <c r="C2506" s="3">
        <v>81.87</v>
      </c>
      <c r="D2506">
        <v>6</v>
      </c>
      <c r="E2506" s="3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 s="3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  <c r="Z2506" s="3">
        <f>Table1[[#This Row],[QUANTITYORDERED]]*Table1[[#This Row],[PRICEEACH]]</f>
        <v>3029.19</v>
      </c>
    </row>
    <row r="2507" spans="1:26" hidden="1" x14ac:dyDescent="0.35">
      <c r="A2507">
        <v>10388</v>
      </c>
      <c r="B2507">
        <v>46</v>
      </c>
      <c r="C2507" s="3">
        <v>100</v>
      </c>
      <c r="D2507">
        <v>2</v>
      </c>
      <c r="E2507" s="3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 s="3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  <c r="Z2507" s="3">
        <f>Table1[[#This Row],[QUANTITYORDERED]]*Table1[[#This Row],[PRICEEACH]]</f>
        <v>4600</v>
      </c>
    </row>
    <row r="2508" spans="1:26" hidden="1" x14ac:dyDescent="0.35">
      <c r="A2508">
        <v>10398</v>
      </c>
      <c r="B2508">
        <v>47</v>
      </c>
      <c r="C2508" s="3">
        <v>87.69</v>
      </c>
      <c r="D2508">
        <v>6</v>
      </c>
      <c r="E2508" s="3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 s="3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  <c r="Z2508" s="3">
        <f>Table1[[#This Row],[QUANTITYORDERED]]*Table1[[#This Row],[PRICEEACH]]</f>
        <v>4121.43</v>
      </c>
    </row>
    <row r="2509" spans="1:26" hidden="1" x14ac:dyDescent="0.35">
      <c r="A2509">
        <v>10401</v>
      </c>
      <c r="B2509">
        <v>11</v>
      </c>
      <c r="C2509" s="3">
        <v>100</v>
      </c>
      <c r="D2509">
        <v>8</v>
      </c>
      <c r="E2509" s="3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 s="3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  <c r="Z2509" s="3">
        <f>Table1[[#This Row],[QUANTITYORDERED]]*Table1[[#This Row],[PRICEEACH]]</f>
        <v>1100</v>
      </c>
    </row>
    <row r="2510" spans="1:26" hidden="1" x14ac:dyDescent="0.35">
      <c r="A2510">
        <v>10416</v>
      </c>
      <c r="B2510">
        <v>23</v>
      </c>
      <c r="C2510" s="3">
        <v>91.34</v>
      </c>
      <c r="D2510">
        <v>9</v>
      </c>
      <c r="E2510" s="3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 s="3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  <c r="Z2510" s="3">
        <f>Table1[[#This Row],[QUANTITYORDERED]]*Table1[[#This Row],[PRICEEACH]]</f>
        <v>2100.8200000000002</v>
      </c>
    </row>
    <row r="2511" spans="1:26" hidden="1" x14ac:dyDescent="0.35">
      <c r="A2511">
        <v>10105</v>
      </c>
      <c r="B2511">
        <v>29</v>
      </c>
      <c r="C2511" s="3">
        <v>70.150000000000006</v>
      </c>
      <c r="D2511">
        <v>12</v>
      </c>
      <c r="E2511" s="3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 s="3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  <c r="Z2511" s="3">
        <f>Table1[[#This Row],[QUANTITYORDERED]]*Table1[[#This Row],[PRICEEACH]]</f>
        <v>2034.3500000000001</v>
      </c>
    </row>
    <row r="2512" spans="1:26" hidden="1" x14ac:dyDescent="0.35">
      <c r="A2512">
        <v>10117</v>
      </c>
      <c r="B2512">
        <v>38</v>
      </c>
      <c r="C2512" s="3">
        <v>79.680000000000007</v>
      </c>
      <c r="D2512">
        <v>6</v>
      </c>
      <c r="E2512" s="3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 s="3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  <c r="Z2512" s="3">
        <f>Table1[[#This Row],[QUANTITYORDERED]]*Table1[[#This Row],[PRICEEACH]]</f>
        <v>3027.84</v>
      </c>
    </row>
    <row r="2513" spans="1:26" hidden="1" x14ac:dyDescent="0.35">
      <c r="A2513">
        <v>10128</v>
      </c>
      <c r="B2513">
        <v>32</v>
      </c>
      <c r="C2513" s="3">
        <v>97</v>
      </c>
      <c r="D2513">
        <v>3</v>
      </c>
      <c r="E2513" s="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 s="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  <c r="Z2513" s="3">
        <f>Table1[[#This Row],[QUANTITYORDERED]]*Table1[[#This Row],[PRICEEACH]]</f>
        <v>3104</v>
      </c>
    </row>
    <row r="2514" spans="1:26" hidden="1" x14ac:dyDescent="0.35">
      <c r="A2514">
        <v>10142</v>
      </c>
      <c r="B2514">
        <v>43</v>
      </c>
      <c r="C2514" s="3">
        <v>84.01</v>
      </c>
      <c r="D2514">
        <v>9</v>
      </c>
      <c r="E2514" s="3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 s="3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  <c r="Z2514" s="3">
        <f>Table1[[#This Row],[QUANTITYORDERED]]*Table1[[#This Row],[PRICEEACH]]</f>
        <v>3612.4300000000003</v>
      </c>
    </row>
    <row r="2515" spans="1:26" hidden="1" x14ac:dyDescent="0.35">
      <c r="A2515">
        <v>10153</v>
      </c>
      <c r="B2515">
        <v>31</v>
      </c>
      <c r="C2515" s="3">
        <v>87.48</v>
      </c>
      <c r="D2515">
        <v>8</v>
      </c>
      <c r="E2515" s="3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 s="3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  <c r="Z2515" s="3">
        <f>Table1[[#This Row],[QUANTITYORDERED]]*Table1[[#This Row],[PRICEEACH]]</f>
        <v>2711.88</v>
      </c>
    </row>
    <row r="2516" spans="1:26" hidden="1" x14ac:dyDescent="0.35">
      <c r="A2516">
        <v>10166</v>
      </c>
      <c r="B2516">
        <v>29</v>
      </c>
      <c r="C2516" s="3">
        <v>100</v>
      </c>
      <c r="D2516">
        <v>3</v>
      </c>
      <c r="E2516" s="3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 s="3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  <c r="Z2516" s="3">
        <f>Table1[[#This Row],[QUANTITYORDERED]]*Table1[[#This Row],[PRICEEACH]]</f>
        <v>2900</v>
      </c>
    </row>
    <row r="2517" spans="1:26" hidden="1" x14ac:dyDescent="0.35">
      <c r="A2517">
        <v>10177</v>
      </c>
      <c r="B2517">
        <v>31</v>
      </c>
      <c r="C2517" s="3">
        <v>88.34</v>
      </c>
      <c r="D2517">
        <v>10</v>
      </c>
      <c r="E2517" s="3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 s="3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  <c r="Z2517" s="3">
        <f>Table1[[#This Row],[QUANTITYORDERED]]*Table1[[#This Row],[PRICEEACH]]</f>
        <v>2738.54</v>
      </c>
    </row>
    <row r="2518" spans="1:26" hidden="1" x14ac:dyDescent="0.35">
      <c r="A2518">
        <v>10185</v>
      </c>
      <c r="B2518">
        <v>30</v>
      </c>
      <c r="C2518" s="3">
        <v>94.4</v>
      </c>
      <c r="D2518">
        <v>10</v>
      </c>
      <c r="E2518" s="3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 s="3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  <c r="Z2518" s="3">
        <f>Table1[[#This Row],[QUANTITYORDERED]]*Table1[[#This Row],[PRICEEACH]]</f>
        <v>2832</v>
      </c>
    </row>
    <row r="2519" spans="1:26" hidden="1" x14ac:dyDescent="0.35">
      <c r="A2519">
        <v>10196</v>
      </c>
      <c r="B2519">
        <v>50</v>
      </c>
      <c r="C2519" s="3">
        <v>94.4</v>
      </c>
      <c r="D2519">
        <v>2</v>
      </c>
      <c r="E2519" s="3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 s="3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  <c r="Z2519" s="3">
        <f>Table1[[#This Row],[QUANTITYORDERED]]*Table1[[#This Row],[PRICEEACH]]</f>
        <v>4720</v>
      </c>
    </row>
    <row r="2520" spans="1:26" hidden="1" x14ac:dyDescent="0.35">
      <c r="A2520">
        <v>10208</v>
      </c>
      <c r="B2520">
        <v>40</v>
      </c>
      <c r="C2520" s="3">
        <v>80.55</v>
      </c>
      <c r="D2520">
        <v>10</v>
      </c>
      <c r="E2520" s="3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 s="3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  <c r="Z2520" s="3">
        <f>Table1[[#This Row],[QUANTITYORDERED]]*Table1[[#This Row],[PRICEEACH]]</f>
        <v>3222</v>
      </c>
    </row>
    <row r="2521" spans="1:26" hidden="1" x14ac:dyDescent="0.35">
      <c r="A2521">
        <v>10221</v>
      </c>
      <c r="B2521">
        <v>23</v>
      </c>
      <c r="C2521" s="3">
        <v>97</v>
      </c>
      <c r="D2521">
        <v>4</v>
      </c>
      <c r="E2521" s="3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 s="3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  <c r="Z2521" s="3">
        <f>Table1[[#This Row],[QUANTITYORDERED]]*Table1[[#This Row],[PRICEEACH]]</f>
        <v>2231</v>
      </c>
    </row>
    <row r="2522" spans="1:26" hidden="1" x14ac:dyDescent="0.35">
      <c r="A2522">
        <v>10232</v>
      </c>
      <c r="B2522">
        <v>26</v>
      </c>
      <c r="C2522" s="3">
        <v>88.34</v>
      </c>
      <c r="D2522">
        <v>7</v>
      </c>
      <c r="E2522" s="3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 s="3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  <c r="Z2522" s="3">
        <f>Table1[[#This Row],[QUANTITYORDERED]]*Table1[[#This Row],[PRICEEACH]]</f>
        <v>2296.84</v>
      </c>
    </row>
    <row r="2523" spans="1:26" hidden="1" x14ac:dyDescent="0.35">
      <c r="A2523">
        <v>10248</v>
      </c>
      <c r="B2523">
        <v>40</v>
      </c>
      <c r="C2523" s="3">
        <v>100</v>
      </c>
      <c r="D2523">
        <v>13</v>
      </c>
      <c r="E2523" s="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 s="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  <c r="Z2523" s="3">
        <f>Table1[[#This Row],[QUANTITYORDERED]]*Table1[[#This Row],[PRICEEACH]]</f>
        <v>4000</v>
      </c>
    </row>
    <row r="2524" spans="1:26" hidden="1" x14ac:dyDescent="0.35">
      <c r="A2524">
        <v>10273</v>
      </c>
      <c r="B2524">
        <v>21</v>
      </c>
      <c r="C2524" s="3">
        <v>100</v>
      </c>
      <c r="D2524">
        <v>14</v>
      </c>
      <c r="E2524" s="3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 s="3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  <c r="Z2524" s="3">
        <f>Table1[[#This Row],[QUANTITYORDERED]]*Table1[[#This Row],[PRICEEACH]]</f>
        <v>2100</v>
      </c>
    </row>
    <row r="2525" spans="1:26" hidden="1" x14ac:dyDescent="0.35">
      <c r="A2525">
        <v>10282</v>
      </c>
      <c r="B2525">
        <v>43</v>
      </c>
      <c r="C2525" s="3">
        <v>86.61</v>
      </c>
      <c r="D2525">
        <v>2</v>
      </c>
      <c r="E2525" s="3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 s="3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  <c r="Z2525" s="3">
        <f>Table1[[#This Row],[QUANTITYORDERED]]*Table1[[#This Row],[PRICEEACH]]</f>
        <v>3724.23</v>
      </c>
    </row>
    <row r="2526" spans="1:26" hidden="1" x14ac:dyDescent="0.35">
      <c r="A2526">
        <v>10293</v>
      </c>
      <c r="B2526">
        <v>29</v>
      </c>
      <c r="C2526" s="3">
        <v>71.89</v>
      </c>
      <c r="D2526">
        <v>5</v>
      </c>
      <c r="E2526" s="3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 s="3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  <c r="Z2526" s="3">
        <f>Table1[[#This Row],[QUANTITYORDERED]]*Table1[[#This Row],[PRICEEACH]]</f>
        <v>2084.81</v>
      </c>
    </row>
    <row r="2527" spans="1:26" hidden="1" x14ac:dyDescent="0.35">
      <c r="A2527">
        <v>10306</v>
      </c>
      <c r="B2527">
        <v>38</v>
      </c>
      <c r="C2527" s="3">
        <v>91.81</v>
      </c>
      <c r="D2527">
        <v>10</v>
      </c>
      <c r="E2527" s="3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 s="3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  <c r="Z2527" s="3">
        <f>Table1[[#This Row],[QUANTITYORDERED]]*Table1[[#This Row],[PRICEEACH]]</f>
        <v>3488.78</v>
      </c>
    </row>
    <row r="2528" spans="1:26" hidden="1" x14ac:dyDescent="0.35">
      <c r="A2528">
        <v>10314</v>
      </c>
      <c r="B2528">
        <v>23</v>
      </c>
      <c r="C2528" s="3">
        <v>76.22</v>
      </c>
      <c r="D2528">
        <v>2</v>
      </c>
      <c r="E2528" s="3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 s="3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  <c r="Z2528" s="3">
        <f>Table1[[#This Row],[QUANTITYORDERED]]*Table1[[#This Row],[PRICEEACH]]</f>
        <v>1753.06</v>
      </c>
    </row>
    <row r="2529" spans="1:26" hidden="1" x14ac:dyDescent="0.35">
      <c r="A2529">
        <v>10327</v>
      </c>
      <c r="B2529">
        <v>20</v>
      </c>
      <c r="C2529" s="3">
        <v>100</v>
      </c>
      <c r="D2529">
        <v>7</v>
      </c>
      <c r="E2529" s="3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 s="3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  <c r="Z2529" s="3">
        <f>Table1[[#This Row],[QUANTITYORDERED]]*Table1[[#This Row],[PRICEEACH]]</f>
        <v>2000</v>
      </c>
    </row>
    <row r="2530" spans="1:26" hidden="1" x14ac:dyDescent="0.35">
      <c r="A2530">
        <v>10337</v>
      </c>
      <c r="B2530">
        <v>36</v>
      </c>
      <c r="C2530" s="3">
        <v>70.3</v>
      </c>
      <c r="D2530">
        <v>9</v>
      </c>
      <c r="E2530" s="3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 s="3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  <c r="Z2530" s="3">
        <f>Table1[[#This Row],[QUANTITYORDERED]]*Table1[[#This Row],[PRICEEACH]]</f>
        <v>2530.7999999999997</v>
      </c>
    </row>
    <row r="2531" spans="1:26" hidden="1" x14ac:dyDescent="0.35">
      <c r="A2531">
        <v>10350</v>
      </c>
      <c r="B2531">
        <v>28</v>
      </c>
      <c r="C2531" s="3">
        <v>100</v>
      </c>
      <c r="D2531">
        <v>4</v>
      </c>
      <c r="E2531" s="3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 s="3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  <c r="Z2531" s="3">
        <f>Table1[[#This Row],[QUANTITYORDERED]]*Table1[[#This Row],[PRICEEACH]]</f>
        <v>2800</v>
      </c>
    </row>
    <row r="2532" spans="1:26" hidden="1" x14ac:dyDescent="0.35">
      <c r="A2532">
        <v>10372</v>
      </c>
      <c r="B2532">
        <v>44</v>
      </c>
      <c r="C2532" s="3">
        <v>100</v>
      </c>
      <c r="D2532">
        <v>2</v>
      </c>
      <c r="E2532" s="3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 s="3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  <c r="Z2532" s="3">
        <f>Table1[[#This Row],[QUANTITYORDERED]]*Table1[[#This Row],[PRICEEACH]]</f>
        <v>4400</v>
      </c>
    </row>
    <row r="2533" spans="1:26" hidden="1" x14ac:dyDescent="0.35">
      <c r="A2533">
        <v>10384</v>
      </c>
      <c r="B2533">
        <v>49</v>
      </c>
      <c r="C2533" s="3">
        <v>100</v>
      </c>
      <c r="D2533">
        <v>1</v>
      </c>
      <c r="E2533" s="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 s="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  <c r="Z2533" s="3">
        <f>Table1[[#This Row],[QUANTITYORDERED]]*Table1[[#This Row],[PRICEEACH]]</f>
        <v>4900</v>
      </c>
    </row>
    <row r="2534" spans="1:26" hidden="1" x14ac:dyDescent="0.35">
      <c r="A2534">
        <v>10397</v>
      </c>
      <c r="B2534">
        <v>32</v>
      </c>
      <c r="C2534" s="3">
        <v>80.55</v>
      </c>
      <c r="D2534">
        <v>5</v>
      </c>
      <c r="E2534" s="3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 s="3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  <c r="Z2534" s="3">
        <f>Table1[[#This Row],[QUANTITYORDERED]]*Table1[[#This Row],[PRICEEACH]]</f>
        <v>2577.6</v>
      </c>
    </row>
    <row r="2535" spans="1:26" hidden="1" x14ac:dyDescent="0.35">
      <c r="A2535">
        <v>10414</v>
      </c>
      <c r="B2535">
        <v>34</v>
      </c>
      <c r="C2535" s="3">
        <v>100</v>
      </c>
      <c r="D2535">
        <v>13</v>
      </c>
      <c r="E2535" s="3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 s="3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  <c r="Z2535" s="3">
        <f>Table1[[#This Row],[QUANTITYORDERED]]*Table1[[#This Row],[PRICEEACH]]</f>
        <v>3400</v>
      </c>
    </row>
    <row r="2536" spans="1:26" hidden="1" x14ac:dyDescent="0.35">
      <c r="A2536">
        <v>10106</v>
      </c>
      <c r="B2536">
        <v>30</v>
      </c>
      <c r="C2536" s="3">
        <v>100</v>
      </c>
      <c r="D2536">
        <v>16</v>
      </c>
      <c r="E2536" s="3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 s="3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  <c r="Z2536" s="3">
        <f>Table1[[#This Row],[QUANTITYORDERED]]*Table1[[#This Row],[PRICEEACH]]</f>
        <v>3000</v>
      </c>
    </row>
    <row r="2537" spans="1:26" hidden="1" x14ac:dyDescent="0.35">
      <c r="A2537">
        <v>10119</v>
      </c>
      <c r="B2537">
        <v>29</v>
      </c>
      <c r="C2537" s="3">
        <v>94.14</v>
      </c>
      <c r="D2537">
        <v>7</v>
      </c>
      <c r="E2537" s="3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 s="3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  <c r="Z2537" s="3">
        <f>Table1[[#This Row],[QUANTITYORDERED]]*Table1[[#This Row],[PRICEEACH]]</f>
        <v>2730.06</v>
      </c>
    </row>
    <row r="2538" spans="1:26" hidden="1" x14ac:dyDescent="0.35">
      <c r="A2538">
        <v>10131</v>
      </c>
      <c r="B2538">
        <v>22</v>
      </c>
      <c r="C2538" s="3">
        <v>85.99</v>
      </c>
      <c r="D2538">
        <v>8</v>
      </c>
      <c r="E2538" s="3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 s="3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  <c r="Z2538" s="3">
        <f>Table1[[#This Row],[QUANTITYORDERED]]*Table1[[#This Row],[PRICEEACH]]</f>
        <v>1891.78</v>
      </c>
    </row>
    <row r="2539" spans="1:26" hidden="1" x14ac:dyDescent="0.35">
      <c r="A2539">
        <v>10143</v>
      </c>
      <c r="B2539">
        <v>26</v>
      </c>
      <c r="C2539" s="3">
        <v>100</v>
      </c>
      <c r="D2539">
        <v>11</v>
      </c>
      <c r="E2539" s="3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 s="3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  <c r="Z2539" s="3">
        <f>Table1[[#This Row],[QUANTITYORDERED]]*Table1[[#This Row],[PRICEEACH]]</f>
        <v>2600</v>
      </c>
    </row>
    <row r="2540" spans="1:26" hidden="1" x14ac:dyDescent="0.35">
      <c r="A2540">
        <v>10155</v>
      </c>
      <c r="B2540">
        <v>32</v>
      </c>
      <c r="C2540" s="3">
        <v>91.43</v>
      </c>
      <c r="D2540">
        <v>9</v>
      </c>
      <c r="E2540" s="3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 s="3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  <c r="Z2540" s="3">
        <f>Table1[[#This Row],[QUANTITYORDERED]]*Table1[[#This Row],[PRICEEACH]]</f>
        <v>2925.76</v>
      </c>
    </row>
    <row r="2541" spans="1:26" hidden="1" x14ac:dyDescent="0.35">
      <c r="A2541">
        <v>10167</v>
      </c>
      <c r="B2541">
        <v>29</v>
      </c>
      <c r="C2541" s="3">
        <v>100</v>
      </c>
      <c r="D2541">
        <v>5</v>
      </c>
      <c r="E2541" s="3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 s="3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  <c r="Z2541" s="3">
        <f>Table1[[#This Row],[QUANTITYORDERED]]*Table1[[#This Row],[PRICEEACH]]</f>
        <v>2900</v>
      </c>
    </row>
    <row r="2542" spans="1:26" hidden="1" x14ac:dyDescent="0.35">
      <c r="A2542">
        <v>10178</v>
      </c>
      <c r="B2542">
        <v>34</v>
      </c>
      <c r="C2542" s="3">
        <v>96.86</v>
      </c>
      <c r="D2542">
        <v>8</v>
      </c>
      <c r="E2542" s="3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 s="3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  <c r="Z2542" s="3">
        <f>Table1[[#This Row],[QUANTITYORDERED]]*Table1[[#This Row],[PRICEEACH]]</f>
        <v>3293.24</v>
      </c>
    </row>
    <row r="2543" spans="1:26" hidden="1" x14ac:dyDescent="0.35">
      <c r="A2543">
        <v>10186</v>
      </c>
      <c r="B2543">
        <v>24</v>
      </c>
      <c r="C2543" s="3">
        <v>99.57</v>
      </c>
      <c r="D2543">
        <v>5</v>
      </c>
      <c r="E2543" s="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 s="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  <c r="Z2543" s="3">
        <f>Table1[[#This Row],[QUANTITYORDERED]]*Table1[[#This Row],[PRICEEACH]]</f>
        <v>2389.6799999999998</v>
      </c>
    </row>
    <row r="2544" spans="1:26" hidden="1" x14ac:dyDescent="0.35">
      <c r="A2544">
        <v>10197</v>
      </c>
      <c r="B2544">
        <v>24</v>
      </c>
      <c r="C2544" s="3">
        <v>90.52</v>
      </c>
      <c r="D2544">
        <v>2</v>
      </c>
      <c r="E2544" s="3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 s="3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  <c r="Z2544" s="3">
        <f>Table1[[#This Row],[QUANTITYORDERED]]*Table1[[#This Row],[PRICEEACH]]</f>
        <v>2172.48</v>
      </c>
    </row>
    <row r="2545" spans="1:26" hidden="1" x14ac:dyDescent="0.35">
      <c r="A2545">
        <v>10209</v>
      </c>
      <c r="B2545">
        <v>33</v>
      </c>
      <c r="C2545" s="3">
        <v>88.71</v>
      </c>
      <c r="D2545">
        <v>4</v>
      </c>
      <c r="E2545" s="3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 s="3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  <c r="Z2545" s="3">
        <f>Table1[[#This Row],[QUANTITYORDERED]]*Table1[[#This Row],[PRICEEACH]]</f>
        <v>2927.43</v>
      </c>
    </row>
    <row r="2546" spans="1:26" hidden="1" x14ac:dyDescent="0.35">
      <c r="A2546">
        <v>10222</v>
      </c>
      <c r="B2546">
        <v>26</v>
      </c>
      <c r="C2546" s="3">
        <v>100</v>
      </c>
      <c r="D2546">
        <v>8</v>
      </c>
      <c r="E2546" s="3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 s="3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  <c r="Z2546" s="3">
        <f>Table1[[#This Row],[QUANTITYORDERED]]*Table1[[#This Row],[PRICEEACH]]</f>
        <v>2600</v>
      </c>
    </row>
    <row r="2547" spans="1:26" hidden="1" x14ac:dyDescent="0.35">
      <c r="A2547">
        <v>10249</v>
      </c>
      <c r="B2547">
        <v>40</v>
      </c>
      <c r="C2547" s="3">
        <v>95.95</v>
      </c>
      <c r="D2547">
        <v>4</v>
      </c>
      <c r="E2547" s="3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 s="3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  <c r="Z2547" s="3">
        <f>Table1[[#This Row],[QUANTITYORDERED]]*Table1[[#This Row],[PRICEEACH]]</f>
        <v>3838</v>
      </c>
    </row>
    <row r="2548" spans="1:26" hidden="1" x14ac:dyDescent="0.35">
      <c r="A2548">
        <v>10262</v>
      </c>
      <c r="B2548">
        <v>44</v>
      </c>
      <c r="C2548" s="3">
        <v>94.14</v>
      </c>
      <c r="D2548">
        <v>13</v>
      </c>
      <c r="E2548" s="3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 s="3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  <c r="Z2548" s="3">
        <f>Table1[[#This Row],[QUANTITYORDERED]]*Table1[[#This Row],[PRICEEACH]]</f>
        <v>4142.16</v>
      </c>
    </row>
    <row r="2549" spans="1:26" hidden="1" x14ac:dyDescent="0.35">
      <c r="A2549">
        <v>10274</v>
      </c>
      <c r="B2549">
        <v>24</v>
      </c>
      <c r="C2549" s="3">
        <v>90.52</v>
      </c>
      <c r="D2549">
        <v>5</v>
      </c>
      <c r="E2549" s="3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 s="3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  <c r="Z2549" s="3">
        <f>Table1[[#This Row],[QUANTITYORDERED]]*Table1[[#This Row],[PRICEEACH]]</f>
        <v>2172.48</v>
      </c>
    </row>
    <row r="2550" spans="1:26" hidden="1" x14ac:dyDescent="0.35">
      <c r="A2550">
        <v>10283</v>
      </c>
      <c r="B2550">
        <v>20</v>
      </c>
      <c r="C2550" s="3">
        <v>94.14</v>
      </c>
      <c r="D2550">
        <v>2</v>
      </c>
      <c r="E2550" s="3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 s="3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  <c r="Z2550" s="3">
        <f>Table1[[#This Row],[QUANTITYORDERED]]*Table1[[#This Row],[PRICEEACH]]</f>
        <v>1882.8</v>
      </c>
    </row>
    <row r="2551" spans="1:26" hidden="1" x14ac:dyDescent="0.35">
      <c r="A2551">
        <v>10296</v>
      </c>
      <c r="B2551">
        <v>34</v>
      </c>
      <c r="C2551" s="3">
        <v>100</v>
      </c>
      <c r="D2551">
        <v>11</v>
      </c>
      <c r="E2551" s="3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 s="3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  <c r="Z2551" s="3">
        <f>Table1[[#This Row],[QUANTITYORDERED]]*Table1[[#This Row],[PRICEEACH]]</f>
        <v>3400</v>
      </c>
    </row>
    <row r="2552" spans="1:26" hidden="1" x14ac:dyDescent="0.35">
      <c r="A2552">
        <v>10307</v>
      </c>
      <c r="B2552">
        <v>34</v>
      </c>
      <c r="C2552" s="3">
        <v>97.76</v>
      </c>
      <c r="D2552">
        <v>5</v>
      </c>
      <c r="E2552" s="3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 s="3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  <c r="Z2552" s="3">
        <f>Table1[[#This Row],[QUANTITYORDERED]]*Table1[[#This Row],[PRICEEACH]]</f>
        <v>3323.84</v>
      </c>
    </row>
    <row r="2553" spans="1:26" hidden="1" x14ac:dyDescent="0.35">
      <c r="A2553">
        <v>10316</v>
      </c>
      <c r="B2553">
        <v>45</v>
      </c>
      <c r="C2553" s="3">
        <v>93.24</v>
      </c>
      <c r="D2553">
        <v>13</v>
      </c>
      <c r="E2553" s="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 s="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  <c r="Z2553" s="3">
        <f>Table1[[#This Row],[QUANTITYORDERED]]*Table1[[#This Row],[PRICEEACH]]</f>
        <v>4195.8</v>
      </c>
    </row>
    <row r="2554" spans="1:26" hidden="1" x14ac:dyDescent="0.35">
      <c r="A2554">
        <v>10328</v>
      </c>
      <c r="B2554">
        <v>41</v>
      </c>
      <c r="C2554" s="3">
        <v>100</v>
      </c>
      <c r="D2554">
        <v>9</v>
      </c>
      <c r="E2554" s="3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 s="3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  <c r="Z2554" s="3">
        <f>Table1[[#This Row],[QUANTITYORDERED]]*Table1[[#This Row],[PRICEEACH]]</f>
        <v>4100</v>
      </c>
    </row>
    <row r="2555" spans="1:26" hidden="1" x14ac:dyDescent="0.35">
      <c r="A2555">
        <v>10339</v>
      </c>
      <c r="B2555">
        <v>55</v>
      </c>
      <c r="C2555" s="3">
        <v>71.25</v>
      </c>
      <c r="D2555">
        <v>15</v>
      </c>
      <c r="E2555" s="3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 s="3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  <c r="Z2555" s="3">
        <f>Table1[[#This Row],[QUANTITYORDERED]]*Table1[[#This Row],[PRICEEACH]]</f>
        <v>3918.75</v>
      </c>
    </row>
    <row r="2556" spans="1:26" hidden="1" x14ac:dyDescent="0.35">
      <c r="A2556">
        <v>10352</v>
      </c>
      <c r="B2556">
        <v>23</v>
      </c>
      <c r="C2556" s="3">
        <v>100</v>
      </c>
      <c r="D2556">
        <v>3</v>
      </c>
      <c r="E2556" s="3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 s="3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  <c r="Z2556" s="3">
        <f>Table1[[#This Row],[QUANTITYORDERED]]*Table1[[#This Row],[PRICEEACH]]</f>
        <v>2300</v>
      </c>
    </row>
    <row r="2557" spans="1:26" hidden="1" x14ac:dyDescent="0.35">
      <c r="A2557">
        <v>10361</v>
      </c>
      <c r="B2557">
        <v>24</v>
      </c>
      <c r="C2557" s="3">
        <v>45.39</v>
      </c>
      <c r="D2557">
        <v>14</v>
      </c>
      <c r="E2557" s="3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 s="3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  <c r="Z2557" s="3">
        <f>Table1[[#This Row],[QUANTITYORDERED]]*Table1[[#This Row],[PRICEEACH]]</f>
        <v>1089.3600000000001</v>
      </c>
    </row>
    <row r="2558" spans="1:26" hidden="1" x14ac:dyDescent="0.35">
      <c r="A2558">
        <v>10373</v>
      </c>
      <c r="B2558">
        <v>32</v>
      </c>
      <c r="C2558" s="3">
        <v>84.41</v>
      </c>
      <c r="D2558">
        <v>15</v>
      </c>
      <c r="E2558" s="3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 s="3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  <c r="Z2558" s="3">
        <f>Table1[[#This Row],[QUANTITYORDERED]]*Table1[[#This Row],[PRICEEACH]]</f>
        <v>2701.12</v>
      </c>
    </row>
    <row r="2559" spans="1:26" hidden="1" x14ac:dyDescent="0.35">
      <c r="A2559">
        <v>10386</v>
      </c>
      <c r="B2559">
        <v>29</v>
      </c>
      <c r="C2559" s="3">
        <v>85.76</v>
      </c>
      <c r="D2559">
        <v>13</v>
      </c>
      <c r="E2559" s="3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 s="3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  <c r="Z2559" s="3">
        <f>Table1[[#This Row],[QUANTITYORDERED]]*Table1[[#This Row],[PRICEEACH]]</f>
        <v>2487.04</v>
      </c>
    </row>
    <row r="2560" spans="1:26" hidden="1" x14ac:dyDescent="0.35">
      <c r="A2560">
        <v>10398</v>
      </c>
      <c r="B2560">
        <v>36</v>
      </c>
      <c r="C2560" s="3">
        <v>100</v>
      </c>
      <c r="D2560">
        <v>7</v>
      </c>
      <c r="E2560" s="3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 s="3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  <c r="Z2560" s="3">
        <f>Table1[[#This Row],[QUANTITYORDERED]]*Table1[[#This Row],[PRICEEACH]]</f>
        <v>3600</v>
      </c>
    </row>
    <row r="2561" spans="1:26" hidden="1" x14ac:dyDescent="0.35">
      <c r="A2561">
        <v>10400</v>
      </c>
      <c r="B2561">
        <v>46</v>
      </c>
      <c r="C2561" s="3">
        <v>87.8</v>
      </c>
      <c r="D2561">
        <v>5</v>
      </c>
      <c r="E2561" s="3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 s="3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  <c r="Z2561" s="3">
        <f>Table1[[#This Row],[QUANTITYORDERED]]*Table1[[#This Row],[PRICEEACH]]</f>
        <v>4038.7999999999997</v>
      </c>
    </row>
    <row r="2562" spans="1:26" hidden="1" x14ac:dyDescent="0.35">
      <c r="A2562">
        <v>10415</v>
      </c>
      <c r="B2562">
        <v>32</v>
      </c>
      <c r="C2562" s="3">
        <v>95.95</v>
      </c>
      <c r="D2562">
        <v>4</v>
      </c>
      <c r="E2562" s="3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 s="3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  <c r="Z2562" s="3">
        <f>Table1[[#This Row],[QUANTITYORDERED]]*Table1[[#This Row],[PRICEEACH]]</f>
        <v>3070.4</v>
      </c>
    </row>
    <row r="2563" spans="1:26" hidden="1" x14ac:dyDescent="0.35">
      <c r="A2563">
        <v>10106</v>
      </c>
      <c r="B2563">
        <v>34</v>
      </c>
      <c r="C2563" s="3">
        <v>100</v>
      </c>
      <c r="D2563">
        <v>9</v>
      </c>
      <c r="E2563" s="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 s="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  <c r="Z2563" s="3">
        <f>Table1[[#This Row],[QUANTITYORDERED]]*Table1[[#This Row],[PRICEEACH]]</f>
        <v>3400</v>
      </c>
    </row>
    <row r="2564" spans="1:26" hidden="1" x14ac:dyDescent="0.35">
      <c r="A2564">
        <v>10120</v>
      </c>
      <c r="B2564">
        <v>24</v>
      </c>
      <c r="C2564" s="3">
        <v>100</v>
      </c>
      <c r="D2564">
        <v>15</v>
      </c>
      <c r="E2564" s="3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 s="3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  <c r="Z2564" s="3">
        <f>Table1[[#This Row],[QUANTITYORDERED]]*Table1[[#This Row],[PRICEEACH]]</f>
        <v>2400</v>
      </c>
    </row>
    <row r="2565" spans="1:26" hidden="1" x14ac:dyDescent="0.35">
      <c r="A2565">
        <v>10131</v>
      </c>
      <c r="B2565">
        <v>40</v>
      </c>
      <c r="C2565" s="3">
        <v>100</v>
      </c>
      <c r="D2565">
        <v>1</v>
      </c>
      <c r="E2565" s="3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 s="3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  <c r="Z2565" s="3">
        <f>Table1[[#This Row],[QUANTITYORDERED]]*Table1[[#This Row],[PRICEEACH]]</f>
        <v>4000</v>
      </c>
    </row>
    <row r="2566" spans="1:26" hidden="1" x14ac:dyDescent="0.35">
      <c r="A2566">
        <v>10143</v>
      </c>
      <c r="B2566">
        <v>26</v>
      </c>
      <c r="C2566" s="3">
        <v>82.77</v>
      </c>
      <c r="D2566">
        <v>4</v>
      </c>
      <c r="E2566" s="3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 s="3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  <c r="Z2566" s="3">
        <f>Table1[[#This Row],[QUANTITYORDERED]]*Table1[[#This Row],[PRICEEACH]]</f>
        <v>2152.02</v>
      </c>
    </row>
    <row r="2567" spans="1:26" hidden="1" x14ac:dyDescent="0.35">
      <c r="A2567">
        <v>10155</v>
      </c>
      <c r="B2567">
        <v>20</v>
      </c>
      <c r="C2567" s="3">
        <v>100</v>
      </c>
      <c r="D2567">
        <v>2</v>
      </c>
      <c r="E2567" s="3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 s="3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  <c r="Z2567" s="3">
        <f>Table1[[#This Row],[QUANTITYORDERED]]*Table1[[#This Row],[PRICEEACH]]</f>
        <v>2000</v>
      </c>
    </row>
    <row r="2568" spans="1:26" hidden="1" x14ac:dyDescent="0.35">
      <c r="A2568">
        <v>10168</v>
      </c>
      <c r="B2568">
        <v>31</v>
      </c>
      <c r="C2568" s="3">
        <v>100</v>
      </c>
      <c r="D2568">
        <v>16</v>
      </c>
      <c r="E2568" s="3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 s="3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  <c r="Z2568" s="3">
        <f>Table1[[#This Row],[QUANTITYORDERED]]*Table1[[#This Row],[PRICEEACH]]</f>
        <v>3100</v>
      </c>
    </row>
    <row r="2569" spans="1:26" hidden="1" x14ac:dyDescent="0.35">
      <c r="A2569">
        <v>10178</v>
      </c>
      <c r="B2569">
        <v>22</v>
      </c>
      <c r="C2569" s="3">
        <v>87.75</v>
      </c>
      <c r="D2569">
        <v>1</v>
      </c>
      <c r="E2569" s="3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 s="3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  <c r="Z2569" s="3">
        <f>Table1[[#This Row],[QUANTITYORDERED]]*Table1[[#This Row],[PRICEEACH]]</f>
        <v>1930.5</v>
      </c>
    </row>
    <row r="2570" spans="1:26" hidden="1" x14ac:dyDescent="0.35">
      <c r="A2570">
        <v>10198</v>
      </c>
      <c r="B2570">
        <v>42</v>
      </c>
      <c r="C2570" s="3">
        <v>100</v>
      </c>
      <c r="D2570">
        <v>1</v>
      </c>
      <c r="E2570" s="3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 s="3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  <c r="Z2570" s="3">
        <f>Table1[[#This Row],[QUANTITYORDERED]]*Table1[[#This Row],[PRICEEACH]]</f>
        <v>4200</v>
      </c>
    </row>
    <row r="2571" spans="1:26" hidden="1" x14ac:dyDescent="0.35">
      <c r="A2571">
        <v>10210</v>
      </c>
      <c r="B2571">
        <v>26</v>
      </c>
      <c r="C2571" s="3">
        <v>99.72</v>
      </c>
      <c r="D2571">
        <v>14</v>
      </c>
      <c r="E2571" s="3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 s="3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  <c r="Z2571" s="3">
        <f>Table1[[#This Row],[QUANTITYORDERED]]*Table1[[#This Row],[PRICEEACH]]</f>
        <v>2592.7199999999998</v>
      </c>
    </row>
    <row r="2572" spans="1:26" hidden="1" x14ac:dyDescent="0.35">
      <c r="A2572">
        <v>10222</v>
      </c>
      <c r="B2572">
        <v>37</v>
      </c>
      <c r="C2572" s="3">
        <v>87.75</v>
      </c>
      <c r="D2572">
        <v>1</v>
      </c>
      <c r="E2572" s="3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 s="3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  <c r="Z2572" s="3">
        <f>Table1[[#This Row],[QUANTITYORDERED]]*Table1[[#This Row],[PRICEEACH]]</f>
        <v>3246.75</v>
      </c>
    </row>
    <row r="2573" spans="1:26" hidden="1" x14ac:dyDescent="0.35">
      <c r="A2573">
        <v>10235</v>
      </c>
      <c r="B2573">
        <v>38</v>
      </c>
      <c r="C2573" s="3">
        <v>88.75</v>
      </c>
      <c r="D2573">
        <v>10</v>
      </c>
      <c r="E2573" s="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 s="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  <c r="Z2573" s="3">
        <f>Table1[[#This Row],[QUANTITYORDERED]]*Table1[[#This Row],[PRICEEACH]]</f>
        <v>3372.5</v>
      </c>
    </row>
    <row r="2574" spans="1:26" hidden="1" x14ac:dyDescent="0.35">
      <c r="A2574">
        <v>10250</v>
      </c>
      <c r="B2574">
        <v>35</v>
      </c>
      <c r="C2574" s="3">
        <v>100</v>
      </c>
      <c r="D2574">
        <v>11</v>
      </c>
      <c r="E2574" s="3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 s="3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  <c r="Z2574" s="3">
        <f>Table1[[#This Row],[QUANTITYORDERED]]*Table1[[#This Row],[PRICEEACH]]</f>
        <v>3500</v>
      </c>
    </row>
    <row r="2575" spans="1:26" hidden="1" x14ac:dyDescent="0.35">
      <c r="A2575">
        <v>10262</v>
      </c>
      <c r="B2575">
        <v>33</v>
      </c>
      <c r="C2575" s="3">
        <v>90.75</v>
      </c>
      <c r="D2575">
        <v>6</v>
      </c>
      <c r="E2575" s="3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 s="3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  <c r="Z2575" s="3">
        <f>Table1[[#This Row],[QUANTITYORDERED]]*Table1[[#This Row],[PRICEEACH]]</f>
        <v>2994.75</v>
      </c>
    </row>
    <row r="2576" spans="1:26" hidden="1" x14ac:dyDescent="0.35">
      <c r="A2576">
        <v>10275</v>
      </c>
      <c r="B2576">
        <v>39</v>
      </c>
      <c r="C2576" s="3">
        <v>100</v>
      </c>
      <c r="D2576">
        <v>16</v>
      </c>
      <c r="E2576" s="3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 s="3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  <c r="Z2576" s="3">
        <f>Table1[[#This Row],[QUANTITYORDERED]]*Table1[[#This Row],[PRICEEACH]]</f>
        <v>3900</v>
      </c>
    </row>
    <row r="2577" spans="1:26" hidden="1" x14ac:dyDescent="0.35">
      <c r="A2577">
        <v>10284</v>
      </c>
      <c r="B2577">
        <v>45</v>
      </c>
      <c r="C2577" s="3">
        <v>100</v>
      </c>
      <c r="D2577">
        <v>8</v>
      </c>
      <c r="E2577" s="3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 s="3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  <c r="Z2577" s="3">
        <f>Table1[[#This Row],[QUANTITYORDERED]]*Table1[[#This Row],[PRICEEACH]]</f>
        <v>4500</v>
      </c>
    </row>
    <row r="2578" spans="1:26" hidden="1" x14ac:dyDescent="0.35">
      <c r="A2578">
        <v>10296</v>
      </c>
      <c r="B2578">
        <v>24</v>
      </c>
      <c r="C2578" s="3">
        <v>100</v>
      </c>
      <c r="D2578">
        <v>4</v>
      </c>
      <c r="E2578" s="3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 s="3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  <c r="Z2578" s="3">
        <f>Table1[[#This Row],[QUANTITYORDERED]]*Table1[[#This Row],[PRICEEACH]]</f>
        <v>2400</v>
      </c>
    </row>
    <row r="2579" spans="1:26" hidden="1" x14ac:dyDescent="0.35">
      <c r="A2579">
        <v>10308</v>
      </c>
      <c r="B2579">
        <v>35</v>
      </c>
      <c r="C2579" s="3">
        <v>88.75</v>
      </c>
      <c r="D2579">
        <v>14</v>
      </c>
      <c r="E2579" s="3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 s="3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  <c r="Z2579" s="3">
        <f>Table1[[#This Row],[QUANTITYORDERED]]*Table1[[#This Row],[PRICEEACH]]</f>
        <v>3106.25</v>
      </c>
    </row>
    <row r="2580" spans="1:26" hidden="1" x14ac:dyDescent="0.35">
      <c r="A2580">
        <v>10316</v>
      </c>
      <c r="B2580">
        <v>23</v>
      </c>
      <c r="C2580" s="3">
        <v>100</v>
      </c>
      <c r="D2580">
        <v>6</v>
      </c>
      <c r="E2580" s="3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 s="3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  <c r="Z2580" s="3">
        <f>Table1[[#This Row],[QUANTITYORDERED]]*Table1[[#This Row],[PRICEEACH]]</f>
        <v>2300</v>
      </c>
    </row>
    <row r="2581" spans="1:26" hidden="1" x14ac:dyDescent="0.35">
      <c r="A2581">
        <v>10328</v>
      </c>
      <c r="B2581">
        <v>37</v>
      </c>
      <c r="C2581" s="3">
        <v>100</v>
      </c>
      <c r="D2581">
        <v>10</v>
      </c>
      <c r="E2581" s="3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 s="3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  <c r="Z2581" s="3">
        <f>Table1[[#This Row],[QUANTITYORDERED]]*Table1[[#This Row],[PRICEEACH]]</f>
        <v>3700</v>
      </c>
    </row>
    <row r="2582" spans="1:26" hidden="1" x14ac:dyDescent="0.35">
      <c r="A2582">
        <v>10340</v>
      </c>
      <c r="B2582">
        <v>55</v>
      </c>
      <c r="C2582" s="3">
        <v>87.75</v>
      </c>
      <c r="D2582">
        <v>7</v>
      </c>
      <c r="E2582" s="3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 s="3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  <c r="Z2582" s="3">
        <f>Table1[[#This Row],[QUANTITYORDERED]]*Table1[[#This Row],[PRICEEACH]]</f>
        <v>4826.25</v>
      </c>
    </row>
    <row r="2583" spans="1:26" hidden="1" x14ac:dyDescent="0.35">
      <c r="A2583">
        <v>10352</v>
      </c>
      <c r="B2583">
        <v>49</v>
      </c>
      <c r="C2583" s="3">
        <v>100</v>
      </c>
      <c r="D2583">
        <v>2</v>
      </c>
      <c r="E2583" s="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 s="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  <c r="Z2583" s="3">
        <f>Table1[[#This Row],[QUANTITYORDERED]]*Table1[[#This Row],[PRICEEACH]]</f>
        <v>4900</v>
      </c>
    </row>
    <row r="2584" spans="1:26" hidden="1" x14ac:dyDescent="0.35">
      <c r="A2584">
        <v>10361</v>
      </c>
      <c r="B2584">
        <v>26</v>
      </c>
      <c r="C2584" s="3">
        <v>100</v>
      </c>
      <c r="D2584">
        <v>9</v>
      </c>
      <c r="E2584" s="3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 s="3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  <c r="Z2584" s="3">
        <f>Table1[[#This Row],[QUANTITYORDERED]]*Table1[[#This Row],[PRICEEACH]]</f>
        <v>2600</v>
      </c>
    </row>
    <row r="2585" spans="1:26" hidden="1" x14ac:dyDescent="0.35">
      <c r="A2585">
        <v>10375</v>
      </c>
      <c r="B2585">
        <v>33</v>
      </c>
      <c r="C2585" s="3">
        <v>100</v>
      </c>
      <c r="D2585">
        <v>1</v>
      </c>
      <c r="E2585" s="3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 s="3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  <c r="Z2585" s="3">
        <f>Table1[[#This Row],[QUANTITYORDERED]]*Table1[[#This Row],[PRICEEACH]]</f>
        <v>3300</v>
      </c>
    </row>
    <row r="2586" spans="1:26" hidden="1" x14ac:dyDescent="0.35">
      <c r="A2586">
        <v>10386</v>
      </c>
      <c r="B2586">
        <v>37</v>
      </c>
      <c r="C2586" s="3">
        <v>83.84</v>
      </c>
      <c r="D2586">
        <v>14</v>
      </c>
      <c r="E2586" s="3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 s="3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  <c r="Z2586" s="3">
        <f>Table1[[#This Row],[QUANTITYORDERED]]*Table1[[#This Row],[PRICEEACH]]</f>
        <v>3102.08</v>
      </c>
    </row>
    <row r="2587" spans="1:26" hidden="1" x14ac:dyDescent="0.35">
      <c r="A2587">
        <v>10398</v>
      </c>
      <c r="B2587">
        <v>22</v>
      </c>
      <c r="C2587" s="3">
        <v>86.76</v>
      </c>
      <c r="D2587">
        <v>8</v>
      </c>
      <c r="E2587" s="3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 s="3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  <c r="Z2587" s="3">
        <f>Table1[[#This Row],[QUANTITYORDERED]]*Table1[[#This Row],[PRICEEACH]]</f>
        <v>1908.72</v>
      </c>
    </row>
    <row r="2588" spans="1:26" hidden="1" x14ac:dyDescent="0.35">
      <c r="A2588">
        <v>10401</v>
      </c>
      <c r="B2588">
        <v>85</v>
      </c>
      <c r="C2588" s="3">
        <v>88.75</v>
      </c>
      <c r="D2588">
        <v>10</v>
      </c>
      <c r="E2588" s="3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 s="3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  <c r="Z2588" s="3">
        <f>Table1[[#This Row],[QUANTITYORDERED]]*Table1[[#This Row],[PRICEEACH]]</f>
        <v>7543.75</v>
      </c>
    </row>
    <row r="2589" spans="1:26" hidden="1" x14ac:dyDescent="0.35">
      <c r="A2589">
        <v>10416</v>
      </c>
      <c r="B2589">
        <v>22</v>
      </c>
      <c r="C2589" s="3">
        <v>100</v>
      </c>
      <c r="D2589">
        <v>11</v>
      </c>
      <c r="E2589" s="3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 s="3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  <c r="Z2589" s="3">
        <f>Table1[[#This Row],[QUANTITYORDERED]]*Table1[[#This Row],[PRICEEACH]]</f>
        <v>2200</v>
      </c>
    </row>
    <row r="2590" spans="1:26" hidden="1" x14ac:dyDescent="0.35">
      <c r="A2590">
        <v>10105</v>
      </c>
      <c r="B2590">
        <v>31</v>
      </c>
      <c r="C2590" s="3">
        <v>65.77</v>
      </c>
      <c r="D2590">
        <v>3</v>
      </c>
      <c r="E2590" s="3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 s="3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  <c r="Z2590" s="3">
        <f>Table1[[#This Row],[QUANTITYORDERED]]*Table1[[#This Row],[PRICEEACH]]</f>
        <v>2038.87</v>
      </c>
    </row>
    <row r="2591" spans="1:26" hidden="1" x14ac:dyDescent="0.35">
      <c r="A2591">
        <v>10119</v>
      </c>
      <c r="B2591">
        <v>38</v>
      </c>
      <c r="C2591" s="3">
        <v>65.77</v>
      </c>
      <c r="D2591">
        <v>12</v>
      </c>
      <c r="E2591" s="3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 s="3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  <c r="Z2591" s="3">
        <f>Table1[[#This Row],[QUANTITYORDERED]]*Table1[[#This Row],[PRICEEACH]]</f>
        <v>2499.2599999999998</v>
      </c>
    </row>
    <row r="2592" spans="1:26" hidden="1" x14ac:dyDescent="0.35">
      <c r="A2592">
        <v>10129</v>
      </c>
      <c r="B2592">
        <v>45</v>
      </c>
      <c r="C2592" s="3">
        <v>85.29</v>
      </c>
      <c r="D2592">
        <v>3</v>
      </c>
      <c r="E2592" s="3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 s="3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  <c r="Z2592" s="3">
        <f>Table1[[#This Row],[QUANTITYORDERED]]*Table1[[#This Row],[PRICEEACH]]</f>
        <v>3838.05</v>
      </c>
    </row>
    <row r="2593" spans="1:26" hidden="1" x14ac:dyDescent="0.35">
      <c r="A2593">
        <v>10143</v>
      </c>
      <c r="B2593">
        <v>31</v>
      </c>
      <c r="C2593" s="3">
        <v>85.29</v>
      </c>
      <c r="D2593">
        <v>16</v>
      </c>
      <c r="E2593" s="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 s="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  <c r="Z2593" s="3">
        <f>Table1[[#This Row],[QUANTITYORDERED]]*Table1[[#This Row],[PRICEEACH]]</f>
        <v>2643.9900000000002</v>
      </c>
    </row>
    <row r="2594" spans="1:26" hidden="1" x14ac:dyDescent="0.35">
      <c r="A2594">
        <v>10154</v>
      </c>
      <c r="B2594">
        <v>36</v>
      </c>
      <c r="C2594" s="3">
        <v>64.33</v>
      </c>
      <c r="D2594">
        <v>1</v>
      </c>
      <c r="E2594" s="3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 s="3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  <c r="Z2594" s="3">
        <f>Table1[[#This Row],[QUANTITYORDERED]]*Table1[[#This Row],[PRICEEACH]]</f>
        <v>2315.88</v>
      </c>
    </row>
    <row r="2595" spans="1:26" hidden="1" x14ac:dyDescent="0.35">
      <c r="A2595">
        <v>10167</v>
      </c>
      <c r="B2595">
        <v>46</v>
      </c>
      <c r="C2595" s="3">
        <v>70.11</v>
      </c>
      <c r="D2595">
        <v>10</v>
      </c>
      <c r="E2595" s="3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 s="3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  <c r="Z2595" s="3">
        <f>Table1[[#This Row],[QUANTITYORDERED]]*Table1[[#This Row],[PRICEEACH]]</f>
        <v>3225.06</v>
      </c>
    </row>
    <row r="2596" spans="1:26" hidden="1" x14ac:dyDescent="0.35">
      <c r="A2596">
        <v>10177</v>
      </c>
      <c r="B2596">
        <v>32</v>
      </c>
      <c r="C2596" s="3">
        <v>76.62</v>
      </c>
      <c r="D2596">
        <v>1</v>
      </c>
      <c r="E2596" s="3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 s="3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  <c r="Z2596" s="3">
        <f>Table1[[#This Row],[QUANTITYORDERED]]*Table1[[#This Row],[PRICEEACH]]</f>
        <v>2451.84</v>
      </c>
    </row>
    <row r="2597" spans="1:26" hidden="1" x14ac:dyDescent="0.35">
      <c r="A2597">
        <v>10185</v>
      </c>
      <c r="B2597">
        <v>39</v>
      </c>
      <c r="C2597" s="3">
        <v>57.82</v>
      </c>
      <c r="D2597">
        <v>1</v>
      </c>
      <c r="E2597" s="3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 s="3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  <c r="Z2597" s="3">
        <f>Table1[[#This Row],[QUANTITYORDERED]]*Table1[[#This Row],[PRICEEACH]]</f>
        <v>2254.98</v>
      </c>
    </row>
    <row r="2598" spans="1:26" hidden="1" x14ac:dyDescent="0.35">
      <c r="A2598">
        <v>10197</v>
      </c>
      <c r="B2598">
        <v>50</v>
      </c>
      <c r="C2598" s="3">
        <v>78.790000000000006</v>
      </c>
      <c r="D2598">
        <v>7</v>
      </c>
      <c r="E2598" s="3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 s="3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  <c r="Z2598" s="3">
        <f>Table1[[#This Row],[QUANTITYORDERED]]*Table1[[#This Row],[PRICEEACH]]</f>
        <v>3939.5000000000005</v>
      </c>
    </row>
    <row r="2599" spans="1:26" hidden="1" x14ac:dyDescent="0.35">
      <c r="A2599">
        <v>10208</v>
      </c>
      <c r="B2599">
        <v>46</v>
      </c>
      <c r="C2599" s="3">
        <v>74.45</v>
      </c>
      <c r="D2599">
        <v>1</v>
      </c>
      <c r="E2599" s="3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 s="3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  <c r="Z2599" s="3">
        <f>Table1[[#This Row],[QUANTITYORDERED]]*Table1[[#This Row],[PRICEEACH]]</f>
        <v>3424.7000000000003</v>
      </c>
    </row>
    <row r="2600" spans="1:26" hidden="1" x14ac:dyDescent="0.35">
      <c r="A2600">
        <v>10222</v>
      </c>
      <c r="B2600">
        <v>36</v>
      </c>
      <c r="C2600" s="3">
        <v>80.95</v>
      </c>
      <c r="D2600">
        <v>13</v>
      </c>
      <c r="E2600" s="3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 s="3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  <c r="Z2600" s="3">
        <f>Table1[[#This Row],[QUANTITYORDERED]]*Table1[[#This Row],[PRICEEACH]]</f>
        <v>2914.2000000000003</v>
      </c>
    </row>
    <row r="2601" spans="1:26" hidden="1" x14ac:dyDescent="0.35">
      <c r="A2601">
        <v>10233</v>
      </c>
      <c r="B2601">
        <v>29</v>
      </c>
      <c r="C2601" s="3">
        <v>82.4</v>
      </c>
      <c r="D2601">
        <v>1</v>
      </c>
      <c r="E2601" s="3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 s="3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  <c r="Z2601" s="3">
        <f>Table1[[#This Row],[QUANTITYORDERED]]*Table1[[#This Row],[PRICEEACH]]</f>
        <v>2389.6000000000004</v>
      </c>
    </row>
    <row r="2602" spans="1:26" hidden="1" x14ac:dyDescent="0.35">
      <c r="A2602">
        <v>10248</v>
      </c>
      <c r="B2602">
        <v>32</v>
      </c>
      <c r="C2602" s="3">
        <v>75.89</v>
      </c>
      <c r="D2602">
        <v>4</v>
      </c>
      <c r="E2602" s="3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 s="3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  <c r="Z2602" s="3">
        <f>Table1[[#This Row],[QUANTITYORDERED]]*Table1[[#This Row],[PRICEEACH]]</f>
        <v>2428.48</v>
      </c>
    </row>
    <row r="2603" spans="1:26" hidden="1" x14ac:dyDescent="0.35">
      <c r="A2603">
        <v>10261</v>
      </c>
      <c r="B2603">
        <v>44</v>
      </c>
      <c r="C2603" s="3">
        <v>68.67</v>
      </c>
      <c r="D2603">
        <v>2</v>
      </c>
      <c r="E2603" s="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 s="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  <c r="Z2603" s="3">
        <f>Table1[[#This Row],[QUANTITYORDERED]]*Table1[[#This Row],[PRICEEACH]]</f>
        <v>3021.48</v>
      </c>
    </row>
    <row r="2604" spans="1:26" hidden="1" x14ac:dyDescent="0.35">
      <c r="A2604">
        <v>10273</v>
      </c>
      <c r="B2604">
        <v>42</v>
      </c>
      <c r="C2604" s="3">
        <v>62.16</v>
      </c>
      <c r="D2604">
        <v>5</v>
      </c>
      <c r="E2604" s="3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 s="3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  <c r="Z2604" s="3">
        <f>Table1[[#This Row],[QUANTITYORDERED]]*Table1[[#This Row],[PRICEEACH]]</f>
        <v>2610.7199999999998</v>
      </c>
    </row>
    <row r="2605" spans="1:26" hidden="1" x14ac:dyDescent="0.35">
      <c r="A2605">
        <v>10283</v>
      </c>
      <c r="B2605">
        <v>47</v>
      </c>
      <c r="C2605" s="3">
        <v>65.77</v>
      </c>
      <c r="D2605">
        <v>7</v>
      </c>
      <c r="E2605" s="3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 s="3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  <c r="Z2605" s="3">
        <f>Table1[[#This Row],[QUANTITYORDERED]]*Table1[[#This Row],[PRICEEACH]]</f>
        <v>3091.1899999999996</v>
      </c>
    </row>
    <row r="2606" spans="1:26" hidden="1" x14ac:dyDescent="0.35">
      <c r="A2606">
        <v>10295</v>
      </c>
      <c r="B2606">
        <v>44</v>
      </c>
      <c r="C2606" s="3">
        <v>58.55</v>
      </c>
      <c r="D2606">
        <v>2</v>
      </c>
      <c r="E2606" s="3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 s="3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  <c r="Z2606" s="3">
        <f>Table1[[#This Row],[QUANTITYORDERED]]*Table1[[#This Row],[PRICEEACH]]</f>
        <v>2576.1999999999998</v>
      </c>
    </row>
    <row r="2607" spans="1:26" hidden="1" x14ac:dyDescent="0.35">
      <c r="A2607">
        <v>10306</v>
      </c>
      <c r="B2607">
        <v>43</v>
      </c>
      <c r="C2607" s="3">
        <v>75.17</v>
      </c>
      <c r="D2607">
        <v>1</v>
      </c>
      <c r="E2607" s="3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 s="3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  <c r="Z2607" s="3">
        <f>Table1[[#This Row],[QUANTITYORDERED]]*Table1[[#This Row],[PRICEEACH]]</f>
        <v>3232.31</v>
      </c>
    </row>
    <row r="2608" spans="1:26" hidden="1" x14ac:dyDescent="0.35">
      <c r="A2608">
        <v>10316</v>
      </c>
      <c r="B2608">
        <v>48</v>
      </c>
      <c r="C2608" s="3">
        <v>74.45</v>
      </c>
      <c r="D2608">
        <v>18</v>
      </c>
      <c r="E2608" s="3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 s="3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  <c r="Z2608" s="3">
        <f>Table1[[#This Row],[QUANTITYORDERED]]*Table1[[#This Row],[PRICEEACH]]</f>
        <v>3573.6000000000004</v>
      </c>
    </row>
    <row r="2609" spans="1:26" hidden="1" x14ac:dyDescent="0.35">
      <c r="A2609">
        <v>10327</v>
      </c>
      <c r="B2609">
        <v>21</v>
      </c>
      <c r="C2609" s="3">
        <v>96.31</v>
      </c>
      <c r="D2609">
        <v>1</v>
      </c>
      <c r="E2609" s="3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 s="3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  <c r="Z2609" s="3">
        <f>Table1[[#This Row],[QUANTITYORDERED]]*Table1[[#This Row],[PRICEEACH]]</f>
        <v>2022.51</v>
      </c>
    </row>
    <row r="2610" spans="1:26" hidden="1" x14ac:dyDescent="0.35">
      <c r="A2610">
        <v>10339</v>
      </c>
      <c r="B2610">
        <v>50</v>
      </c>
      <c r="C2610" s="3">
        <v>74.349999999999994</v>
      </c>
      <c r="D2610">
        <v>9</v>
      </c>
      <c r="E2610" s="3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 s="3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  <c r="Z2610" s="3">
        <f>Table1[[#This Row],[QUANTITYORDERED]]*Table1[[#This Row],[PRICEEACH]]</f>
        <v>3717.4999999999995</v>
      </c>
    </row>
    <row r="2611" spans="1:26" hidden="1" x14ac:dyDescent="0.35">
      <c r="A2611">
        <v>10350</v>
      </c>
      <c r="B2611">
        <v>29</v>
      </c>
      <c r="C2611" s="3">
        <v>75.349999999999994</v>
      </c>
      <c r="D2611">
        <v>12</v>
      </c>
      <c r="E2611" s="3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 s="3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  <c r="Z2611" s="3">
        <f>Table1[[#This Row],[QUANTITYORDERED]]*Table1[[#This Row],[PRICEEACH]]</f>
        <v>2185.1499999999996</v>
      </c>
    </row>
    <row r="2612" spans="1:26" hidden="1" x14ac:dyDescent="0.35">
      <c r="A2612">
        <v>10373</v>
      </c>
      <c r="B2612">
        <v>41</v>
      </c>
      <c r="C2612" s="3">
        <v>70.33</v>
      </c>
      <c r="D2612">
        <v>16</v>
      </c>
      <c r="E2612" s="3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 s="3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  <c r="Z2612" s="3">
        <f>Table1[[#This Row],[QUANTITYORDERED]]*Table1[[#This Row],[PRICEEACH]]</f>
        <v>2883.5299999999997</v>
      </c>
    </row>
    <row r="2613" spans="1:26" hidden="1" x14ac:dyDescent="0.35">
      <c r="A2613">
        <v>10386</v>
      </c>
      <c r="B2613">
        <v>37</v>
      </c>
      <c r="C2613" s="3">
        <v>100</v>
      </c>
      <c r="D2613">
        <v>10</v>
      </c>
      <c r="E2613" s="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 s="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  <c r="Z2613" s="3">
        <f>Table1[[#This Row],[QUANTITYORDERED]]*Table1[[#This Row],[PRICEEACH]]</f>
        <v>3700</v>
      </c>
    </row>
    <row r="2614" spans="1:26" hidden="1" x14ac:dyDescent="0.35">
      <c r="A2614">
        <v>10397</v>
      </c>
      <c r="B2614">
        <v>22</v>
      </c>
      <c r="C2614" s="3">
        <v>66.5</v>
      </c>
      <c r="D2614">
        <v>4</v>
      </c>
      <c r="E2614" s="3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 s="3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  <c r="Z2614" s="3">
        <f>Table1[[#This Row],[QUANTITYORDERED]]*Table1[[#This Row],[PRICEEACH]]</f>
        <v>1463</v>
      </c>
    </row>
    <row r="2615" spans="1:26" hidden="1" x14ac:dyDescent="0.35">
      <c r="A2615">
        <v>10414</v>
      </c>
      <c r="B2615">
        <v>31</v>
      </c>
      <c r="C2615" s="3">
        <v>75.89</v>
      </c>
      <c r="D2615">
        <v>4</v>
      </c>
      <c r="E2615" s="3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 s="3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  <c r="Z2615" s="3">
        <f>Table1[[#This Row],[QUANTITYORDERED]]*Table1[[#This Row],[PRICEEACH]]</f>
        <v>2352.59</v>
      </c>
    </row>
    <row r="2616" spans="1:26" x14ac:dyDescent="0.35">
      <c r="A2616">
        <v>10103</v>
      </c>
      <c r="B2616">
        <v>42</v>
      </c>
      <c r="C2616" s="3">
        <v>100</v>
      </c>
      <c r="D2616">
        <v>6</v>
      </c>
      <c r="E2616" s="3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 s="3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  <c r="Z2616" s="3">
        <f>Table1[[#This Row],[QUANTITYORDERED]]*Table1[[#This Row],[PRICEEACH]]</f>
        <v>4200</v>
      </c>
    </row>
    <row r="2617" spans="1:26" x14ac:dyDescent="0.35">
      <c r="A2617">
        <v>10114</v>
      </c>
      <c r="B2617">
        <v>42</v>
      </c>
      <c r="C2617" s="3">
        <v>100</v>
      </c>
      <c r="D2617">
        <v>10</v>
      </c>
      <c r="E2617" s="3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 s="3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  <c r="Z2617" s="3">
        <f>Table1[[#This Row],[QUANTITYORDERED]]*Table1[[#This Row],[PRICEEACH]]</f>
        <v>4200</v>
      </c>
    </row>
    <row r="2618" spans="1:26" x14ac:dyDescent="0.35">
      <c r="A2618">
        <v>10126</v>
      </c>
      <c r="B2618">
        <v>45</v>
      </c>
      <c r="C2618" s="3">
        <v>100</v>
      </c>
      <c r="D2618">
        <v>6</v>
      </c>
      <c r="E2618" s="3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 s="3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  <c r="Z2618" s="3">
        <f>Table1[[#This Row],[QUANTITYORDERED]]*Table1[[#This Row],[PRICEEACH]]</f>
        <v>4500</v>
      </c>
    </row>
    <row r="2619" spans="1:26" x14ac:dyDescent="0.35">
      <c r="A2619">
        <v>10140</v>
      </c>
      <c r="B2619">
        <v>36</v>
      </c>
      <c r="C2619" s="3">
        <v>100</v>
      </c>
      <c r="D2619">
        <v>6</v>
      </c>
      <c r="E2619" s="3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 s="3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  <c r="Z2619" s="3">
        <f>Table1[[#This Row],[QUANTITYORDERED]]*Table1[[#This Row],[PRICEEACH]]</f>
        <v>3600</v>
      </c>
    </row>
    <row r="2620" spans="1:26" x14ac:dyDescent="0.35">
      <c r="A2620">
        <v>10150</v>
      </c>
      <c r="B2620">
        <v>20</v>
      </c>
      <c r="C2620" s="3">
        <v>100</v>
      </c>
      <c r="D2620">
        <v>3</v>
      </c>
      <c r="E2620" s="3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 s="3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  <c r="Z2620" s="3">
        <f>Table1[[#This Row],[QUANTITYORDERED]]*Table1[[#This Row],[PRICEEACH]]</f>
        <v>2000</v>
      </c>
    </row>
    <row r="2621" spans="1:26" x14ac:dyDescent="0.35">
      <c r="A2621">
        <v>10164</v>
      </c>
      <c r="B2621">
        <v>39</v>
      </c>
      <c r="C2621" s="3">
        <v>81.93</v>
      </c>
      <c r="D2621">
        <v>4</v>
      </c>
      <c r="E2621" s="3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 s="3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  <c r="Z2621" s="3">
        <f>Table1[[#This Row],[QUANTITYORDERED]]*Table1[[#This Row],[PRICEEACH]]</f>
        <v>3195.2700000000004</v>
      </c>
    </row>
    <row r="2622" spans="1:26" x14ac:dyDescent="0.35">
      <c r="A2622">
        <v>10175</v>
      </c>
      <c r="B2622">
        <v>42</v>
      </c>
      <c r="C2622" s="3">
        <v>85.98</v>
      </c>
      <c r="D2622">
        <v>11</v>
      </c>
      <c r="E2622" s="3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 s="3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  <c r="Z2622" s="3">
        <f>Table1[[#This Row],[QUANTITYORDERED]]*Table1[[#This Row],[PRICEEACH]]</f>
        <v>3611.1600000000003</v>
      </c>
    </row>
    <row r="2623" spans="1:26" x14ac:dyDescent="0.35">
      <c r="A2623">
        <v>10183</v>
      </c>
      <c r="B2623">
        <v>23</v>
      </c>
      <c r="C2623" s="3">
        <v>86.99</v>
      </c>
      <c r="D2623">
        <v>3</v>
      </c>
      <c r="E2623" s="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 s="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  <c r="Z2623" s="3">
        <f>Table1[[#This Row],[QUANTITYORDERED]]*Table1[[#This Row],[PRICEEACH]]</f>
        <v>2000.77</v>
      </c>
    </row>
    <row r="2624" spans="1:26" x14ac:dyDescent="0.35">
      <c r="A2624">
        <v>10194</v>
      </c>
      <c r="B2624">
        <v>26</v>
      </c>
      <c r="C2624" s="3">
        <v>89.01</v>
      </c>
      <c r="D2624">
        <v>6</v>
      </c>
      <c r="E2624" s="3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 s="3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  <c r="Z2624" s="3">
        <f>Table1[[#This Row],[QUANTITYORDERED]]*Table1[[#This Row],[PRICEEACH]]</f>
        <v>2314.2600000000002</v>
      </c>
    </row>
    <row r="2625" spans="1:26" x14ac:dyDescent="0.35">
      <c r="A2625">
        <v>10206</v>
      </c>
      <c r="B2625">
        <v>33</v>
      </c>
      <c r="C2625" s="3">
        <v>100</v>
      </c>
      <c r="D2625">
        <v>1</v>
      </c>
      <c r="E2625" s="3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 s="3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  <c r="Z2625" s="3">
        <f>Table1[[#This Row],[QUANTITYORDERED]]*Table1[[#This Row],[PRICEEACH]]</f>
        <v>3300</v>
      </c>
    </row>
    <row r="2626" spans="1:26" x14ac:dyDescent="0.35">
      <c r="A2626">
        <v>10217</v>
      </c>
      <c r="B2626">
        <v>31</v>
      </c>
      <c r="C2626" s="3">
        <v>88</v>
      </c>
      <c r="D2626">
        <v>6</v>
      </c>
      <c r="E2626" s="3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 s="3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  <c r="Z2626" s="3">
        <f>Table1[[#This Row],[QUANTITYORDERED]]*Table1[[#This Row],[PRICEEACH]]</f>
        <v>2728</v>
      </c>
    </row>
    <row r="2627" spans="1:26" x14ac:dyDescent="0.35">
      <c r="A2627">
        <v>10229</v>
      </c>
      <c r="B2627">
        <v>50</v>
      </c>
      <c r="C2627" s="3">
        <v>100</v>
      </c>
      <c r="D2627">
        <v>11</v>
      </c>
      <c r="E2627" s="3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 s="3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  <c r="Z2627" s="3">
        <f>Table1[[#This Row],[QUANTITYORDERED]]*Table1[[#This Row],[PRICEEACH]]</f>
        <v>5000</v>
      </c>
    </row>
    <row r="2628" spans="1:26" x14ac:dyDescent="0.35">
      <c r="A2628">
        <v>10245</v>
      </c>
      <c r="B2628">
        <v>44</v>
      </c>
      <c r="C2628" s="3">
        <v>100</v>
      </c>
      <c r="D2628">
        <v>4</v>
      </c>
      <c r="E2628" s="3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 s="3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  <c r="Z2628" s="3">
        <f>Table1[[#This Row],[QUANTITYORDERED]]*Table1[[#This Row],[PRICEEACH]]</f>
        <v>4400</v>
      </c>
    </row>
    <row r="2629" spans="1:26" x14ac:dyDescent="0.35">
      <c r="A2629">
        <v>10258</v>
      </c>
      <c r="B2629">
        <v>45</v>
      </c>
      <c r="C2629" s="3">
        <v>80.92</v>
      </c>
      <c r="D2629">
        <v>1</v>
      </c>
      <c r="E2629" s="3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 s="3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  <c r="Z2629" s="3">
        <f>Table1[[#This Row],[QUANTITYORDERED]]*Table1[[#This Row],[PRICEEACH]]</f>
        <v>3641.4</v>
      </c>
    </row>
    <row r="2630" spans="1:26" x14ac:dyDescent="0.35">
      <c r="A2630">
        <v>10270</v>
      </c>
      <c r="B2630">
        <v>46</v>
      </c>
      <c r="C2630" s="3">
        <v>88</v>
      </c>
      <c r="D2630">
        <v>4</v>
      </c>
      <c r="E2630" s="3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 s="3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  <c r="Z2630" s="3">
        <f>Table1[[#This Row],[QUANTITYORDERED]]*Table1[[#This Row],[PRICEEACH]]</f>
        <v>4048</v>
      </c>
    </row>
    <row r="2631" spans="1:26" x14ac:dyDescent="0.35">
      <c r="A2631">
        <v>10281</v>
      </c>
      <c r="B2631">
        <v>27</v>
      </c>
      <c r="C2631" s="3">
        <v>85.98</v>
      </c>
      <c r="D2631">
        <v>11</v>
      </c>
      <c r="E2631" s="3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 s="3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  <c r="Z2631" s="3">
        <f>Table1[[#This Row],[QUANTITYORDERED]]*Table1[[#This Row],[PRICEEACH]]</f>
        <v>2321.46</v>
      </c>
    </row>
    <row r="2632" spans="1:26" x14ac:dyDescent="0.35">
      <c r="A2632">
        <v>10291</v>
      </c>
      <c r="B2632">
        <v>28</v>
      </c>
      <c r="C2632" s="3">
        <v>100</v>
      </c>
      <c r="D2632">
        <v>6</v>
      </c>
      <c r="E2632" s="3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 s="3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  <c r="Z2632" s="3">
        <f>Table1[[#This Row],[QUANTITYORDERED]]*Table1[[#This Row],[PRICEEACH]]</f>
        <v>2800</v>
      </c>
    </row>
    <row r="2633" spans="1:26" x14ac:dyDescent="0.35">
      <c r="A2633">
        <v>10304</v>
      </c>
      <c r="B2633">
        <v>40</v>
      </c>
      <c r="C2633" s="3">
        <v>100</v>
      </c>
      <c r="D2633">
        <v>1</v>
      </c>
      <c r="E2633" s="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 s="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  <c r="Z2633" s="3">
        <f>Table1[[#This Row],[QUANTITYORDERED]]*Table1[[#This Row],[PRICEEACH]]</f>
        <v>4000</v>
      </c>
    </row>
    <row r="2634" spans="1:26" x14ac:dyDescent="0.35">
      <c r="A2634">
        <v>10313</v>
      </c>
      <c r="B2634">
        <v>30</v>
      </c>
      <c r="C2634" s="3">
        <v>99.13</v>
      </c>
      <c r="D2634">
        <v>9</v>
      </c>
      <c r="E2634" s="3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 s="3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  <c r="Z2634" s="3">
        <f>Table1[[#This Row],[QUANTITYORDERED]]*Table1[[#This Row],[PRICEEACH]]</f>
        <v>2973.8999999999996</v>
      </c>
    </row>
    <row r="2635" spans="1:26" x14ac:dyDescent="0.35">
      <c r="A2635">
        <v>10324</v>
      </c>
      <c r="B2635">
        <v>34</v>
      </c>
      <c r="C2635" s="3">
        <v>100</v>
      </c>
      <c r="D2635">
        <v>5</v>
      </c>
      <c r="E2635" s="3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 s="3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  <c r="Z2635" s="3">
        <f>Table1[[#This Row],[QUANTITYORDERED]]*Table1[[#This Row],[PRICEEACH]]</f>
        <v>3400</v>
      </c>
    </row>
    <row r="2636" spans="1:26" x14ac:dyDescent="0.35">
      <c r="A2636">
        <v>10336</v>
      </c>
      <c r="B2636">
        <v>46</v>
      </c>
      <c r="C2636" s="3">
        <v>100</v>
      </c>
      <c r="D2636">
        <v>2</v>
      </c>
      <c r="E2636" s="3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 s="3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  <c r="Z2636" s="3">
        <f>Table1[[#This Row],[QUANTITYORDERED]]*Table1[[#This Row],[PRICEEACH]]</f>
        <v>4600</v>
      </c>
    </row>
    <row r="2637" spans="1:26" x14ac:dyDescent="0.35">
      <c r="A2637">
        <v>10348</v>
      </c>
      <c r="B2637">
        <v>32</v>
      </c>
      <c r="C2637" s="3">
        <v>82.83</v>
      </c>
      <c r="D2637">
        <v>7</v>
      </c>
      <c r="E2637" s="3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 s="3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  <c r="Z2637" s="3">
        <f>Table1[[#This Row],[QUANTITYORDERED]]*Table1[[#This Row],[PRICEEACH]]</f>
        <v>2650.56</v>
      </c>
    </row>
    <row r="2638" spans="1:26" x14ac:dyDescent="0.35">
      <c r="A2638">
        <v>10358</v>
      </c>
      <c r="B2638">
        <v>27</v>
      </c>
      <c r="C2638" s="3">
        <v>100</v>
      </c>
      <c r="D2638">
        <v>3</v>
      </c>
      <c r="E2638" s="3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 s="3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  <c r="Z2638" s="3">
        <f>Table1[[#This Row],[QUANTITYORDERED]]*Table1[[#This Row],[PRICEEACH]]</f>
        <v>2700</v>
      </c>
    </row>
    <row r="2639" spans="1:26" x14ac:dyDescent="0.35">
      <c r="A2639">
        <v>10371</v>
      </c>
      <c r="B2639">
        <v>34</v>
      </c>
      <c r="C2639" s="3">
        <v>100</v>
      </c>
      <c r="D2639">
        <v>3</v>
      </c>
      <c r="E2639" s="3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 s="3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  <c r="Z2639" s="3">
        <f>Table1[[#This Row],[QUANTITYORDERED]]*Table1[[#This Row],[PRICEEACH]]</f>
        <v>3400</v>
      </c>
    </row>
    <row r="2640" spans="1:26" x14ac:dyDescent="0.35">
      <c r="A2640">
        <v>10382</v>
      </c>
      <c r="B2640">
        <v>34</v>
      </c>
      <c r="C2640" s="3">
        <v>54.84</v>
      </c>
      <c r="D2640">
        <v>9</v>
      </c>
      <c r="E2640" s="3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 s="3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  <c r="Z2640" s="3">
        <f>Table1[[#This Row],[QUANTITYORDERED]]*Table1[[#This Row],[PRICEEACH]]</f>
        <v>1864.5600000000002</v>
      </c>
    </row>
    <row r="2641" spans="1:26" x14ac:dyDescent="0.35">
      <c r="A2641">
        <v>10411</v>
      </c>
      <c r="B2641">
        <v>34</v>
      </c>
      <c r="C2641" s="3">
        <v>100</v>
      </c>
      <c r="D2641">
        <v>4</v>
      </c>
      <c r="E2641" s="3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 s="3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  <c r="Z2641" s="3">
        <f>Table1[[#This Row],[QUANTITYORDERED]]*Table1[[#This Row],[PRICEEACH]]</f>
        <v>3400</v>
      </c>
    </row>
    <row r="2642" spans="1:26" x14ac:dyDescent="0.35">
      <c r="A2642">
        <v>10424</v>
      </c>
      <c r="B2642">
        <v>46</v>
      </c>
      <c r="C2642" s="3">
        <v>80.92</v>
      </c>
      <c r="D2642">
        <v>1</v>
      </c>
      <c r="E2642" s="3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 s="3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  <c r="Z2642" s="3">
        <f>Table1[[#This Row],[QUANTITYORDERED]]*Table1[[#This Row],[PRICEEACH]]</f>
        <v>3722.32</v>
      </c>
    </row>
    <row r="2643" spans="1:26" hidden="1" x14ac:dyDescent="0.35">
      <c r="A2643">
        <v>10106</v>
      </c>
      <c r="B2643">
        <v>32</v>
      </c>
      <c r="C2643" s="3">
        <v>100</v>
      </c>
      <c r="D2643">
        <v>1</v>
      </c>
      <c r="E2643" s="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 s="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  <c r="Z2643" s="3">
        <f>Table1[[#This Row],[QUANTITYORDERED]]*Table1[[#This Row],[PRICEEACH]]</f>
        <v>3200</v>
      </c>
    </row>
    <row r="2644" spans="1:26" hidden="1" x14ac:dyDescent="0.35">
      <c r="A2644">
        <v>10120</v>
      </c>
      <c r="B2644">
        <v>24</v>
      </c>
      <c r="C2644" s="3">
        <v>100</v>
      </c>
      <c r="D2644">
        <v>7</v>
      </c>
      <c r="E2644" s="3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 s="3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  <c r="Z2644" s="3">
        <f>Table1[[#This Row],[QUANTITYORDERED]]*Table1[[#This Row],[PRICEEACH]]</f>
        <v>2400</v>
      </c>
    </row>
    <row r="2645" spans="1:26" hidden="1" x14ac:dyDescent="0.35">
      <c r="A2645">
        <v>10133</v>
      </c>
      <c r="B2645">
        <v>27</v>
      </c>
      <c r="C2645" s="3">
        <v>99.67</v>
      </c>
      <c r="D2645">
        <v>2</v>
      </c>
      <c r="E2645" s="3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 s="3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  <c r="Z2645" s="3">
        <f>Table1[[#This Row],[QUANTITYORDERED]]*Table1[[#This Row],[PRICEEACH]]</f>
        <v>2691.09</v>
      </c>
    </row>
    <row r="2646" spans="1:26" hidden="1" x14ac:dyDescent="0.35">
      <c r="A2646">
        <v>10145</v>
      </c>
      <c r="B2646">
        <v>20</v>
      </c>
      <c r="C2646" s="3">
        <v>100</v>
      </c>
      <c r="D2646">
        <v>13</v>
      </c>
      <c r="E2646" s="3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 s="3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  <c r="Z2646" s="3">
        <f>Table1[[#This Row],[QUANTITYORDERED]]*Table1[[#This Row],[PRICEEACH]]</f>
        <v>2000</v>
      </c>
    </row>
    <row r="2647" spans="1:26" hidden="1" x14ac:dyDescent="0.35">
      <c r="A2647">
        <v>10168</v>
      </c>
      <c r="B2647">
        <v>36</v>
      </c>
      <c r="C2647" s="3">
        <v>100</v>
      </c>
      <c r="D2647">
        <v>8</v>
      </c>
      <c r="E2647" s="3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 s="3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  <c r="Z2647" s="3">
        <f>Table1[[#This Row],[QUANTITYORDERED]]*Table1[[#This Row],[PRICEEACH]]</f>
        <v>3600</v>
      </c>
    </row>
    <row r="2648" spans="1:26" hidden="1" x14ac:dyDescent="0.35">
      <c r="A2648">
        <v>10188</v>
      </c>
      <c r="B2648">
        <v>29</v>
      </c>
      <c r="C2648" s="3">
        <v>100</v>
      </c>
      <c r="D2648">
        <v>8</v>
      </c>
      <c r="E2648" s="3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 s="3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  <c r="Z2648" s="3">
        <f>Table1[[#This Row],[QUANTITYORDERED]]*Table1[[#This Row],[PRICEEACH]]</f>
        <v>2900</v>
      </c>
    </row>
    <row r="2649" spans="1:26" hidden="1" x14ac:dyDescent="0.35">
      <c r="A2649">
        <v>10210</v>
      </c>
      <c r="B2649">
        <v>25</v>
      </c>
      <c r="C2649" s="3">
        <v>100</v>
      </c>
      <c r="D2649">
        <v>6</v>
      </c>
      <c r="E2649" s="3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 s="3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  <c r="Z2649" s="3">
        <f>Table1[[#This Row],[QUANTITYORDERED]]*Table1[[#This Row],[PRICEEACH]]</f>
        <v>2500</v>
      </c>
    </row>
    <row r="2650" spans="1:26" hidden="1" x14ac:dyDescent="0.35">
      <c r="A2650">
        <v>10223</v>
      </c>
      <c r="B2650">
        <v>29</v>
      </c>
      <c r="C2650" s="3">
        <v>100</v>
      </c>
      <c r="D2650">
        <v>8</v>
      </c>
      <c r="E2650" s="3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 s="3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  <c r="Z2650" s="3">
        <f>Table1[[#This Row],[QUANTITYORDERED]]*Table1[[#This Row],[PRICEEACH]]</f>
        <v>2900</v>
      </c>
    </row>
    <row r="2651" spans="1:26" hidden="1" x14ac:dyDescent="0.35">
      <c r="A2651">
        <v>10235</v>
      </c>
      <c r="B2651">
        <v>25</v>
      </c>
      <c r="C2651" s="3">
        <v>96.11</v>
      </c>
      <c r="D2651">
        <v>2</v>
      </c>
      <c r="E2651" s="3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 s="3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  <c r="Z2651" s="3">
        <f>Table1[[#This Row],[QUANTITYORDERED]]*Table1[[#This Row],[PRICEEACH]]</f>
        <v>2402.75</v>
      </c>
    </row>
    <row r="2652" spans="1:26" hidden="1" x14ac:dyDescent="0.35">
      <c r="A2652">
        <v>10250</v>
      </c>
      <c r="B2652">
        <v>44</v>
      </c>
      <c r="C2652" s="3">
        <v>100</v>
      </c>
      <c r="D2652">
        <v>3</v>
      </c>
      <c r="E2652" s="3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 s="3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  <c r="Z2652" s="3">
        <f>Table1[[#This Row],[QUANTITYORDERED]]*Table1[[#This Row],[PRICEEACH]]</f>
        <v>4400</v>
      </c>
    </row>
    <row r="2653" spans="1:26" hidden="1" x14ac:dyDescent="0.35">
      <c r="A2653">
        <v>10263</v>
      </c>
      <c r="B2653">
        <v>47</v>
      </c>
      <c r="C2653" s="3">
        <v>100</v>
      </c>
      <c r="D2653">
        <v>9</v>
      </c>
      <c r="E2653" s="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 s="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  <c r="Z2653" s="3">
        <f>Table1[[#This Row],[QUANTITYORDERED]]*Table1[[#This Row],[PRICEEACH]]</f>
        <v>4700</v>
      </c>
    </row>
    <row r="2654" spans="1:26" hidden="1" x14ac:dyDescent="0.35">
      <c r="A2654">
        <v>10275</v>
      </c>
      <c r="B2654">
        <v>48</v>
      </c>
      <c r="C2654" s="3">
        <v>100</v>
      </c>
      <c r="D2654">
        <v>8</v>
      </c>
      <c r="E2654" s="3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 s="3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  <c r="Z2654" s="3">
        <f>Table1[[#This Row],[QUANTITYORDERED]]*Table1[[#This Row],[PRICEEACH]]</f>
        <v>4800</v>
      </c>
    </row>
    <row r="2655" spans="1:26" hidden="1" x14ac:dyDescent="0.35">
      <c r="A2655">
        <v>10285</v>
      </c>
      <c r="B2655">
        <v>45</v>
      </c>
      <c r="C2655" s="3">
        <v>100</v>
      </c>
      <c r="D2655">
        <v>13</v>
      </c>
      <c r="E2655" s="3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 s="3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  <c r="Z2655" s="3">
        <f>Table1[[#This Row],[QUANTITYORDERED]]*Table1[[#This Row],[PRICEEACH]]</f>
        <v>4500</v>
      </c>
    </row>
    <row r="2656" spans="1:26" hidden="1" x14ac:dyDescent="0.35">
      <c r="A2656">
        <v>10297</v>
      </c>
      <c r="B2656">
        <v>35</v>
      </c>
      <c r="C2656" s="3">
        <v>100</v>
      </c>
      <c r="D2656">
        <v>3</v>
      </c>
      <c r="E2656" s="3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 s="3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  <c r="Z2656" s="3">
        <f>Table1[[#This Row],[QUANTITYORDERED]]*Table1[[#This Row],[PRICEEACH]]</f>
        <v>3500</v>
      </c>
    </row>
    <row r="2657" spans="1:26" hidden="1" x14ac:dyDescent="0.35">
      <c r="A2657">
        <v>10308</v>
      </c>
      <c r="B2657">
        <v>31</v>
      </c>
      <c r="C2657" s="3">
        <v>100</v>
      </c>
      <c r="D2657">
        <v>6</v>
      </c>
      <c r="E2657" s="3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 s="3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  <c r="Z2657" s="3">
        <f>Table1[[#This Row],[QUANTITYORDERED]]*Table1[[#This Row],[PRICEEACH]]</f>
        <v>3100</v>
      </c>
    </row>
    <row r="2658" spans="1:26" hidden="1" x14ac:dyDescent="0.35">
      <c r="A2658">
        <v>10318</v>
      </c>
      <c r="B2658">
        <v>50</v>
      </c>
      <c r="C2658" s="3">
        <v>100</v>
      </c>
      <c r="D2658">
        <v>8</v>
      </c>
      <c r="E2658" s="3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 s="3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  <c r="Z2658" s="3">
        <f>Table1[[#This Row],[QUANTITYORDERED]]*Table1[[#This Row],[PRICEEACH]]</f>
        <v>5000</v>
      </c>
    </row>
    <row r="2659" spans="1:26" hidden="1" x14ac:dyDescent="0.35">
      <c r="A2659">
        <v>10328</v>
      </c>
      <c r="B2659">
        <v>33</v>
      </c>
      <c r="C2659" s="3">
        <v>100</v>
      </c>
      <c r="D2659">
        <v>11</v>
      </c>
      <c r="E2659" s="3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 s="3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  <c r="Z2659" s="3">
        <f>Table1[[#This Row],[QUANTITYORDERED]]*Table1[[#This Row],[PRICEEACH]]</f>
        <v>3300</v>
      </c>
    </row>
    <row r="2660" spans="1:26" hidden="1" x14ac:dyDescent="0.35">
      <c r="A2660">
        <v>10340</v>
      </c>
      <c r="B2660">
        <v>29</v>
      </c>
      <c r="C2660" s="3">
        <v>100</v>
      </c>
      <c r="D2660">
        <v>6</v>
      </c>
      <c r="E2660" s="3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 s="3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  <c r="Z2660" s="3">
        <f>Table1[[#This Row],[QUANTITYORDERED]]*Table1[[#This Row],[PRICEEACH]]</f>
        <v>2900</v>
      </c>
    </row>
    <row r="2661" spans="1:26" hidden="1" x14ac:dyDescent="0.35">
      <c r="A2661">
        <v>10353</v>
      </c>
      <c r="B2661">
        <v>48</v>
      </c>
      <c r="C2661" s="3">
        <v>68.8</v>
      </c>
      <c r="D2661">
        <v>4</v>
      </c>
      <c r="E2661" s="3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 s="3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  <c r="Z2661" s="3">
        <f>Table1[[#This Row],[QUANTITYORDERED]]*Table1[[#This Row],[PRICEEACH]]</f>
        <v>3302.3999999999996</v>
      </c>
    </row>
    <row r="2662" spans="1:26" hidden="1" x14ac:dyDescent="0.35">
      <c r="A2662">
        <v>10361</v>
      </c>
      <c r="B2662">
        <v>44</v>
      </c>
      <c r="C2662" s="3">
        <v>72.42</v>
      </c>
      <c r="D2662">
        <v>5</v>
      </c>
      <c r="E2662" s="3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 s="3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  <c r="Z2662" s="3">
        <f>Table1[[#This Row],[QUANTITYORDERED]]*Table1[[#This Row],[PRICEEACH]]</f>
        <v>3186.48</v>
      </c>
    </row>
    <row r="2663" spans="1:26" hidden="1" x14ac:dyDescent="0.35">
      <c r="A2663">
        <v>10375</v>
      </c>
      <c r="B2663">
        <v>25</v>
      </c>
      <c r="C2663" s="3">
        <v>66.73</v>
      </c>
      <c r="D2663">
        <v>10</v>
      </c>
      <c r="E2663" s="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 s="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  <c r="Z2663" s="3">
        <f>Table1[[#This Row],[QUANTITYORDERED]]*Table1[[#This Row],[PRICEEACH]]</f>
        <v>1668.25</v>
      </c>
    </row>
    <row r="2664" spans="1:26" hidden="1" x14ac:dyDescent="0.35">
      <c r="A2664">
        <v>10388</v>
      </c>
      <c r="B2664">
        <v>50</v>
      </c>
      <c r="C2664" s="3">
        <v>100</v>
      </c>
      <c r="D2664">
        <v>3</v>
      </c>
      <c r="E2664" s="3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 s="3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  <c r="Z2664" s="3">
        <f>Table1[[#This Row],[QUANTITYORDERED]]*Table1[[#This Row],[PRICEEACH]]</f>
        <v>5000</v>
      </c>
    </row>
    <row r="2665" spans="1:26" hidden="1" x14ac:dyDescent="0.35">
      <c r="A2665">
        <v>10398</v>
      </c>
      <c r="B2665">
        <v>23</v>
      </c>
      <c r="C2665" s="3">
        <v>100</v>
      </c>
      <c r="D2665">
        <v>9</v>
      </c>
      <c r="E2665" s="3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 s="3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  <c r="Z2665" s="3">
        <f>Table1[[#This Row],[QUANTITYORDERED]]*Table1[[#This Row],[PRICEEACH]]</f>
        <v>2300</v>
      </c>
    </row>
    <row r="2666" spans="1:26" hidden="1" x14ac:dyDescent="0.35">
      <c r="A2666">
        <v>10401</v>
      </c>
      <c r="B2666">
        <v>21</v>
      </c>
      <c r="C2666" s="3">
        <v>96.11</v>
      </c>
      <c r="D2666">
        <v>2</v>
      </c>
      <c r="E2666" s="3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 s="3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  <c r="Z2666" s="3">
        <f>Table1[[#This Row],[QUANTITYORDERED]]*Table1[[#This Row],[PRICEEACH]]</f>
        <v>2018.31</v>
      </c>
    </row>
    <row r="2667" spans="1:26" hidden="1" x14ac:dyDescent="0.35">
      <c r="A2667">
        <v>10416</v>
      </c>
      <c r="B2667">
        <v>41</v>
      </c>
      <c r="C2667" s="3">
        <v>100</v>
      </c>
      <c r="D2667">
        <v>3</v>
      </c>
      <c r="E2667" s="3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 s="3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  <c r="Z2667" s="3">
        <f>Table1[[#This Row],[QUANTITYORDERED]]*Table1[[#This Row],[PRICEEACH]]</f>
        <v>4100</v>
      </c>
    </row>
    <row r="2668" spans="1:26" hidden="1" x14ac:dyDescent="0.35">
      <c r="A2668">
        <v>10106</v>
      </c>
      <c r="B2668">
        <v>44</v>
      </c>
      <c r="C2668" s="3">
        <v>74.400000000000006</v>
      </c>
      <c r="D2668">
        <v>8</v>
      </c>
      <c r="E2668" s="3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 s="3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  <c r="Z2668" s="3">
        <f>Table1[[#This Row],[QUANTITYORDERED]]*Table1[[#This Row],[PRICEEACH]]</f>
        <v>3273.6000000000004</v>
      </c>
    </row>
    <row r="2669" spans="1:26" hidden="1" x14ac:dyDescent="0.35">
      <c r="A2669">
        <v>10120</v>
      </c>
      <c r="B2669">
        <v>43</v>
      </c>
      <c r="C2669" s="3">
        <v>76</v>
      </c>
      <c r="D2669">
        <v>14</v>
      </c>
      <c r="E2669" s="3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 s="3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  <c r="Z2669" s="3">
        <f>Table1[[#This Row],[QUANTITYORDERED]]*Table1[[#This Row],[PRICEEACH]]</f>
        <v>3268</v>
      </c>
    </row>
    <row r="2670" spans="1:26" hidden="1" x14ac:dyDescent="0.35">
      <c r="A2670">
        <v>10143</v>
      </c>
      <c r="B2670">
        <v>28</v>
      </c>
      <c r="C2670" s="3">
        <v>96</v>
      </c>
      <c r="D2670">
        <v>3</v>
      </c>
      <c r="E2670" s="3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 s="3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  <c r="Z2670" s="3">
        <f>Table1[[#This Row],[QUANTITYORDERED]]*Table1[[#This Row],[PRICEEACH]]</f>
        <v>2688</v>
      </c>
    </row>
    <row r="2671" spans="1:26" hidden="1" x14ac:dyDescent="0.35">
      <c r="A2671">
        <v>10155</v>
      </c>
      <c r="B2671">
        <v>43</v>
      </c>
      <c r="C2671" s="3">
        <v>86.4</v>
      </c>
      <c r="D2671">
        <v>1</v>
      </c>
      <c r="E2671" s="3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 s="3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  <c r="Z2671" s="3">
        <f>Table1[[#This Row],[QUANTITYORDERED]]*Table1[[#This Row],[PRICEEACH]]</f>
        <v>3715.2000000000003</v>
      </c>
    </row>
    <row r="2672" spans="1:26" hidden="1" x14ac:dyDescent="0.35">
      <c r="A2672">
        <v>10168</v>
      </c>
      <c r="B2672">
        <v>48</v>
      </c>
      <c r="C2672" s="3">
        <v>96</v>
      </c>
      <c r="D2672">
        <v>15</v>
      </c>
      <c r="E2672" s="3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 s="3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  <c r="Z2672" s="3">
        <f>Table1[[#This Row],[QUANTITYORDERED]]*Table1[[#This Row],[PRICEEACH]]</f>
        <v>4608</v>
      </c>
    </row>
    <row r="2673" spans="1:26" hidden="1" x14ac:dyDescent="0.35">
      <c r="A2673">
        <v>10199</v>
      </c>
      <c r="B2673">
        <v>38</v>
      </c>
      <c r="C2673" s="3">
        <v>82.4</v>
      </c>
      <c r="D2673">
        <v>3</v>
      </c>
      <c r="E2673" s="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 s="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  <c r="Z2673" s="3">
        <f>Table1[[#This Row],[QUANTITYORDERED]]*Table1[[#This Row],[PRICEEACH]]</f>
        <v>3131.2000000000003</v>
      </c>
    </row>
    <row r="2674" spans="1:26" hidden="1" x14ac:dyDescent="0.35">
      <c r="A2674">
        <v>10210</v>
      </c>
      <c r="B2674">
        <v>31</v>
      </c>
      <c r="C2674" s="3">
        <v>86.4</v>
      </c>
      <c r="D2674">
        <v>13</v>
      </c>
      <c r="E2674" s="3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 s="3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  <c r="Z2674" s="3">
        <f>Table1[[#This Row],[QUANTITYORDERED]]*Table1[[#This Row],[PRICEEACH]]</f>
        <v>2678.4</v>
      </c>
    </row>
    <row r="2675" spans="1:26" hidden="1" x14ac:dyDescent="0.35">
      <c r="A2675">
        <v>10223</v>
      </c>
      <c r="B2675">
        <v>26</v>
      </c>
      <c r="C2675" s="3">
        <v>67.2</v>
      </c>
      <c r="D2675">
        <v>15</v>
      </c>
      <c r="E2675" s="3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 s="3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  <c r="Z2675" s="3">
        <f>Table1[[#This Row],[QUANTITYORDERED]]*Table1[[#This Row],[PRICEEACH]]</f>
        <v>1747.2</v>
      </c>
    </row>
    <row r="2676" spans="1:26" hidden="1" x14ac:dyDescent="0.35">
      <c r="A2676">
        <v>10235</v>
      </c>
      <c r="B2676">
        <v>32</v>
      </c>
      <c r="C2676" s="3">
        <v>92</v>
      </c>
      <c r="D2676">
        <v>9</v>
      </c>
      <c r="E2676" s="3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 s="3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  <c r="Z2676" s="3">
        <f>Table1[[#This Row],[QUANTITYORDERED]]*Table1[[#This Row],[PRICEEACH]]</f>
        <v>2944</v>
      </c>
    </row>
    <row r="2677" spans="1:26" hidden="1" x14ac:dyDescent="0.35">
      <c r="A2677">
        <v>10250</v>
      </c>
      <c r="B2677">
        <v>44</v>
      </c>
      <c r="C2677" s="3">
        <v>67.2</v>
      </c>
      <c r="D2677">
        <v>10</v>
      </c>
      <c r="E2677" s="3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 s="3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  <c r="Z2677" s="3">
        <f>Table1[[#This Row],[QUANTITYORDERED]]*Table1[[#This Row],[PRICEEACH]]</f>
        <v>2956.8</v>
      </c>
    </row>
    <row r="2678" spans="1:26" hidden="1" x14ac:dyDescent="0.35">
      <c r="A2678">
        <v>10262</v>
      </c>
      <c r="B2678">
        <v>27</v>
      </c>
      <c r="C2678" s="3">
        <v>76</v>
      </c>
      <c r="D2678">
        <v>5</v>
      </c>
      <c r="E2678" s="3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 s="3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  <c r="Z2678" s="3">
        <f>Table1[[#This Row],[QUANTITYORDERED]]*Table1[[#This Row],[PRICEEACH]]</f>
        <v>2052</v>
      </c>
    </row>
    <row r="2679" spans="1:26" hidden="1" x14ac:dyDescent="0.35">
      <c r="A2679">
        <v>10275</v>
      </c>
      <c r="B2679">
        <v>43</v>
      </c>
      <c r="C2679" s="3">
        <v>73.599999999999994</v>
      </c>
      <c r="D2679">
        <v>15</v>
      </c>
      <c r="E2679" s="3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 s="3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  <c r="Z2679" s="3">
        <f>Table1[[#This Row],[QUANTITYORDERED]]*Table1[[#This Row],[PRICEEACH]]</f>
        <v>3164.7999999999997</v>
      </c>
    </row>
    <row r="2680" spans="1:26" hidden="1" x14ac:dyDescent="0.35">
      <c r="A2680">
        <v>10284</v>
      </c>
      <c r="B2680">
        <v>25</v>
      </c>
      <c r="C2680" s="3">
        <v>69.599999999999994</v>
      </c>
      <c r="D2680">
        <v>7</v>
      </c>
      <c r="E2680" s="3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 s="3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  <c r="Z2680" s="3">
        <f>Table1[[#This Row],[QUANTITYORDERED]]*Table1[[#This Row],[PRICEEACH]]</f>
        <v>1739.9999999999998</v>
      </c>
    </row>
    <row r="2681" spans="1:26" hidden="1" x14ac:dyDescent="0.35">
      <c r="A2681">
        <v>10296</v>
      </c>
      <c r="B2681">
        <v>22</v>
      </c>
      <c r="C2681" s="3">
        <v>80.8</v>
      </c>
      <c r="D2681">
        <v>3</v>
      </c>
      <c r="E2681" s="3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 s="3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  <c r="Z2681" s="3">
        <f>Table1[[#This Row],[QUANTITYORDERED]]*Table1[[#This Row],[PRICEEACH]]</f>
        <v>1777.6</v>
      </c>
    </row>
    <row r="2682" spans="1:26" hidden="1" x14ac:dyDescent="0.35">
      <c r="A2682">
        <v>10308</v>
      </c>
      <c r="B2682">
        <v>21</v>
      </c>
      <c r="C2682" s="3">
        <v>87.2</v>
      </c>
      <c r="D2682">
        <v>13</v>
      </c>
      <c r="E2682" s="3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 s="3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  <c r="Z2682" s="3">
        <f>Table1[[#This Row],[QUANTITYORDERED]]*Table1[[#This Row],[PRICEEACH]]</f>
        <v>1831.2</v>
      </c>
    </row>
    <row r="2683" spans="1:26" hidden="1" x14ac:dyDescent="0.35">
      <c r="A2683">
        <v>10316</v>
      </c>
      <c r="B2683">
        <v>48</v>
      </c>
      <c r="C2683" s="3">
        <v>75.2</v>
      </c>
      <c r="D2683">
        <v>5</v>
      </c>
      <c r="E2683" s="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 s="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  <c r="Z2683" s="3">
        <f>Table1[[#This Row],[QUANTITYORDERED]]*Table1[[#This Row],[PRICEEACH]]</f>
        <v>3609.6000000000004</v>
      </c>
    </row>
    <row r="2684" spans="1:26" hidden="1" x14ac:dyDescent="0.35">
      <c r="A2684">
        <v>10328</v>
      </c>
      <c r="B2684">
        <v>33</v>
      </c>
      <c r="C2684" s="3">
        <v>64</v>
      </c>
      <c r="D2684">
        <v>13</v>
      </c>
      <c r="E2684" s="3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 s="3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  <c r="Z2684" s="3">
        <f>Table1[[#This Row],[QUANTITYORDERED]]*Table1[[#This Row],[PRICEEACH]]</f>
        <v>2112</v>
      </c>
    </row>
    <row r="2685" spans="1:26" hidden="1" x14ac:dyDescent="0.35">
      <c r="A2685">
        <v>10341</v>
      </c>
      <c r="B2685">
        <v>34</v>
      </c>
      <c r="C2685" s="3">
        <v>100</v>
      </c>
      <c r="D2685">
        <v>5</v>
      </c>
      <c r="E2685" s="3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 s="3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  <c r="Z2685" s="3">
        <f>Table1[[#This Row],[QUANTITYORDERED]]*Table1[[#This Row],[PRICEEACH]]</f>
        <v>3400</v>
      </c>
    </row>
    <row r="2686" spans="1:26" hidden="1" x14ac:dyDescent="0.35">
      <c r="A2686">
        <v>10353</v>
      </c>
      <c r="B2686">
        <v>43</v>
      </c>
      <c r="C2686" s="3">
        <v>81.95</v>
      </c>
      <c r="D2686">
        <v>6</v>
      </c>
      <c r="E2686" s="3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 s="3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  <c r="Z2686" s="3">
        <f>Table1[[#This Row],[QUANTITYORDERED]]*Table1[[#This Row],[PRICEEACH]]</f>
        <v>3523.85</v>
      </c>
    </row>
    <row r="2687" spans="1:26" hidden="1" x14ac:dyDescent="0.35">
      <c r="A2687">
        <v>10361</v>
      </c>
      <c r="B2687">
        <v>44</v>
      </c>
      <c r="C2687" s="3">
        <v>100</v>
      </c>
      <c r="D2687">
        <v>10</v>
      </c>
      <c r="E2687" s="3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 s="3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  <c r="Z2687" s="3">
        <f>Table1[[#This Row],[QUANTITYORDERED]]*Table1[[#This Row],[PRICEEACH]]</f>
        <v>4400</v>
      </c>
    </row>
    <row r="2688" spans="1:26" hidden="1" x14ac:dyDescent="0.35">
      <c r="A2688">
        <v>10375</v>
      </c>
      <c r="B2688">
        <v>44</v>
      </c>
      <c r="C2688" s="3">
        <v>100</v>
      </c>
      <c r="D2688">
        <v>11</v>
      </c>
      <c r="E2688" s="3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 s="3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  <c r="Z2688" s="3">
        <f>Table1[[#This Row],[QUANTITYORDERED]]*Table1[[#This Row],[PRICEEACH]]</f>
        <v>4400</v>
      </c>
    </row>
    <row r="2689" spans="1:26" hidden="1" x14ac:dyDescent="0.35">
      <c r="A2689">
        <v>10386</v>
      </c>
      <c r="B2689">
        <v>32</v>
      </c>
      <c r="C2689" s="3">
        <v>94.34</v>
      </c>
      <c r="D2689">
        <v>17</v>
      </c>
      <c r="E2689" s="3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 s="3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  <c r="Z2689" s="3">
        <f>Table1[[#This Row],[QUANTITYORDERED]]*Table1[[#This Row],[PRICEEACH]]</f>
        <v>3018.88</v>
      </c>
    </row>
    <row r="2690" spans="1:26" hidden="1" x14ac:dyDescent="0.35">
      <c r="A2690">
        <v>10398</v>
      </c>
      <c r="B2690">
        <v>29</v>
      </c>
      <c r="C2690" s="3">
        <v>65.599999999999994</v>
      </c>
      <c r="D2690">
        <v>10</v>
      </c>
      <c r="E2690" s="3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 s="3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  <c r="Z2690" s="3">
        <f>Table1[[#This Row],[QUANTITYORDERED]]*Table1[[#This Row],[PRICEEACH]]</f>
        <v>1902.3999999999999</v>
      </c>
    </row>
    <row r="2691" spans="1:26" hidden="1" x14ac:dyDescent="0.35">
      <c r="A2691">
        <v>10401</v>
      </c>
      <c r="B2691">
        <v>77</v>
      </c>
      <c r="C2691" s="3">
        <v>92</v>
      </c>
      <c r="D2691">
        <v>9</v>
      </c>
      <c r="E2691" s="3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 s="3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  <c r="Z2691" s="3">
        <f>Table1[[#This Row],[QUANTITYORDERED]]*Table1[[#This Row],[PRICEEACH]]</f>
        <v>7084</v>
      </c>
    </row>
    <row r="2692" spans="1:26" hidden="1" x14ac:dyDescent="0.35">
      <c r="A2692">
        <v>10416</v>
      </c>
      <c r="B2692">
        <v>39</v>
      </c>
      <c r="C2692" s="3">
        <v>67.2</v>
      </c>
      <c r="D2692">
        <v>10</v>
      </c>
      <c r="E2692" s="3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 s="3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  <c r="Z2692" s="3">
        <f>Table1[[#This Row],[QUANTITYORDERED]]*Table1[[#This Row],[PRICEEACH]]</f>
        <v>2620.8000000000002</v>
      </c>
    </row>
    <row r="2693" spans="1:26" hidden="1" x14ac:dyDescent="0.35">
      <c r="A2693">
        <v>10105</v>
      </c>
      <c r="B2693">
        <v>39</v>
      </c>
      <c r="C2693" s="3">
        <v>81.14</v>
      </c>
      <c r="D2693">
        <v>6</v>
      </c>
      <c r="E2693" s="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 s="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  <c r="Z2693" s="3">
        <f>Table1[[#This Row],[QUANTITYORDERED]]*Table1[[#This Row],[PRICEEACH]]</f>
        <v>3164.46</v>
      </c>
    </row>
    <row r="2694" spans="1:26" hidden="1" x14ac:dyDescent="0.35">
      <c r="A2694">
        <v>10118</v>
      </c>
      <c r="B2694">
        <v>36</v>
      </c>
      <c r="C2694" s="3">
        <v>100</v>
      </c>
      <c r="D2694">
        <v>1</v>
      </c>
      <c r="E2694" s="3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 s="3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  <c r="Z2694" s="3">
        <f>Table1[[#This Row],[QUANTITYORDERED]]*Table1[[#This Row],[PRICEEACH]]</f>
        <v>3600</v>
      </c>
    </row>
    <row r="2695" spans="1:26" hidden="1" x14ac:dyDescent="0.35">
      <c r="A2695">
        <v>10129</v>
      </c>
      <c r="B2695">
        <v>42</v>
      </c>
      <c r="C2695" s="3">
        <v>91.15</v>
      </c>
      <c r="D2695">
        <v>6</v>
      </c>
      <c r="E2695" s="3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 s="3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  <c r="Z2695" s="3">
        <f>Table1[[#This Row],[QUANTITYORDERED]]*Table1[[#This Row],[PRICEEACH]]</f>
        <v>3828.3</v>
      </c>
    </row>
    <row r="2696" spans="1:26" hidden="1" x14ac:dyDescent="0.35">
      <c r="A2696">
        <v>10142</v>
      </c>
      <c r="B2696">
        <v>21</v>
      </c>
      <c r="C2696" s="3">
        <v>100</v>
      </c>
      <c r="D2696">
        <v>3</v>
      </c>
      <c r="E2696" s="3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 s="3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  <c r="Z2696" s="3">
        <f>Table1[[#This Row],[QUANTITYORDERED]]*Table1[[#This Row],[PRICEEACH]]</f>
        <v>2100</v>
      </c>
    </row>
    <row r="2697" spans="1:26" hidden="1" x14ac:dyDescent="0.35">
      <c r="A2697">
        <v>10153</v>
      </c>
      <c r="B2697">
        <v>50</v>
      </c>
      <c r="C2697" s="3">
        <v>88.15</v>
      </c>
      <c r="D2697">
        <v>2</v>
      </c>
      <c r="E2697" s="3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 s="3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  <c r="Z2697" s="3">
        <f>Table1[[#This Row],[QUANTITYORDERED]]*Table1[[#This Row],[PRICEEACH]]</f>
        <v>4407.5</v>
      </c>
    </row>
    <row r="2698" spans="1:26" hidden="1" x14ac:dyDescent="0.35">
      <c r="A2698">
        <v>10167</v>
      </c>
      <c r="B2698">
        <v>24</v>
      </c>
      <c r="C2698" s="3">
        <v>100</v>
      </c>
      <c r="D2698">
        <v>13</v>
      </c>
      <c r="E2698" s="3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 s="3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  <c r="Z2698" s="3">
        <f>Table1[[#This Row],[QUANTITYORDERED]]*Table1[[#This Row],[PRICEEACH]]</f>
        <v>2400</v>
      </c>
    </row>
    <row r="2699" spans="1:26" hidden="1" x14ac:dyDescent="0.35">
      <c r="A2699">
        <v>10177</v>
      </c>
      <c r="B2699">
        <v>44</v>
      </c>
      <c r="C2699" s="3">
        <v>92.16</v>
      </c>
      <c r="D2699">
        <v>4</v>
      </c>
      <c r="E2699" s="3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 s="3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  <c r="Z2699" s="3">
        <f>Table1[[#This Row],[QUANTITYORDERED]]*Table1[[#This Row],[PRICEEACH]]</f>
        <v>4055.04</v>
      </c>
    </row>
    <row r="2700" spans="1:26" hidden="1" x14ac:dyDescent="0.35">
      <c r="A2700">
        <v>10185</v>
      </c>
      <c r="B2700">
        <v>37</v>
      </c>
      <c r="C2700" s="3">
        <v>100</v>
      </c>
      <c r="D2700">
        <v>4</v>
      </c>
      <c r="E2700" s="3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 s="3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  <c r="Z2700" s="3">
        <f>Table1[[#This Row],[QUANTITYORDERED]]*Table1[[#This Row],[PRICEEACH]]</f>
        <v>3700</v>
      </c>
    </row>
    <row r="2701" spans="1:26" hidden="1" x14ac:dyDescent="0.35">
      <c r="A2701">
        <v>10197</v>
      </c>
      <c r="B2701">
        <v>27</v>
      </c>
      <c r="C2701" s="3">
        <v>92.16</v>
      </c>
      <c r="D2701">
        <v>10</v>
      </c>
      <c r="E2701" s="3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 s="3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  <c r="Z2701" s="3">
        <f>Table1[[#This Row],[QUANTITYORDERED]]*Table1[[#This Row],[PRICEEACH]]</f>
        <v>2488.3199999999997</v>
      </c>
    </row>
    <row r="2702" spans="1:26" hidden="1" x14ac:dyDescent="0.35">
      <c r="A2702">
        <v>10208</v>
      </c>
      <c r="B2702">
        <v>37</v>
      </c>
      <c r="C2702" s="3">
        <v>100</v>
      </c>
      <c r="D2702">
        <v>4</v>
      </c>
      <c r="E2702" s="3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 s="3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  <c r="Z2702" s="3">
        <f>Table1[[#This Row],[QUANTITYORDERED]]*Table1[[#This Row],[PRICEEACH]]</f>
        <v>3700</v>
      </c>
    </row>
    <row r="2703" spans="1:26" hidden="1" x14ac:dyDescent="0.35">
      <c r="A2703">
        <v>10222</v>
      </c>
      <c r="B2703">
        <v>38</v>
      </c>
      <c r="C2703" s="3">
        <v>100</v>
      </c>
      <c r="D2703">
        <v>16</v>
      </c>
      <c r="E2703" s="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 s="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  <c r="Z2703" s="3">
        <f>Table1[[#This Row],[QUANTITYORDERED]]*Table1[[#This Row],[PRICEEACH]]</f>
        <v>3800</v>
      </c>
    </row>
    <row r="2704" spans="1:26" hidden="1" x14ac:dyDescent="0.35">
      <c r="A2704">
        <v>10232</v>
      </c>
      <c r="B2704">
        <v>48</v>
      </c>
      <c r="C2704" s="3">
        <v>96.16</v>
      </c>
      <c r="D2704">
        <v>1</v>
      </c>
      <c r="E2704" s="3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 s="3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  <c r="Z2704" s="3">
        <f>Table1[[#This Row],[QUANTITYORDERED]]*Table1[[#This Row],[PRICEEACH]]</f>
        <v>4615.68</v>
      </c>
    </row>
    <row r="2705" spans="1:26" hidden="1" x14ac:dyDescent="0.35">
      <c r="A2705">
        <v>10248</v>
      </c>
      <c r="B2705">
        <v>30</v>
      </c>
      <c r="C2705" s="3">
        <v>100</v>
      </c>
      <c r="D2705">
        <v>7</v>
      </c>
      <c r="E2705" s="3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 s="3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  <c r="Z2705" s="3">
        <f>Table1[[#This Row],[QUANTITYORDERED]]*Table1[[#This Row],[PRICEEACH]]</f>
        <v>3000</v>
      </c>
    </row>
    <row r="2706" spans="1:26" hidden="1" x14ac:dyDescent="0.35">
      <c r="A2706">
        <v>10261</v>
      </c>
      <c r="B2706">
        <v>25</v>
      </c>
      <c r="C2706" s="3">
        <v>88.15</v>
      </c>
      <c r="D2706">
        <v>5</v>
      </c>
      <c r="E2706" s="3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 s="3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  <c r="Z2706" s="3">
        <f>Table1[[#This Row],[QUANTITYORDERED]]*Table1[[#This Row],[PRICEEACH]]</f>
        <v>2203.75</v>
      </c>
    </row>
    <row r="2707" spans="1:26" hidden="1" x14ac:dyDescent="0.35">
      <c r="A2707">
        <v>10273</v>
      </c>
      <c r="B2707">
        <v>40</v>
      </c>
      <c r="C2707" s="3">
        <v>86.15</v>
      </c>
      <c r="D2707">
        <v>8</v>
      </c>
      <c r="E2707" s="3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 s="3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  <c r="Z2707" s="3">
        <f>Table1[[#This Row],[QUANTITYORDERED]]*Table1[[#This Row],[PRICEEACH]]</f>
        <v>3446</v>
      </c>
    </row>
    <row r="2708" spans="1:26" hidden="1" x14ac:dyDescent="0.35">
      <c r="A2708">
        <v>10283</v>
      </c>
      <c r="B2708">
        <v>22</v>
      </c>
      <c r="C2708" s="3">
        <v>88.15</v>
      </c>
      <c r="D2708">
        <v>10</v>
      </c>
      <c r="E2708" s="3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 s="3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  <c r="Z2708" s="3">
        <f>Table1[[#This Row],[QUANTITYORDERED]]*Table1[[#This Row],[PRICEEACH]]</f>
        <v>1939.3000000000002</v>
      </c>
    </row>
    <row r="2709" spans="1:26" hidden="1" x14ac:dyDescent="0.35">
      <c r="A2709">
        <v>10295</v>
      </c>
      <c r="B2709">
        <v>34</v>
      </c>
      <c r="C2709" s="3">
        <v>100</v>
      </c>
      <c r="D2709">
        <v>5</v>
      </c>
      <c r="E2709" s="3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 s="3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  <c r="Z2709" s="3">
        <f>Table1[[#This Row],[QUANTITYORDERED]]*Table1[[#This Row],[PRICEEACH]]</f>
        <v>3400</v>
      </c>
    </row>
    <row r="2710" spans="1:26" hidden="1" x14ac:dyDescent="0.35">
      <c r="A2710">
        <v>10306</v>
      </c>
      <c r="B2710">
        <v>32</v>
      </c>
      <c r="C2710" s="3">
        <v>90.15</v>
      </c>
      <c r="D2710">
        <v>4</v>
      </c>
      <c r="E2710" s="3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 s="3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  <c r="Z2710" s="3">
        <f>Table1[[#This Row],[QUANTITYORDERED]]*Table1[[#This Row],[PRICEEACH]]</f>
        <v>2884.8</v>
      </c>
    </row>
    <row r="2711" spans="1:26" hidden="1" x14ac:dyDescent="0.35">
      <c r="A2711">
        <v>10315</v>
      </c>
      <c r="B2711">
        <v>31</v>
      </c>
      <c r="C2711" s="3">
        <v>86.15</v>
      </c>
      <c r="D2711">
        <v>3</v>
      </c>
      <c r="E2711" s="3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 s="3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  <c r="Z2711" s="3">
        <f>Table1[[#This Row],[QUANTITYORDERED]]*Table1[[#This Row],[PRICEEACH]]</f>
        <v>2670.65</v>
      </c>
    </row>
    <row r="2712" spans="1:26" hidden="1" x14ac:dyDescent="0.35">
      <c r="A2712">
        <v>10327</v>
      </c>
      <c r="B2712">
        <v>43</v>
      </c>
      <c r="C2712" s="3">
        <v>80</v>
      </c>
      <c r="D2712">
        <v>2</v>
      </c>
      <c r="E2712" s="3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 s="3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  <c r="Z2712" s="3">
        <f>Table1[[#This Row],[QUANTITYORDERED]]*Table1[[#This Row],[PRICEEACH]]</f>
        <v>3440</v>
      </c>
    </row>
    <row r="2713" spans="1:26" hidden="1" x14ac:dyDescent="0.35">
      <c r="A2713">
        <v>10337</v>
      </c>
      <c r="B2713">
        <v>31</v>
      </c>
      <c r="C2713" s="3">
        <v>89.38</v>
      </c>
      <c r="D2713">
        <v>1</v>
      </c>
      <c r="E2713" s="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 s="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  <c r="Z2713" s="3">
        <f>Table1[[#This Row],[QUANTITYORDERED]]*Table1[[#This Row],[PRICEEACH]]</f>
        <v>2770.7799999999997</v>
      </c>
    </row>
    <row r="2714" spans="1:26" hidden="1" x14ac:dyDescent="0.35">
      <c r="A2714">
        <v>10350</v>
      </c>
      <c r="B2714">
        <v>31</v>
      </c>
      <c r="C2714" s="3">
        <v>77.34</v>
      </c>
      <c r="D2714">
        <v>13</v>
      </c>
      <c r="E2714" s="3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 s="3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  <c r="Z2714" s="3">
        <f>Table1[[#This Row],[QUANTITYORDERED]]*Table1[[#This Row],[PRICEEACH]]</f>
        <v>2397.54</v>
      </c>
    </row>
    <row r="2715" spans="1:26" hidden="1" x14ac:dyDescent="0.35">
      <c r="A2715">
        <v>10373</v>
      </c>
      <c r="B2715">
        <v>34</v>
      </c>
      <c r="C2715" s="3">
        <v>96.34</v>
      </c>
      <c r="D2715">
        <v>2</v>
      </c>
      <c r="E2715" s="3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 s="3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  <c r="Z2715" s="3">
        <f>Table1[[#This Row],[QUANTITYORDERED]]*Table1[[#This Row],[PRICEEACH]]</f>
        <v>3275.56</v>
      </c>
    </row>
    <row r="2716" spans="1:26" hidden="1" x14ac:dyDescent="0.35">
      <c r="A2716">
        <v>10386</v>
      </c>
      <c r="B2716">
        <v>45</v>
      </c>
      <c r="C2716" s="3">
        <v>92.08</v>
      </c>
      <c r="D2716">
        <v>2</v>
      </c>
      <c r="E2716" s="3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 s="3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  <c r="Z2716" s="3">
        <f>Table1[[#This Row],[QUANTITYORDERED]]*Table1[[#This Row],[PRICEEACH]]</f>
        <v>4143.6000000000004</v>
      </c>
    </row>
    <row r="2717" spans="1:26" hidden="1" x14ac:dyDescent="0.35">
      <c r="A2717">
        <v>10397</v>
      </c>
      <c r="B2717">
        <v>48</v>
      </c>
      <c r="C2717" s="3">
        <v>100</v>
      </c>
      <c r="D2717">
        <v>3</v>
      </c>
      <c r="E2717" s="3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 s="3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  <c r="Z2717" s="3">
        <f>Table1[[#This Row],[QUANTITYORDERED]]*Table1[[#This Row],[PRICEEACH]]</f>
        <v>4800</v>
      </c>
    </row>
    <row r="2718" spans="1:26" hidden="1" x14ac:dyDescent="0.35">
      <c r="A2718">
        <v>10414</v>
      </c>
      <c r="B2718">
        <v>28</v>
      </c>
      <c r="C2718" s="3">
        <v>100</v>
      </c>
      <c r="D2718">
        <v>7</v>
      </c>
      <c r="E2718" s="3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 s="3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  <c r="Z2718" s="3">
        <f>Table1[[#This Row],[QUANTITYORDERED]]*Table1[[#This Row],[PRICEEACH]]</f>
        <v>2800</v>
      </c>
    </row>
    <row r="2719" spans="1:26" hidden="1" x14ac:dyDescent="0.35">
      <c r="A2719">
        <v>10105</v>
      </c>
      <c r="B2719">
        <v>22</v>
      </c>
      <c r="C2719" s="3">
        <v>100</v>
      </c>
      <c r="D2719">
        <v>7</v>
      </c>
      <c r="E2719" s="3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 s="3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  <c r="Z2719" s="3">
        <f>Table1[[#This Row],[QUANTITYORDERED]]*Table1[[#This Row],[PRICEEACH]]</f>
        <v>2200</v>
      </c>
    </row>
    <row r="2720" spans="1:26" hidden="1" x14ac:dyDescent="0.35">
      <c r="A2720">
        <v>10117</v>
      </c>
      <c r="B2720">
        <v>45</v>
      </c>
      <c r="C2720" s="3">
        <v>83.42</v>
      </c>
      <c r="D2720">
        <v>1</v>
      </c>
      <c r="E2720" s="3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 s="3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  <c r="Z2720" s="3">
        <f>Table1[[#This Row],[QUANTITYORDERED]]*Table1[[#This Row],[PRICEEACH]]</f>
        <v>3753.9</v>
      </c>
    </row>
    <row r="2721" spans="1:26" hidden="1" x14ac:dyDescent="0.35">
      <c r="A2721">
        <v>10129</v>
      </c>
      <c r="B2721">
        <v>30</v>
      </c>
      <c r="C2721" s="3">
        <v>85.41</v>
      </c>
      <c r="D2721">
        <v>7</v>
      </c>
      <c r="E2721" s="3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 s="3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  <c r="Z2721" s="3">
        <f>Table1[[#This Row],[QUANTITYORDERED]]*Table1[[#This Row],[PRICEEACH]]</f>
        <v>2562.2999999999997</v>
      </c>
    </row>
    <row r="2722" spans="1:26" hidden="1" x14ac:dyDescent="0.35">
      <c r="A2722">
        <v>10142</v>
      </c>
      <c r="B2722">
        <v>38</v>
      </c>
      <c r="C2722" s="3">
        <v>85.41</v>
      </c>
      <c r="D2722">
        <v>4</v>
      </c>
      <c r="E2722" s="3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 s="3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  <c r="Z2722" s="3">
        <f>Table1[[#This Row],[QUANTITYORDERED]]*Table1[[#This Row],[PRICEEACH]]</f>
        <v>3245.58</v>
      </c>
    </row>
    <row r="2723" spans="1:26" hidden="1" x14ac:dyDescent="0.35">
      <c r="A2723">
        <v>10153</v>
      </c>
      <c r="B2723">
        <v>20</v>
      </c>
      <c r="C2723" s="3">
        <v>100</v>
      </c>
      <c r="D2723">
        <v>3</v>
      </c>
      <c r="E2723" s="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 s="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  <c r="Z2723" s="3">
        <f>Table1[[#This Row],[QUANTITYORDERED]]*Table1[[#This Row],[PRICEEACH]]</f>
        <v>2000</v>
      </c>
    </row>
    <row r="2724" spans="1:26" hidden="1" x14ac:dyDescent="0.35">
      <c r="A2724">
        <v>10167</v>
      </c>
      <c r="B2724">
        <v>28</v>
      </c>
      <c r="C2724" s="3">
        <v>100</v>
      </c>
      <c r="D2724">
        <v>14</v>
      </c>
      <c r="E2724" s="3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 s="3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  <c r="Z2724" s="3">
        <f>Table1[[#This Row],[QUANTITYORDERED]]*Table1[[#This Row],[PRICEEACH]]</f>
        <v>2800</v>
      </c>
    </row>
    <row r="2725" spans="1:26" hidden="1" x14ac:dyDescent="0.35">
      <c r="A2725">
        <v>10177</v>
      </c>
      <c r="B2725">
        <v>24</v>
      </c>
      <c r="C2725" s="3">
        <v>100</v>
      </c>
      <c r="D2725">
        <v>5</v>
      </c>
      <c r="E2725" s="3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 s="3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  <c r="Z2725" s="3">
        <f>Table1[[#This Row],[QUANTITYORDERED]]*Table1[[#This Row],[PRICEEACH]]</f>
        <v>2400</v>
      </c>
    </row>
    <row r="2726" spans="1:26" hidden="1" x14ac:dyDescent="0.35">
      <c r="A2726">
        <v>10185</v>
      </c>
      <c r="B2726">
        <v>22</v>
      </c>
      <c r="C2726" s="3">
        <v>79.45</v>
      </c>
      <c r="D2726">
        <v>5</v>
      </c>
      <c r="E2726" s="3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 s="3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  <c r="Z2726" s="3">
        <f>Table1[[#This Row],[QUANTITYORDERED]]*Table1[[#This Row],[PRICEEACH]]</f>
        <v>1747.9</v>
      </c>
    </row>
    <row r="2727" spans="1:26" hidden="1" x14ac:dyDescent="0.35">
      <c r="A2727">
        <v>10197</v>
      </c>
      <c r="B2727">
        <v>35</v>
      </c>
      <c r="C2727" s="3">
        <v>93.35</v>
      </c>
      <c r="D2727">
        <v>11</v>
      </c>
      <c r="E2727" s="3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 s="3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  <c r="Z2727" s="3">
        <f>Table1[[#This Row],[QUANTITYORDERED]]*Table1[[#This Row],[PRICEEACH]]</f>
        <v>3267.25</v>
      </c>
    </row>
    <row r="2728" spans="1:26" hidden="1" x14ac:dyDescent="0.35">
      <c r="A2728">
        <v>10208</v>
      </c>
      <c r="B2728">
        <v>33</v>
      </c>
      <c r="C2728" s="3">
        <v>85.41</v>
      </c>
      <c r="D2728">
        <v>5</v>
      </c>
      <c r="E2728" s="3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 s="3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  <c r="Z2728" s="3">
        <f>Table1[[#This Row],[QUANTITYORDERED]]*Table1[[#This Row],[PRICEEACH]]</f>
        <v>2818.5299999999997</v>
      </c>
    </row>
    <row r="2729" spans="1:26" hidden="1" x14ac:dyDescent="0.35">
      <c r="A2729">
        <v>10222</v>
      </c>
      <c r="B2729">
        <v>31</v>
      </c>
      <c r="C2729" s="3">
        <v>95.34</v>
      </c>
      <c r="D2729">
        <v>17</v>
      </c>
      <c r="E2729" s="3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 s="3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  <c r="Z2729" s="3">
        <f>Table1[[#This Row],[QUANTITYORDERED]]*Table1[[#This Row],[PRICEEACH]]</f>
        <v>2955.54</v>
      </c>
    </row>
    <row r="2730" spans="1:26" hidden="1" x14ac:dyDescent="0.35">
      <c r="A2730">
        <v>10232</v>
      </c>
      <c r="B2730">
        <v>35</v>
      </c>
      <c r="C2730" s="3">
        <v>82.43</v>
      </c>
      <c r="D2730">
        <v>2</v>
      </c>
      <c r="E2730" s="3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 s="3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  <c r="Z2730" s="3">
        <f>Table1[[#This Row],[QUANTITYORDERED]]*Table1[[#This Row],[PRICEEACH]]</f>
        <v>2885.05</v>
      </c>
    </row>
    <row r="2731" spans="1:26" hidden="1" x14ac:dyDescent="0.35">
      <c r="A2731">
        <v>10248</v>
      </c>
      <c r="B2731">
        <v>35</v>
      </c>
      <c r="C2731" s="3">
        <v>90.37</v>
      </c>
      <c r="D2731">
        <v>8</v>
      </c>
      <c r="E2731" s="3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 s="3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  <c r="Z2731" s="3">
        <f>Table1[[#This Row],[QUANTITYORDERED]]*Table1[[#This Row],[PRICEEACH]]</f>
        <v>3162.9500000000003</v>
      </c>
    </row>
    <row r="2732" spans="1:26" hidden="1" x14ac:dyDescent="0.35">
      <c r="A2732">
        <v>10261</v>
      </c>
      <c r="B2732">
        <v>50</v>
      </c>
      <c r="C2732" s="3">
        <v>81.430000000000007</v>
      </c>
      <c r="D2732">
        <v>6</v>
      </c>
      <c r="E2732" s="3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 s="3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  <c r="Z2732" s="3">
        <f>Table1[[#This Row],[QUANTITYORDERED]]*Table1[[#This Row],[PRICEEACH]]</f>
        <v>4071.5000000000005</v>
      </c>
    </row>
    <row r="2733" spans="1:26" hidden="1" x14ac:dyDescent="0.35">
      <c r="A2733">
        <v>10273</v>
      </c>
      <c r="B2733">
        <v>26</v>
      </c>
      <c r="C2733" s="3">
        <v>100</v>
      </c>
      <c r="D2733">
        <v>9</v>
      </c>
      <c r="E2733" s="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 s="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  <c r="Z2733" s="3">
        <f>Table1[[#This Row],[QUANTITYORDERED]]*Table1[[#This Row],[PRICEEACH]]</f>
        <v>2600</v>
      </c>
    </row>
    <row r="2734" spans="1:26" hidden="1" x14ac:dyDescent="0.35">
      <c r="A2734">
        <v>10283</v>
      </c>
      <c r="B2734">
        <v>38</v>
      </c>
      <c r="C2734" s="3">
        <v>89.38</v>
      </c>
      <c r="D2734">
        <v>11</v>
      </c>
      <c r="E2734" s="3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 s="3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  <c r="Z2734" s="3">
        <f>Table1[[#This Row],[QUANTITYORDERED]]*Table1[[#This Row],[PRICEEACH]]</f>
        <v>3396.4399999999996</v>
      </c>
    </row>
    <row r="2735" spans="1:26" hidden="1" x14ac:dyDescent="0.35">
      <c r="A2735">
        <v>10294</v>
      </c>
      <c r="B2735">
        <v>45</v>
      </c>
      <c r="C2735" s="3">
        <v>100</v>
      </c>
      <c r="D2735">
        <v>1</v>
      </c>
      <c r="E2735" s="3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 s="3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  <c r="Z2735" s="3">
        <f>Table1[[#This Row],[QUANTITYORDERED]]*Table1[[#This Row],[PRICEEACH]]</f>
        <v>4500</v>
      </c>
    </row>
    <row r="2736" spans="1:26" hidden="1" x14ac:dyDescent="0.35">
      <c r="A2736">
        <v>10306</v>
      </c>
      <c r="B2736">
        <v>30</v>
      </c>
      <c r="C2736" s="3">
        <v>100</v>
      </c>
      <c r="D2736">
        <v>5</v>
      </c>
      <c r="E2736" s="3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 s="3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  <c r="Z2736" s="3">
        <f>Table1[[#This Row],[QUANTITYORDERED]]*Table1[[#This Row],[PRICEEACH]]</f>
        <v>3000</v>
      </c>
    </row>
    <row r="2737" spans="1:26" hidden="1" x14ac:dyDescent="0.35">
      <c r="A2737">
        <v>10315</v>
      </c>
      <c r="B2737">
        <v>37</v>
      </c>
      <c r="C2737" s="3">
        <v>91.37</v>
      </c>
      <c r="D2737">
        <v>4</v>
      </c>
      <c r="E2737" s="3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 s="3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  <c r="Z2737" s="3">
        <f>Table1[[#This Row],[QUANTITYORDERED]]*Table1[[#This Row],[PRICEEACH]]</f>
        <v>3380.69</v>
      </c>
    </row>
    <row r="2738" spans="1:26" hidden="1" x14ac:dyDescent="0.35">
      <c r="A2738">
        <v>10327</v>
      </c>
      <c r="B2738">
        <v>37</v>
      </c>
      <c r="C2738" s="3">
        <v>86.61</v>
      </c>
      <c r="D2738">
        <v>3</v>
      </c>
      <c r="E2738" s="3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 s="3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  <c r="Z2738" s="3">
        <f>Table1[[#This Row],[QUANTITYORDERED]]*Table1[[#This Row],[PRICEEACH]]</f>
        <v>3204.57</v>
      </c>
    </row>
    <row r="2739" spans="1:26" hidden="1" x14ac:dyDescent="0.35">
      <c r="A2739">
        <v>10337</v>
      </c>
      <c r="B2739">
        <v>36</v>
      </c>
      <c r="C2739" s="3">
        <v>71.89</v>
      </c>
      <c r="D2739">
        <v>7</v>
      </c>
      <c r="E2739" s="3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 s="3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  <c r="Z2739" s="3">
        <f>Table1[[#This Row],[QUANTITYORDERED]]*Table1[[#This Row],[PRICEEACH]]</f>
        <v>2588.04</v>
      </c>
    </row>
    <row r="2740" spans="1:26" hidden="1" x14ac:dyDescent="0.35">
      <c r="A2740">
        <v>10350</v>
      </c>
      <c r="B2740">
        <v>25</v>
      </c>
      <c r="C2740" s="3">
        <v>100</v>
      </c>
      <c r="D2740">
        <v>16</v>
      </c>
      <c r="E2740" s="3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 s="3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  <c r="Z2740" s="3">
        <f>Table1[[#This Row],[QUANTITYORDERED]]*Table1[[#This Row],[PRICEEACH]]</f>
        <v>2500</v>
      </c>
    </row>
    <row r="2741" spans="1:26" hidden="1" x14ac:dyDescent="0.35">
      <c r="A2741">
        <v>10373</v>
      </c>
      <c r="B2741">
        <v>37</v>
      </c>
      <c r="C2741" s="3">
        <v>100</v>
      </c>
      <c r="D2741">
        <v>8</v>
      </c>
      <c r="E2741" s="3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 s="3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  <c r="Z2741" s="3">
        <f>Table1[[#This Row],[QUANTITYORDERED]]*Table1[[#This Row],[PRICEEACH]]</f>
        <v>3700</v>
      </c>
    </row>
    <row r="2742" spans="1:26" hidden="1" x14ac:dyDescent="0.35">
      <c r="A2742">
        <v>10386</v>
      </c>
      <c r="B2742">
        <v>30</v>
      </c>
      <c r="C2742" s="3">
        <v>95.48</v>
      </c>
      <c r="D2742">
        <v>3</v>
      </c>
      <c r="E2742" s="3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 s="3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  <c r="Z2742" s="3">
        <f>Table1[[#This Row],[QUANTITYORDERED]]*Table1[[#This Row],[PRICEEACH]]</f>
        <v>2864.4</v>
      </c>
    </row>
    <row r="2743" spans="1:26" hidden="1" x14ac:dyDescent="0.35">
      <c r="A2743">
        <v>10397</v>
      </c>
      <c r="B2743">
        <v>36</v>
      </c>
      <c r="C2743" s="3">
        <v>100</v>
      </c>
      <c r="D2743">
        <v>2</v>
      </c>
      <c r="E2743" s="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 s="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  <c r="Z2743" s="3">
        <f>Table1[[#This Row],[QUANTITYORDERED]]*Table1[[#This Row],[PRICEEACH]]</f>
        <v>3600</v>
      </c>
    </row>
    <row r="2744" spans="1:26" hidden="1" x14ac:dyDescent="0.35">
      <c r="A2744">
        <v>10414</v>
      </c>
      <c r="B2744">
        <v>27</v>
      </c>
      <c r="C2744" s="3">
        <v>90.37</v>
      </c>
      <c r="D2744">
        <v>8</v>
      </c>
      <c r="E2744" s="3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 s="3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  <c r="Z2744" s="3">
        <f>Table1[[#This Row],[QUANTITYORDERED]]*Table1[[#This Row],[PRICEEACH]]</f>
        <v>2439.9900000000002</v>
      </c>
    </row>
    <row r="2745" spans="1:26" hidden="1" x14ac:dyDescent="0.35">
      <c r="A2745">
        <v>10106</v>
      </c>
      <c r="B2745">
        <v>48</v>
      </c>
      <c r="C2745" s="3">
        <v>61.44</v>
      </c>
      <c r="D2745">
        <v>10</v>
      </c>
      <c r="E2745" s="3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 s="3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  <c r="Z2745" s="3">
        <f>Table1[[#This Row],[QUANTITYORDERED]]*Table1[[#This Row],[PRICEEACH]]</f>
        <v>2949.12</v>
      </c>
    </row>
    <row r="2746" spans="1:26" hidden="1" x14ac:dyDescent="0.35">
      <c r="A2746">
        <v>10119</v>
      </c>
      <c r="B2746">
        <v>26</v>
      </c>
      <c r="C2746" s="3">
        <v>59.22</v>
      </c>
      <c r="D2746">
        <v>1</v>
      </c>
      <c r="E2746" s="3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 s="3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  <c r="Z2746" s="3">
        <f>Table1[[#This Row],[QUANTITYORDERED]]*Table1[[#This Row],[PRICEEACH]]</f>
        <v>1539.72</v>
      </c>
    </row>
    <row r="2747" spans="1:26" hidden="1" x14ac:dyDescent="0.35">
      <c r="A2747">
        <v>10131</v>
      </c>
      <c r="B2747">
        <v>26</v>
      </c>
      <c r="C2747" s="3">
        <v>85.13</v>
      </c>
      <c r="D2747">
        <v>2</v>
      </c>
      <c r="E2747" s="3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 s="3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  <c r="Z2747" s="3">
        <f>Table1[[#This Row],[QUANTITYORDERED]]*Table1[[#This Row],[PRICEEACH]]</f>
        <v>2213.38</v>
      </c>
    </row>
    <row r="2748" spans="1:26" hidden="1" x14ac:dyDescent="0.35">
      <c r="A2748">
        <v>10143</v>
      </c>
      <c r="B2748">
        <v>34</v>
      </c>
      <c r="C2748" s="3">
        <v>85.87</v>
      </c>
      <c r="D2748">
        <v>5</v>
      </c>
      <c r="E2748" s="3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 s="3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  <c r="Z2748" s="3">
        <f>Table1[[#This Row],[QUANTITYORDERED]]*Table1[[#This Row],[PRICEEACH]]</f>
        <v>2919.58</v>
      </c>
    </row>
    <row r="2749" spans="1:26" hidden="1" x14ac:dyDescent="0.35">
      <c r="A2749">
        <v>10155</v>
      </c>
      <c r="B2749">
        <v>44</v>
      </c>
      <c r="C2749" s="3">
        <v>85.87</v>
      </c>
      <c r="D2749">
        <v>3</v>
      </c>
      <c r="E2749" s="3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 s="3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  <c r="Z2749" s="3">
        <f>Table1[[#This Row],[QUANTITYORDERED]]*Table1[[#This Row],[PRICEEACH]]</f>
        <v>3778.28</v>
      </c>
    </row>
    <row r="2750" spans="1:26" hidden="1" x14ac:dyDescent="0.35">
      <c r="A2750">
        <v>10168</v>
      </c>
      <c r="B2750">
        <v>39</v>
      </c>
      <c r="C2750" s="3">
        <v>82.91</v>
      </c>
      <c r="D2750">
        <v>17</v>
      </c>
      <c r="E2750" s="3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 s="3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  <c r="Z2750" s="3">
        <f>Table1[[#This Row],[QUANTITYORDERED]]*Table1[[#This Row],[PRICEEACH]]</f>
        <v>3233.49</v>
      </c>
    </row>
    <row r="2751" spans="1:26" hidden="1" x14ac:dyDescent="0.35">
      <c r="A2751">
        <v>10178</v>
      </c>
      <c r="B2751">
        <v>45</v>
      </c>
      <c r="C2751" s="3">
        <v>76.25</v>
      </c>
      <c r="D2751">
        <v>2</v>
      </c>
      <c r="E2751" s="3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 s="3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  <c r="Z2751" s="3">
        <f>Table1[[#This Row],[QUANTITYORDERED]]*Table1[[#This Row],[PRICEEACH]]</f>
        <v>3431.25</v>
      </c>
    </row>
    <row r="2752" spans="1:26" hidden="1" x14ac:dyDescent="0.35">
      <c r="A2752">
        <v>10198</v>
      </c>
      <c r="B2752">
        <v>40</v>
      </c>
      <c r="C2752" s="3">
        <v>63.67</v>
      </c>
      <c r="D2752">
        <v>2</v>
      </c>
      <c r="E2752" s="3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 s="3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  <c r="Z2752" s="3">
        <f>Table1[[#This Row],[QUANTITYORDERED]]*Table1[[#This Row],[PRICEEACH]]</f>
        <v>2546.8000000000002</v>
      </c>
    </row>
    <row r="2753" spans="1:26" hidden="1" x14ac:dyDescent="0.35">
      <c r="A2753">
        <v>10210</v>
      </c>
      <c r="B2753">
        <v>42</v>
      </c>
      <c r="C2753" s="3">
        <v>70.33</v>
      </c>
      <c r="D2753">
        <v>15</v>
      </c>
      <c r="E2753" s="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 s="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  <c r="Z2753" s="3">
        <f>Table1[[#This Row],[QUANTITYORDERED]]*Table1[[#This Row],[PRICEEACH]]</f>
        <v>2953.86</v>
      </c>
    </row>
    <row r="2754" spans="1:26" hidden="1" x14ac:dyDescent="0.35">
      <c r="A2754">
        <v>10222</v>
      </c>
      <c r="B2754">
        <v>43</v>
      </c>
      <c r="C2754" s="3">
        <v>74.03</v>
      </c>
      <c r="D2754">
        <v>2</v>
      </c>
      <c r="E2754" s="3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 s="3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  <c r="Z2754" s="3">
        <f>Table1[[#This Row],[QUANTITYORDERED]]*Table1[[#This Row],[PRICEEACH]]</f>
        <v>3183.29</v>
      </c>
    </row>
    <row r="2755" spans="1:26" hidden="1" x14ac:dyDescent="0.35">
      <c r="A2755">
        <v>10235</v>
      </c>
      <c r="B2755">
        <v>34</v>
      </c>
      <c r="C2755" s="3">
        <v>72.55</v>
      </c>
      <c r="D2755">
        <v>11</v>
      </c>
      <c r="E2755" s="3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 s="3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  <c r="Z2755" s="3">
        <f>Table1[[#This Row],[QUANTITYORDERED]]*Table1[[#This Row],[PRICEEACH]]</f>
        <v>2466.6999999999998</v>
      </c>
    </row>
    <row r="2756" spans="1:26" hidden="1" x14ac:dyDescent="0.35">
      <c r="A2756">
        <v>10250</v>
      </c>
      <c r="B2756">
        <v>38</v>
      </c>
      <c r="C2756" s="3">
        <v>62.19</v>
      </c>
      <c r="D2756">
        <v>12</v>
      </c>
      <c r="E2756" s="3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 s="3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  <c r="Z2756" s="3">
        <f>Table1[[#This Row],[QUANTITYORDERED]]*Table1[[#This Row],[PRICEEACH]]</f>
        <v>2363.2199999999998</v>
      </c>
    </row>
    <row r="2757" spans="1:26" hidden="1" x14ac:dyDescent="0.35">
      <c r="A2757">
        <v>10262</v>
      </c>
      <c r="B2757">
        <v>35</v>
      </c>
      <c r="C2757" s="3">
        <v>71.069999999999993</v>
      </c>
      <c r="D2757">
        <v>7</v>
      </c>
      <c r="E2757" s="3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 s="3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  <c r="Z2757" s="3">
        <f>Table1[[#This Row],[QUANTITYORDERED]]*Table1[[#This Row],[PRICEEACH]]</f>
        <v>2487.4499999999998</v>
      </c>
    </row>
    <row r="2758" spans="1:26" hidden="1" x14ac:dyDescent="0.35">
      <c r="A2758">
        <v>10275</v>
      </c>
      <c r="B2758">
        <v>31</v>
      </c>
      <c r="C2758" s="3">
        <v>72.55</v>
      </c>
      <c r="D2758">
        <v>17</v>
      </c>
      <c r="E2758" s="3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 s="3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  <c r="Z2758" s="3">
        <f>Table1[[#This Row],[QUANTITYORDERED]]*Table1[[#This Row],[PRICEEACH]]</f>
        <v>2249.0499999999997</v>
      </c>
    </row>
    <row r="2759" spans="1:26" hidden="1" x14ac:dyDescent="0.35">
      <c r="A2759">
        <v>10284</v>
      </c>
      <c r="B2759">
        <v>32</v>
      </c>
      <c r="C2759" s="3">
        <v>64.41</v>
      </c>
      <c r="D2759">
        <v>9</v>
      </c>
      <c r="E2759" s="3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 s="3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  <c r="Z2759" s="3">
        <f>Table1[[#This Row],[QUANTITYORDERED]]*Table1[[#This Row],[PRICEEACH]]</f>
        <v>2061.12</v>
      </c>
    </row>
    <row r="2760" spans="1:26" hidden="1" x14ac:dyDescent="0.35">
      <c r="A2760">
        <v>10296</v>
      </c>
      <c r="B2760">
        <v>47</v>
      </c>
      <c r="C2760" s="3">
        <v>86.62</v>
      </c>
      <c r="D2760">
        <v>5</v>
      </c>
      <c r="E2760" s="3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 s="3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  <c r="Z2760" s="3">
        <f>Table1[[#This Row],[QUANTITYORDERED]]*Table1[[#This Row],[PRICEEACH]]</f>
        <v>4071.1400000000003</v>
      </c>
    </row>
    <row r="2761" spans="1:26" hidden="1" x14ac:dyDescent="0.35">
      <c r="A2761">
        <v>10308</v>
      </c>
      <c r="B2761">
        <v>39</v>
      </c>
      <c r="C2761" s="3">
        <v>68.11</v>
      </c>
      <c r="D2761">
        <v>15</v>
      </c>
      <c r="E2761" s="3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 s="3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  <c r="Z2761" s="3">
        <f>Table1[[#This Row],[QUANTITYORDERED]]*Table1[[#This Row],[PRICEEACH]]</f>
        <v>2656.29</v>
      </c>
    </row>
    <row r="2762" spans="1:26" hidden="1" x14ac:dyDescent="0.35">
      <c r="A2762">
        <v>10316</v>
      </c>
      <c r="B2762">
        <v>44</v>
      </c>
      <c r="C2762" s="3">
        <v>62.19</v>
      </c>
      <c r="D2762">
        <v>7</v>
      </c>
      <c r="E2762" s="3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 s="3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  <c r="Z2762" s="3">
        <f>Table1[[#This Row],[QUANTITYORDERED]]*Table1[[#This Row],[PRICEEACH]]</f>
        <v>2736.3599999999997</v>
      </c>
    </row>
    <row r="2763" spans="1:26" hidden="1" x14ac:dyDescent="0.35">
      <c r="A2763">
        <v>10328</v>
      </c>
      <c r="B2763">
        <v>39</v>
      </c>
      <c r="C2763" s="3">
        <v>85.87</v>
      </c>
      <c r="D2763">
        <v>12</v>
      </c>
      <c r="E2763" s="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 s="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  <c r="Z2763" s="3">
        <f>Table1[[#This Row],[QUANTITYORDERED]]*Table1[[#This Row],[PRICEEACH]]</f>
        <v>3348.9300000000003</v>
      </c>
    </row>
    <row r="2764" spans="1:26" hidden="1" x14ac:dyDescent="0.35">
      <c r="A2764">
        <v>10339</v>
      </c>
      <c r="B2764">
        <v>50</v>
      </c>
      <c r="C2764" s="3">
        <v>57.86</v>
      </c>
      <c r="D2764">
        <v>8</v>
      </c>
      <c r="E2764" s="3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 s="3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  <c r="Z2764" s="3">
        <f>Table1[[#This Row],[QUANTITYORDERED]]*Table1[[#This Row],[PRICEEACH]]</f>
        <v>2893</v>
      </c>
    </row>
    <row r="2765" spans="1:26" hidden="1" x14ac:dyDescent="0.35">
      <c r="A2765">
        <v>10352</v>
      </c>
      <c r="B2765">
        <v>22</v>
      </c>
      <c r="C2765" s="3">
        <v>75.510000000000005</v>
      </c>
      <c r="D2765">
        <v>1</v>
      </c>
      <c r="E2765" s="3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 s="3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  <c r="Z2765" s="3">
        <f>Table1[[#This Row],[QUANTITYORDERED]]*Table1[[#This Row],[PRICEEACH]]</f>
        <v>1661.22</v>
      </c>
    </row>
    <row r="2766" spans="1:26" hidden="1" x14ac:dyDescent="0.35">
      <c r="A2766">
        <v>10361</v>
      </c>
      <c r="B2766">
        <v>35</v>
      </c>
      <c r="C2766" s="3">
        <v>100</v>
      </c>
      <c r="D2766">
        <v>11</v>
      </c>
      <c r="E2766" s="3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 s="3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  <c r="Z2766" s="3">
        <f>Table1[[#This Row],[QUANTITYORDERED]]*Table1[[#This Row],[PRICEEACH]]</f>
        <v>3500</v>
      </c>
    </row>
    <row r="2767" spans="1:26" hidden="1" x14ac:dyDescent="0.35">
      <c r="A2767">
        <v>10373</v>
      </c>
      <c r="B2767">
        <v>45</v>
      </c>
      <c r="C2767" s="3">
        <v>55.62</v>
      </c>
      <c r="D2767">
        <v>17</v>
      </c>
      <c r="E2767" s="3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 s="3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  <c r="Z2767" s="3">
        <f>Table1[[#This Row],[QUANTITYORDERED]]*Table1[[#This Row],[PRICEEACH]]</f>
        <v>2502.9</v>
      </c>
    </row>
    <row r="2768" spans="1:26" hidden="1" x14ac:dyDescent="0.35">
      <c r="A2768">
        <v>10386</v>
      </c>
      <c r="B2768">
        <v>44</v>
      </c>
      <c r="C2768" s="3">
        <v>86.4</v>
      </c>
      <c r="D2768">
        <v>15</v>
      </c>
      <c r="E2768" s="3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 s="3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  <c r="Z2768" s="3">
        <f>Table1[[#This Row],[QUANTITYORDERED]]*Table1[[#This Row],[PRICEEACH]]</f>
        <v>3801.6000000000004</v>
      </c>
    </row>
    <row r="2769" spans="1:26" hidden="1" x14ac:dyDescent="0.35">
      <c r="A2769">
        <v>10398</v>
      </c>
      <c r="B2769">
        <v>36</v>
      </c>
      <c r="C2769" s="3">
        <v>87.36</v>
      </c>
      <c r="D2769">
        <v>12</v>
      </c>
      <c r="E2769" s="3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 s="3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  <c r="Z2769" s="3">
        <f>Table1[[#This Row],[QUANTITYORDERED]]*Table1[[#This Row],[PRICEEACH]]</f>
        <v>3144.96</v>
      </c>
    </row>
    <row r="2770" spans="1:26" hidden="1" x14ac:dyDescent="0.35">
      <c r="A2770">
        <v>10401</v>
      </c>
      <c r="B2770">
        <v>28</v>
      </c>
      <c r="C2770" s="3">
        <v>72.55</v>
      </c>
      <c r="D2770">
        <v>11</v>
      </c>
      <c r="E2770" s="3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 s="3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  <c r="Z2770" s="3">
        <f>Table1[[#This Row],[QUANTITYORDERED]]*Table1[[#This Row],[PRICEEACH]]</f>
        <v>2031.3999999999999</v>
      </c>
    </row>
    <row r="2771" spans="1:26" hidden="1" x14ac:dyDescent="0.35">
      <c r="A2771">
        <v>10416</v>
      </c>
      <c r="B2771">
        <v>43</v>
      </c>
      <c r="C2771" s="3">
        <v>62.19</v>
      </c>
      <c r="D2771">
        <v>12</v>
      </c>
      <c r="E2771" s="3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 s="3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  <c r="Z2771" s="3">
        <f>Table1[[#This Row],[QUANTITYORDERED]]*Table1[[#This Row],[PRICEEACH]]</f>
        <v>2674.17</v>
      </c>
    </row>
    <row r="2772" spans="1:26" hidden="1" x14ac:dyDescent="0.35">
      <c r="A2772">
        <v>10106</v>
      </c>
      <c r="B2772">
        <v>48</v>
      </c>
      <c r="C2772" s="3">
        <v>52.64</v>
      </c>
      <c r="D2772">
        <v>15</v>
      </c>
      <c r="E2772" s="3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 s="3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  <c r="Z2772" s="3">
        <f>Table1[[#This Row],[QUANTITYORDERED]]*Table1[[#This Row],[PRICEEACH]]</f>
        <v>2526.7200000000003</v>
      </c>
    </row>
    <row r="2773" spans="1:26" hidden="1" x14ac:dyDescent="0.35">
      <c r="A2773">
        <v>10119</v>
      </c>
      <c r="B2773">
        <v>28</v>
      </c>
      <c r="C2773" s="3">
        <v>48.17</v>
      </c>
      <c r="D2773">
        <v>6</v>
      </c>
      <c r="E2773" s="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 s="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  <c r="Z2773" s="3">
        <f>Table1[[#This Row],[QUANTITYORDERED]]*Table1[[#This Row],[PRICEEACH]]</f>
        <v>1348.76</v>
      </c>
    </row>
    <row r="2774" spans="1:26" hidden="1" x14ac:dyDescent="0.35">
      <c r="A2774">
        <v>10131</v>
      </c>
      <c r="B2774">
        <v>21</v>
      </c>
      <c r="C2774" s="3">
        <v>41.71</v>
      </c>
      <c r="D2774">
        <v>7</v>
      </c>
      <c r="E2774" s="3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 s="3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  <c r="Z2774" s="3">
        <f>Table1[[#This Row],[QUANTITYORDERED]]*Table1[[#This Row],[PRICEEACH]]</f>
        <v>875.91</v>
      </c>
    </row>
    <row r="2775" spans="1:26" hidden="1" x14ac:dyDescent="0.35">
      <c r="A2775">
        <v>10143</v>
      </c>
      <c r="B2775">
        <v>37</v>
      </c>
      <c r="C2775" s="3">
        <v>50.65</v>
      </c>
      <c r="D2775">
        <v>10</v>
      </c>
      <c r="E2775" s="3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 s="3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  <c r="Z2775" s="3">
        <f>Table1[[#This Row],[QUANTITYORDERED]]*Table1[[#This Row],[PRICEEACH]]</f>
        <v>1874.05</v>
      </c>
    </row>
    <row r="2776" spans="1:26" hidden="1" x14ac:dyDescent="0.35">
      <c r="A2776">
        <v>10155</v>
      </c>
      <c r="B2776">
        <v>34</v>
      </c>
      <c r="C2776" s="3">
        <v>49.16</v>
      </c>
      <c r="D2776">
        <v>8</v>
      </c>
      <c r="E2776" s="3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 s="3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  <c r="Z2776" s="3">
        <f>Table1[[#This Row],[QUANTITYORDERED]]*Table1[[#This Row],[PRICEEACH]]</f>
        <v>1671.4399999999998</v>
      </c>
    </row>
    <row r="2777" spans="1:26" hidden="1" x14ac:dyDescent="0.35">
      <c r="A2777">
        <v>10167</v>
      </c>
      <c r="B2777">
        <v>40</v>
      </c>
      <c r="C2777" s="3">
        <v>41.71</v>
      </c>
      <c r="D2777">
        <v>4</v>
      </c>
      <c r="E2777" s="3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 s="3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  <c r="Z2777" s="3">
        <f>Table1[[#This Row],[QUANTITYORDERED]]*Table1[[#This Row],[PRICEEACH]]</f>
        <v>1668.4</v>
      </c>
    </row>
    <row r="2778" spans="1:26" hidden="1" x14ac:dyDescent="0.35">
      <c r="A2778">
        <v>10178</v>
      </c>
      <c r="B2778">
        <v>45</v>
      </c>
      <c r="C2778" s="3">
        <v>51.15</v>
      </c>
      <c r="D2778">
        <v>7</v>
      </c>
      <c r="E2778" s="3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 s="3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  <c r="Z2778" s="3">
        <f>Table1[[#This Row],[QUANTITYORDERED]]*Table1[[#This Row],[PRICEEACH]]</f>
        <v>2301.75</v>
      </c>
    </row>
    <row r="2779" spans="1:26" hidden="1" x14ac:dyDescent="0.35">
      <c r="A2779">
        <v>10186</v>
      </c>
      <c r="B2779">
        <v>28</v>
      </c>
      <c r="C2779" s="3">
        <v>52.14</v>
      </c>
      <c r="D2779">
        <v>4</v>
      </c>
      <c r="E2779" s="3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 s="3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  <c r="Z2779" s="3">
        <f>Table1[[#This Row],[QUANTITYORDERED]]*Table1[[#This Row],[PRICEEACH]]</f>
        <v>1459.92</v>
      </c>
    </row>
    <row r="2780" spans="1:26" hidden="1" x14ac:dyDescent="0.35">
      <c r="A2780">
        <v>10197</v>
      </c>
      <c r="B2780">
        <v>29</v>
      </c>
      <c r="C2780" s="3">
        <v>41.71</v>
      </c>
      <c r="D2780">
        <v>1</v>
      </c>
      <c r="E2780" s="3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 s="3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  <c r="Z2780" s="3">
        <f>Table1[[#This Row],[QUANTITYORDERED]]*Table1[[#This Row],[PRICEEACH]]</f>
        <v>1209.5899999999999</v>
      </c>
    </row>
    <row r="2781" spans="1:26" hidden="1" x14ac:dyDescent="0.35">
      <c r="A2781">
        <v>10209</v>
      </c>
      <c r="B2781">
        <v>48</v>
      </c>
      <c r="C2781" s="3">
        <v>44.69</v>
      </c>
      <c r="D2781">
        <v>3</v>
      </c>
      <c r="E2781" s="3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 s="3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  <c r="Z2781" s="3">
        <f>Table1[[#This Row],[QUANTITYORDERED]]*Table1[[#This Row],[PRICEEACH]]</f>
        <v>2145.12</v>
      </c>
    </row>
    <row r="2782" spans="1:26" hidden="1" x14ac:dyDescent="0.35">
      <c r="A2782">
        <v>10222</v>
      </c>
      <c r="B2782">
        <v>31</v>
      </c>
      <c r="C2782" s="3">
        <v>45.69</v>
      </c>
      <c r="D2782">
        <v>7</v>
      </c>
      <c r="E2782" s="3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 s="3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  <c r="Z2782" s="3">
        <f>Table1[[#This Row],[QUANTITYORDERED]]*Table1[[#This Row],[PRICEEACH]]</f>
        <v>1416.3899999999999</v>
      </c>
    </row>
    <row r="2783" spans="1:26" hidden="1" x14ac:dyDescent="0.35">
      <c r="A2783">
        <v>10249</v>
      </c>
      <c r="B2783">
        <v>32</v>
      </c>
      <c r="C2783" s="3">
        <v>57.61</v>
      </c>
      <c r="D2783">
        <v>3</v>
      </c>
      <c r="E2783" s="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 s="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  <c r="Z2783" s="3">
        <f>Table1[[#This Row],[QUANTITYORDERED]]*Table1[[#This Row],[PRICEEACH]]</f>
        <v>1843.52</v>
      </c>
    </row>
    <row r="2784" spans="1:26" hidden="1" x14ac:dyDescent="0.35">
      <c r="A2784">
        <v>10262</v>
      </c>
      <c r="B2784">
        <v>21</v>
      </c>
      <c r="C2784" s="3">
        <v>57.11</v>
      </c>
      <c r="D2784">
        <v>12</v>
      </c>
      <c r="E2784" s="3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 s="3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  <c r="Z2784" s="3">
        <f>Table1[[#This Row],[QUANTITYORDERED]]*Table1[[#This Row],[PRICEEACH]]</f>
        <v>1199.31</v>
      </c>
    </row>
    <row r="2785" spans="1:26" hidden="1" x14ac:dyDescent="0.35">
      <c r="A2785">
        <v>10274</v>
      </c>
      <c r="B2785">
        <v>32</v>
      </c>
      <c r="C2785" s="3">
        <v>58.6</v>
      </c>
      <c r="D2785">
        <v>4</v>
      </c>
      <c r="E2785" s="3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 s="3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  <c r="Z2785" s="3">
        <f>Table1[[#This Row],[QUANTITYORDERED]]*Table1[[#This Row],[PRICEEACH]]</f>
        <v>1875.2</v>
      </c>
    </row>
    <row r="2786" spans="1:26" hidden="1" x14ac:dyDescent="0.35">
      <c r="A2786">
        <v>10283</v>
      </c>
      <c r="B2786">
        <v>43</v>
      </c>
      <c r="C2786" s="3">
        <v>57.61</v>
      </c>
      <c r="D2786">
        <v>1</v>
      </c>
      <c r="E2786" s="3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 s="3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  <c r="Z2786" s="3">
        <f>Table1[[#This Row],[QUANTITYORDERED]]*Table1[[#This Row],[PRICEEACH]]</f>
        <v>2477.23</v>
      </c>
    </row>
    <row r="2787" spans="1:26" hidden="1" x14ac:dyDescent="0.35">
      <c r="A2787">
        <v>10296</v>
      </c>
      <c r="B2787">
        <v>21</v>
      </c>
      <c r="C2787" s="3">
        <v>45.19</v>
      </c>
      <c r="D2787">
        <v>10</v>
      </c>
      <c r="E2787" s="3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 s="3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  <c r="Z2787" s="3">
        <f>Table1[[#This Row],[QUANTITYORDERED]]*Table1[[#This Row],[PRICEEACH]]</f>
        <v>948.99</v>
      </c>
    </row>
    <row r="2788" spans="1:26" hidden="1" x14ac:dyDescent="0.35">
      <c r="A2788">
        <v>10307</v>
      </c>
      <c r="B2788">
        <v>34</v>
      </c>
      <c r="C2788" s="3">
        <v>53.63</v>
      </c>
      <c r="D2788">
        <v>4</v>
      </c>
      <c r="E2788" s="3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 s="3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  <c r="Z2788" s="3">
        <f>Table1[[#This Row],[QUANTITYORDERED]]*Table1[[#This Row],[PRICEEACH]]</f>
        <v>1823.42</v>
      </c>
    </row>
    <row r="2789" spans="1:26" hidden="1" x14ac:dyDescent="0.35">
      <c r="A2789">
        <v>10316</v>
      </c>
      <c r="B2789">
        <v>34</v>
      </c>
      <c r="C2789" s="3">
        <v>43.7</v>
      </c>
      <c r="D2789">
        <v>12</v>
      </c>
      <c r="E2789" s="3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 s="3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  <c r="Z2789" s="3">
        <f>Table1[[#This Row],[QUANTITYORDERED]]*Table1[[#This Row],[PRICEEACH]]</f>
        <v>1485.8000000000002</v>
      </c>
    </row>
    <row r="2790" spans="1:26" hidden="1" x14ac:dyDescent="0.35">
      <c r="A2790">
        <v>10329</v>
      </c>
      <c r="B2790">
        <v>44</v>
      </c>
      <c r="C2790" s="3">
        <v>86.13</v>
      </c>
      <c r="D2790">
        <v>8</v>
      </c>
      <c r="E2790" s="3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 s="3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  <c r="Z2790" s="3">
        <f>Table1[[#This Row],[QUANTITYORDERED]]*Table1[[#This Row],[PRICEEACH]]</f>
        <v>3789.72</v>
      </c>
    </row>
    <row r="2791" spans="1:26" hidden="1" x14ac:dyDescent="0.35">
      <c r="A2791">
        <v>10339</v>
      </c>
      <c r="B2791">
        <v>27</v>
      </c>
      <c r="C2791" s="3">
        <v>76.31</v>
      </c>
      <c r="D2791">
        <v>6</v>
      </c>
      <c r="E2791" s="3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 s="3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  <c r="Z2791" s="3">
        <f>Table1[[#This Row],[QUANTITYORDERED]]*Table1[[#This Row],[PRICEEACH]]</f>
        <v>2060.37</v>
      </c>
    </row>
    <row r="2792" spans="1:26" hidden="1" x14ac:dyDescent="0.35">
      <c r="A2792">
        <v>10352</v>
      </c>
      <c r="B2792">
        <v>49</v>
      </c>
      <c r="C2792" s="3">
        <v>52.64</v>
      </c>
      <c r="D2792">
        <v>4</v>
      </c>
      <c r="E2792" s="3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 s="3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  <c r="Z2792" s="3">
        <f>Table1[[#This Row],[QUANTITYORDERED]]*Table1[[#This Row],[PRICEEACH]]</f>
        <v>2579.36</v>
      </c>
    </row>
    <row r="2793" spans="1:26" hidden="1" x14ac:dyDescent="0.35">
      <c r="A2793">
        <v>10361</v>
      </c>
      <c r="B2793">
        <v>23</v>
      </c>
      <c r="C2793" s="3">
        <v>95.2</v>
      </c>
      <c r="D2793">
        <v>12</v>
      </c>
      <c r="E2793" s="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 s="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  <c r="Z2793" s="3">
        <f>Table1[[#This Row],[QUANTITYORDERED]]*Table1[[#This Row],[PRICEEACH]]</f>
        <v>2189.6</v>
      </c>
    </row>
    <row r="2794" spans="1:26" hidden="1" x14ac:dyDescent="0.35">
      <c r="A2794">
        <v>10373</v>
      </c>
      <c r="B2794">
        <v>25</v>
      </c>
      <c r="C2794" s="3">
        <v>64.97</v>
      </c>
      <c r="D2794">
        <v>9</v>
      </c>
      <c r="E2794" s="3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 s="3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  <c r="Z2794" s="3">
        <f>Table1[[#This Row],[QUANTITYORDERED]]*Table1[[#This Row],[PRICEEACH]]</f>
        <v>1624.25</v>
      </c>
    </row>
    <row r="2795" spans="1:26" hidden="1" x14ac:dyDescent="0.35">
      <c r="A2795">
        <v>10386</v>
      </c>
      <c r="B2795">
        <v>50</v>
      </c>
      <c r="C2795" s="3">
        <v>87.15</v>
      </c>
      <c r="D2795">
        <v>16</v>
      </c>
      <c r="E2795" s="3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 s="3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  <c r="Z2795" s="3">
        <f>Table1[[#This Row],[QUANTITYORDERED]]*Table1[[#This Row],[PRICEEACH]]</f>
        <v>4357.5</v>
      </c>
    </row>
    <row r="2796" spans="1:26" hidden="1" x14ac:dyDescent="0.35">
      <c r="A2796">
        <v>10398</v>
      </c>
      <c r="B2796">
        <v>34</v>
      </c>
      <c r="C2796" s="3">
        <v>40.22</v>
      </c>
      <c r="D2796">
        <v>1</v>
      </c>
      <c r="E2796" s="3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 s="3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  <c r="Z2796" s="3">
        <f>Table1[[#This Row],[QUANTITYORDERED]]*Table1[[#This Row],[PRICEEACH]]</f>
        <v>1367.48</v>
      </c>
    </row>
    <row r="2797" spans="1:26" hidden="1" x14ac:dyDescent="0.35">
      <c r="A2797">
        <v>10400</v>
      </c>
      <c r="B2797">
        <v>20</v>
      </c>
      <c r="C2797" s="3">
        <v>56.12</v>
      </c>
      <c r="D2797">
        <v>4</v>
      </c>
      <c r="E2797" s="3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 s="3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  <c r="Z2797" s="3">
        <f>Table1[[#This Row],[QUANTITYORDERED]]*Table1[[#This Row],[PRICEEACH]]</f>
        <v>1122.3999999999999</v>
      </c>
    </row>
    <row r="2798" spans="1:26" hidden="1" x14ac:dyDescent="0.35">
      <c r="A2798">
        <v>10415</v>
      </c>
      <c r="B2798">
        <v>42</v>
      </c>
      <c r="C2798" s="3">
        <v>57.61</v>
      </c>
      <c r="D2798">
        <v>3</v>
      </c>
      <c r="E2798" s="3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 s="3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  <c r="Z2798" s="3">
        <f>Table1[[#This Row],[QUANTITYORDERED]]*Table1[[#This Row],[PRICEEACH]]</f>
        <v>2419.62</v>
      </c>
    </row>
    <row r="2799" spans="1:26" hidden="1" x14ac:dyDescent="0.35">
      <c r="A2799">
        <v>10105</v>
      </c>
      <c r="B2799">
        <v>25</v>
      </c>
      <c r="C2799" s="3">
        <v>56.78</v>
      </c>
      <c r="D2799">
        <v>8</v>
      </c>
      <c r="E2799" s="3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 s="3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  <c r="Z2799" s="3">
        <f>Table1[[#This Row],[QUANTITYORDERED]]*Table1[[#This Row],[PRICEEACH]]</f>
        <v>1419.5</v>
      </c>
    </row>
    <row r="2800" spans="1:26" hidden="1" x14ac:dyDescent="0.35">
      <c r="A2800">
        <v>10117</v>
      </c>
      <c r="B2800">
        <v>50</v>
      </c>
      <c r="C2800" s="3">
        <v>43.68</v>
      </c>
      <c r="D2800">
        <v>2</v>
      </c>
      <c r="E2800" s="3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 s="3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  <c r="Z2800" s="3">
        <f>Table1[[#This Row],[QUANTITYORDERED]]*Table1[[#This Row],[PRICEEACH]]</f>
        <v>2184</v>
      </c>
    </row>
    <row r="2801" spans="1:26" hidden="1" x14ac:dyDescent="0.35">
      <c r="A2801">
        <v>10129</v>
      </c>
      <c r="B2801">
        <v>32</v>
      </c>
      <c r="C2801" s="3">
        <v>64.97</v>
      </c>
      <c r="D2801">
        <v>8</v>
      </c>
      <c r="E2801" s="3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 s="3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  <c r="Z2801" s="3">
        <f>Table1[[#This Row],[QUANTITYORDERED]]*Table1[[#This Row],[PRICEEACH]]</f>
        <v>2079.04</v>
      </c>
    </row>
    <row r="2802" spans="1:26" hidden="1" x14ac:dyDescent="0.35">
      <c r="A2802">
        <v>10142</v>
      </c>
      <c r="B2802">
        <v>39</v>
      </c>
      <c r="C2802" s="3">
        <v>44.23</v>
      </c>
      <c r="D2802">
        <v>5</v>
      </c>
      <c r="E2802" s="3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 s="3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  <c r="Z2802" s="3">
        <f>Table1[[#This Row],[QUANTITYORDERED]]*Table1[[#This Row],[PRICEEACH]]</f>
        <v>1724.9699999999998</v>
      </c>
    </row>
    <row r="2803" spans="1:26" hidden="1" x14ac:dyDescent="0.35">
      <c r="A2803">
        <v>10153</v>
      </c>
      <c r="B2803">
        <v>50</v>
      </c>
      <c r="C2803" s="3">
        <v>60.06</v>
      </c>
      <c r="D2803">
        <v>4</v>
      </c>
      <c r="E2803" s="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 s="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  <c r="Z2803" s="3">
        <f>Table1[[#This Row],[QUANTITYORDERED]]*Table1[[#This Row],[PRICEEACH]]</f>
        <v>3003</v>
      </c>
    </row>
    <row r="2804" spans="1:26" hidden="1" x14ac:dyDescent="0.35">
      <c r="A2804">
        <v>10167</v>
      </c>
      <c r="B2804">
        <v>38</v>
      </c>
      <c r="C2804" s="3">
        <v>48.59</v>
      </c>
      <c r="D2804">
        <v>15</v>
      </c>
      <c r="E2804" s="3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 s="3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  <c r="Z2804" s="3">
        <f>Table1[[#This Row],[QUANTITYORDERED]]*Table1[[#This Row],[PRICEEACH]]</f>
        <v>1846.42</v>
      </c>
    </row>
    <row r="2805" spans="1:26" hidden="1" x14ac:dyDescent="0.35">
      <c r="A2805">
        <v>10177</v>
      </c>
      <c r="B2805">
        <v>40</v>
      </c>
      <c r="C2805" s="3">
        <v>50.23</v>
      </c>
      <c r="D2805">
        <v>6</v>
      </c>
      <c r="E2805" s="3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 s="3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  <c r="Z2805" s="3">
        <f>Table1[[#This Row],[QUANTITYORDERED]]*Table1[[#This Row],[PRICEEACH]]</f>
        <v>2009.1999999999998</v>
      </c>
    </row>
    <row r="2806" spans="1:26" hidden="1" x14ac:dyDescent="0.35">
      <c r="A2806">
        <v>10185</v>
      </c>
      <c r="B2806">
        <v>28</v>
      </c>
      <c r="C2806" s="3">
        <v>64.430000000000007</v>
      </c>
      <c r="D2806">
        <v>6</v>
      </c>
      <c r="E2806" s="3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 s="3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  <c r="Z2806" s="3">
        <f>Table1[[#This Row],[QUANTITYORDERED]]*Table1[[#This Row],[PRICEEACH]]</f>
        <v>1804.0400000000002</v>
      </c>
    </row>
    <row r="2807" spans="1:26" hidden="1" x14ac:dyDescent="0.35">
      <c r="A2807">
        <v>10197</v>
      </c>
      <c r="B2807">
        <v>42</v>
      </c>
      <c r="C2807" s="3">
        <v>50.23</v>
      </c>
      <c r="D2807">
        <v>12</v>
      </c>
      <c r="E2807" s="3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 s="3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  <c r="Z2807" s="3">
        <f>Table1[[#This Row],[QUANTITYORDERED]]*Table1[[#This Row],[PRICEEACH]]</f>
        <v>2109.66</v>
      </c>
    </row>
    <row r="2808" spans="1:26" hidden="1" x14ac:dyDescent="0.35">
      <c r="A2808">
        <v>10208</v>
      </c>
      <c r="B2808">
        <v>42</v>
      </c>
      <c r="C2808" s="3">
        <v>63.88</v>
      </c>
      <c r="D2808">
        <v>6</v>
      </c>
      <c r="E2808" s="3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 s="3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  <c r="Z2808" s="3">
        <f>Table1[[#This Row],[QUANTITYORDERED]]*Table1[[#This Row],[PRICEEACH]]</f>
        <v>2682.96</v>
      </c>
    </row>
    <row r="2809" spans="1:26" hidden="1" x14ac:dyDescent="0.35">
      <c r="A2809">
        <v>10222</v>
      </c>
      <c r="B2809">
        <v>36</v>
      </c>
      <c r="C2809" s="3">
        <v>63.34</v>
      </c>
      <c r="D2809">
        <v>18</v>
      </c>
      <c r="E2809" s="3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 s="3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  <c r="Z2809" s="3">
        <f>Table1[[#This Row],[QUANTITYORDERED]]*Table1[[#This Row],[PRICEEACH]]</f>
        <v>2280.2400000000002</v>
      </c>
    </row>
    <row r="2810" spans="1:26" hidden="1" x14ac:dyDescent="0.35">
      <c r="A2810">
        <v>10232</v>
      </c>
      <c r="B2810">
        <v>24</v>
      </c>
      <c r="C2810" s="3">
        <v>49.69</v>
      </c>
      <c r="D2810">
        <v>3</v>
      </c>
      <c r="E2810" s="3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 s="3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  <c r="Z2810" s="3">
        <f>Table1[[#This Row],[QUANTITYORDERED]]*Table1[[#This Row],[PRICEEACH]]</f>
        <v>1192.56</v>
      </c>
    </row>
    <row r="2811" spans="1:26" hidden="1" x14ac:dyDescent="0.35">
      <c r="A2811">
        <v>10248</v>
      </c>
      <c r="B2811">
        <v>23</v>
      </c>
      <c r="C2811" s="3">
        <v>65.52</v>
      </c>
      <c r="D2811">
        <v>9</v>
      </c>
      <c r="E2811" s="3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 s="3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  <c r="Z2811" s="3">
        <f>Table1[[#This Row],[QUANTITYORDERED]]*Table1[[#This Row],[PRICEEACH]]</f>
        <v>1506.9599999999998</v>
      </c>
    </row>
    <row r="2812" spans="1:26" hidden="1" x14ac:dyDescent="0.35">
      <c r="A2812">
        <v>10261</v>
      </c>
      <c r="B2812">
        <v>29</v>
      </c>
      <c r="C2812" s="3">
        <v>50.78</v>
      </c>
      <c r="D2812">
        <v>7</v>
      </c>
      <c r="E2812" s="3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 s="3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  <c r="Z2812" s="3">
        <f>Table1[[#This Row],[QUANTITYORDERED]]*Table1[[#This Row],[PRICEEACH]]</f>
        <v>1472.6200000000001</v>
      </c>
    </row>
    <row r="2813" spans="1:26" hidden="1" x14ac:dyDescent="0.35">
      <c r="A2813">
        <v>10273</v>
      </c>
      <c r="B2813">
        <v>37</v>
      </c>
      <c r="C2813" s="3">
        <v>45.86</v>
      </c>
      <c r="D2813">
        <v>10</v>
      </c>
      <c r="E2813" s="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 s="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  <c r="Z2813" s="3">
        <f>Table1[[#This Row],[QUANTITYORDERED]]*Table1[[#This Row],[PRICEEACH]]</f>
        <v>1696.82</v>
      </c>
    </row>
    <row r="2814" spans="1:26" hidden="1" x14ac:dyDescent="0.35">
      <c r="A2814">
        <v>10283</v>
      </c>
      <c r="B2814">
        <v>33</v>
      </c>
      <c r="C2814" s="3">
        <v>51.32</v>
      </c>
      <c r="D2814">
        <v>12</v>
      </c>
      <c r="E2814" s="3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 s="3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  <c r="Z2814" s="3">
        <f>Table1[[#This Row],[QUANTITYORDERED]]*Table1[[#This Row],[PRICEEACH]]</f>
        <v>1693.56</v>
      </c>
    </row>
    <row r="2815" spans="1:26" hidden="1" x14ac:dyDescent="0.35">
      <c r="A2815">
        <v>10293</v>
      </c>
      <c r="B2815">
        <v>32</v>
      </c>
      <c r="C2815" s="3">
        <v>60.06</v>
      </c>
      <c r="D2815">
        <v>1</v>
      </c>
      <c r="E2815" s="3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 s="3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  <c r="Z2815" s="3">
        <f>Table1[[#This Row],[QUANTITYORDERED]]*Table1[[#This Row],[PRICEEACH]]</f>
        <v>1921.92</v>
      </c>
    </row>
    <row r="2816" spans="1:26" hidden="1" x14ac:dyDescent="0.35">
      <c r="A2816">
        <v>10306</v>
      </c>
      <c r="B2816">
        <v>35</v>
      </c>
      <c r="C2816" s="3">
        <v>59.51</v>
      </c>
      <c r="D2816">
        <v>6</v>
      </c>
      <c r="E2816" s="3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 s="3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  <c r="Z2816" s="3">
        <f>Table1[[#This Row],[QUANTITYORDERED]]*Table1[[#This Row],[PRICEEACH]]</f>
        <v>2082.85</v>
      </c>
    </row>
    <row r="2817" spans="1:26" hidden="1" x14ac:dyDescent="0.35">
      <c r="A2817">
        <v>10315</v>
      </c>
      <c r="B2817">
        <v>40</v>
      </c>
      <c r="C2817" s="3">
        <v>55.69</v>
      </c>
      <c r="D2817">
        <v>5</v>
      </c>
      <c r="E2817" s="3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 s="3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  <c r="Z2817" s="3">
        <f>Table1[[#This Row],[QUANTITYORDERED]]*Table1[[#This Row],[PRICEEACH]]</f>
        <v>2227.6</v>
      </c>
    </row>
    <row r="2818" spans="1:26" hidden="1" x14ac:dyDescent="0.35">
      <c r="A2818">
        <v>10327</v>
      </c>
      <c r="B2818">
        <v>37</v>
      </c>
      <c r="C2818" s="3">
        <v>86.74</v>
      </c>
      <c r="D2818">
        <v>4</v>
      </c>
      <c r="E2818" s="3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 s="3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  <c r="Z2818" s="3">
        <f>Table1[[#This Row],[QUANTITYORDERED]]*Table1[[#This Row],[PRICEEACH]]</f>
        <v>3209.3799999999997</v>
      </c>
    </row>
    <row r="2819" spans="1:26" hidden="1" x14ac:dyDescent="0.35">
      <c r="A2819">
        <v>10337</v>
      </c>
      <c r="B2819">
        <v>42</v>
      </c>
      <c r="C2819" s="3">
        <v>97.16</v>
      </c>
      <c r="D2819">
        <v>5</v>
      </c>
      <c r="E2819" s="3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 s="3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  <c r="Z2819" s="3">
        <f>Table1[[#This Row],[QUANTITYORDERED]]*Table1[[#This Row],[PRICEEACH]]</f>
        <v>4080.72</v>
      </c>
    </row>
    <row r="2820" spans="1:26" hidden="1" x14ac:dyDescent="0.35">
      <c r="A2820">
        <v>10350</v>
      </c>
      <c r="B2820">
        <v>20</v>
      </c>
      <c r="C2820" s="3">
        <v>100</v>
      </c>
      <c r="D2820">
        <v>15</v>
      </c>
      <c r="E2820" s="3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 s="3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  <c r="Z2820" s="3">
        <f>Table1[[#This Row],[QUANTITYORDERED]]*Table1[[#This Row],[PRICEEACH]]</f>
        <v>2000</v>
      </c>
    </row>
    <row r="2821" spans="1:26" hidden="1" x14ac:dyDescent="0.35">
      <c r="A2821">
        <v>10373</v>
      </c>
      <c r="B2821">
        <v>29</v>
      </c>
      <c r="C2821" s="3">
        <v>100</v>
      </c>
      <c r="D2821">
        <v>1</v>
      </c>
      <c r="E2821" s="3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 s="3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  <c r="Z2821" s="3">
        <f>Table1[[#This Row],[QUANTITYORDERED]]*Table1[[#This Row],[PRICEEACH]]</f>
        <v>2900</v>
      </c>
    </row>
    <row r="2822" spans="1:26" hidden="1" x14ac:dyDescent="0.35">
      <c r="A2822">
        <v>10386</v>
      </c>
      <c r="B2822">
        <v>43</v>
      </c>
      <c r="C2822" s="3">
        <v>100</v>
      </c>
      <c r="D2822">
        <v>4</v>
      </c>
      <c r="E2822" s="3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 s="3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  <c r="Z2822" s="3">
        <f>Table1[[#This Row],[QUANTITYORDERED]]*Table1[[#This Row],[PRICEEACH]]</f>
        <v>4300</v>
      </c>
    </row>
    <row r="2823" spans="1:26" hidden="1" x14ac:dyDescent="0.35">
      <c r="A2823">
        <v>10397</v>
      </c>
      <c r="B2823">
        <v>34</v>
      </c>
      <c r="C2823" s="3">
        <v>62.24</v>
      </c>
      <c r="D2823">
        <v>1</v>
      </c>
      <c r="E2823" s="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 s="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  <c r="Z2823" s="3">
        <f>Table1[[#This Row],[QUANTITYORDERED]]*Table1[[#This Row],[PRICEEACH]]</f>
        <v>2116.16</v>
      </c>
    </row>
    <row r="2824" spans="1:26" hidden="1" x14ac:dyDescent="0.35">
      <c r="A2824">
        <v>10414</v>
      </c>
      <c r="B2824">
        <v>47</v>
      </c>
      <c r="C2824" s="3">
        <v>65.52</v>
      </c>
      <c r="D2824">
        <v>9</v>
      </c>
      <c r="E2824" s="3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 s="3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  <c r="Z2824" s="3">
        <f>Table1[[#This Row],[QUANTITYORDERED]]*Table1[[#This Row],[PRICEEACH]]</f>
        <v>3079.4399999999996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D8D3-633B-4757-9040-59908C1CD527}">
  <dimension ref="A2:B35"/>
  <sheetViews>
    <sheetView topLeftCell="A20" workbookViewId="0">
      <selection activeCell="A26" sqref="A26"/>
    </sheetView>
  </sheetViews>
  <sheetFormatPr defaultRowHeight="14.5" x14ac:dyDescent="0.35"/>
  <cols>
    <col min="1" max="1" width="12.453125" bestFit="1" customWidth="1"/>
    <col min="2" max="2" width="15.7265625" bestFit="1" customWidth="1"/>
    <col min="4" max="4" width="12.453125" bestFit="1" customWidth="1"/>
    <col min="5" max="5" width="16.08984375" bestFit="1" customWidth="1"/>
    <col min="8" max="8" width="12.90625" customWidth="1"/>
    <col min="9" max="9" width="25.90625" customWidth="1"/>
  </cols>
  <sheetData>
    <row r="2" spans="1:2" ht="18.5" x14ac:dyDescent="0.45">
      <c r="A2" s="6" t="s">
        <v>677</v>
      </c>
    </row>
    <row r="3" spans="1:2" x14ac:dyDescent="0.35">
      <c r="A3" s="4" t="s">
        <v>675</v>
      </c>
      <c r="B3" t="s">
        <v>682</v>
      </c>
    </row>
    <row r="4" spans="1:2" x14ac:dyDescent="0.35">
      <c r="A4" s="5" t="s">
        <v>181</v>
      </c>
      <c r="B4" s="3">
        <v>2968546.399999998</v>
      </c>
    </row>
    <row r="5" spans="1:2" x14ac:dyDescent="0.35">
      <c r="A5" s="5" t="s">
        <v>26</v>
      </c>
      <c r="B5" s="3">
        <v>973957.29000000062</v>
      </c>
    </row>
    <row r="6" spans="1:2" x14ac:dyDescent="0.35">
      <c r="A6" s="5" t="s">
        <v>566</v>
      </c>
      <c r="B6" s="3">
        <v>877942.21000000008</v>
      </c>
    </row>
    <row r="7" spans="1:2" x14ac:dyDescent="0.35">
      <c r="A7" s="5" t="s">
        <v>598</v>
      </c>
      <c r="B7" s="3">
        <v>677940.39999999991</v>
      </c>
    </row>
    <row r="8" spans="1:2" x14ac:dyDescent="0.35">
      <c r="A8" s="5" t="s">
        <v>605</v>
      </c>
      <c r="B8" s="3">
        <v>203804.26</v>
      </c>
    </row>
    <row r="9" spans="1:2" x14ac:dyDescent="0.35">
      <c r="A9" s="5" t="s">
        <v>504</v>
      </c>
      <c r="B9" s="3">
        <v>947355.17999999993</v>
      </c>
    </row>
    <row r="10" spans="1:2" x14ac:dyDescent="0.35">
      <c r="A10" s="5" t="s">
        <v>550</v>
      </c>
      <c r="B10" s="3">
        <v>1644212.05</v>
      </c>
    </row>
    <row r="11" spans="1:2" x14ac:dyDescent="0.35">
      <c r="A11" s="5" t="s">
        <v>676</v>
      </c>
      <c r="B11" s="3">
        <v>8293757.7899999982</v>
      </c>
    </row>
    <row r="21" spans="1:2" ht="18.5" x14ac:dyDescent="0.45">
      <c r="A21" s="6" t="s">
        <v>678</v>
      </c>
    </row>
    <row r="22" spans="1:2" x14ac:dyDescent="0.35">
      <c r="A22" s="4" t="s">
        <v>675</v>
      </c>
      <c r="B22" t="s">
        <v>682</v>
      </c>
    </row>
    <row r="23" spans="1:2" x14ac:dyDescent="0.35">
      <c r="A23" s="5">
        <v>1</v>
      </c>
      <c r="B23" s="3">
        <v>659582.29000000027</v>
      </c>
    </row>
    <row r="24" spans="1:2" x14ac:dyDescent="0.35">
      <c r="A24" s="5">
        <v>2</v>
      </c>
      <c r="B24" s="3">
        <v>671199.14999999979</v>
      </c>
    </row>
    <row r="25" spans="1:2" x14ac:dyDescent="0.35">
      <c r="A25" s="5">
        <v>3</v>
      </c>
      <c r="B25" s="3">
        <v>626186.73000000033</v>
      </c>
    </row>
    <row r="26" spans="1:2" x14ac:dyDescent="0.35">
      <c r="A26" s="5">
        <v>4</v>
      </c>
      <c r="B26" s="3">
        <v>560334.4600000002</v>
      </c>
    </row>
    <row r="27" spans="1:2" x14ac:dyDescent="0.35">
      <c r="A27" s="5">
        <v>5</v>
      </c>
      <c r="B27" s="3">
        <v>756812.9099999998</v>
      </c>
    </row>
    <row r="28" spans="1:2" x14ac:dyDescent="0.35">
      <c r="A28" s="5">
        <v>6</v>
      </c>
      <c r="B28" s="3">
        <v>384743.58999999997</v>
      </c>
    </row>
    <row r="29" spans="1:2" x14ac:dyDescent="0.35">
      <c r="A29" s="5">
        <v>7</v>
      </c>
      <c r="B29" s="3">
        <v>420973.33999999997</v>
      </c>
    </row>
    <row r="30" spans="1:2" x14ac:dyDescent="0.35">
      <c r="A30" s="5">
        <v>8</v>
      </c>
      <c r="B30" s="3">
        <v>552132.91000000015</v>
      </c>
    </row>
    <row r="31" spans="1:2" x14ac:dyDescent="0.35">
      <c r="A31" s="5">
        <v>9</v>
      </c>
      <c r="B31" s="3">
        <v>474900.11999999994</v>
      </c>
    </row>
    <row r="32" spans="1:2" x14ac:dyDescent="0.35">
      <c r="A32" s="5">
        <v>10</v>
      </c>
      <c r="B32" s="3">
        <v>919036.70000000065</v>
      </c>
    </row>
    <row r="33" spans="1:2" x14ac:dyDescent="0.35">
      <c r="A33" s="5">
        <v>11</v>
      </c>
      <c r="B33" s="3">
        <v>1744682.4499999997</v>
      </c>
    </row>
    <row r="34" spans="1:2" x14ac:dyDescent="0.35">
      <c r="A34" s="5">
        <v>12</v>
      </c>
      <c r="B34" s="3">
        <v>523173.13999999984</v>
      </c>
    </row>
    <row r="35" spans="1:2" x14ac:dyDescent="0.35">
      <c r="A35" s="5" t="s">
        <v>676</v>
      </c>
      <c r="B35" s="3">
        <v>8293757.79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4B7D-895C-49DB-A45B-C863006183C8}">
  <dimension ref="A1:K3"/>
  <sheetViews>
    <sheetView workbookViewId="0">
      <selection activeCell="J3" sqref="J3"/>
    </sheetView>
  </sheetViews>
  <sheetFormatPr defaultRowHeight="14.5" x14ac:dyDescent="0.35"/>
  <cols>
    <col min="1" max="1" width="15.36328125" style="8" customWidth="1"/>
    <col min="2" max="2" width="21.1796875" style="8" customWidth="1"/>
    <col min="3" max="11" width="8.7265625" style="8"/>
  </cols>
  <sheetData>
    <row r="1" spans="1:2" ht="26" x14ac:dyDescent="0.35">
      <c r="A1" s="7" t="s">
        <v>679</v>
      </c>
    </row>
    <row r="3" spans="1:2" ht="18.5" x14ac:dyDescent="0.35">
      <c r="A3" s="9" t="s">
        <v>680</v>
      </c>
      <c r="B3" s="10">
        <f>SUM(sales_data_sample!Z:Z)</f>
        <v>8293757.7900000047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sales_data_sample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celio</dc:creator>
  <cp:lastModifiedBy>sarah celio</cp:lastModifiedBy>
  <dcterms:created xsi:type="dcterms:W3CDTF">2026-01-06T03:17:39Z</dcterms:created>
  <dcterms:modified xsi:type="dcterms:W3CDTF">2026-01-08T01:16:55Z</dcterms:modified>
</cp:coreProperties>
</file>